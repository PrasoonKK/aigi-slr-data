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14.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ryanjha/UNIVERSAL AIGI/"/>
    </mc:Choice>
  </mc:AlternateContent>
  <xr:revisionPtr revIDLastSave="0" documentId="13_ncr:1_{1EF55DCC-22B4-0840-BB9A-F69420056CB6}" xr6:coauthVersionLast="47" xr6:coauthVersionMax="47" xr10:uidLastSave="{00000000-0000-0000-0000-000000000000}"/>
  <bookViews>
    <workbookView xWindow="0" yWindow="0" windowWidth="27040" windowHeight="17560" firstSheet="0" activeTab="0" xr2:uid="{00000000-000D-0000-FFFF-FFFF00000000}"/>
  </bookViews>
  <sheets>
    <sheet name="00_Protocol_Changes" sheetId="1" r:id="rId1"/>
    <sheet name="01_Search_Log" sheetId="2" r:id="rId2"/>
    <sheet name="02_Search Development" sheetId="3" r:id="rId3"/>
    <sheet name="03_Protocol" sheetId="4" r:id="rId4"/>
    <sheet name="04_Master_Records" sheetId="5" r:id="rId5"/>
    <sheet name="05_Title_Abstract_Screening" sheetId="6" r:id="rId6"/>
    <sheet name="06_Full_Text_Screening" sheetId="7" r:id="rId7"/>
    <sheet name="10_Analysis_Ready" sheetId="10" r:id="rId10"/>
    <sheet name="14_Generalization_Map" sheetId="14" r:id="rId14"/>
    <sheet name="27_Final_Taxonomy_Framework" sheetId="27" r:id="rId27"/>
    <sheet name="28_Taxonomy_Coding" sheetId="28" r:id="rId28"/>
    <sheet name="30_Integrity_Checks" sheetId="30" r:id="rId30"/>
    <sheet name="31_Quality_Appraisal" sheetId="31" r:id="rId31"/>
    <sheet name="32_Reported_Results" sheetId="32" r:id="rId32"/>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<sst xmlns="http://schemas.openxmlformats.org/spreadsheetml/2006/main" count="21776" uniqueCount="7894">
  <si>
    <t>Date</t>
  </si>
  <si>
    <t>Protocol Section</t>
  </si>
  <si>
    <t>Original Decision</t>
  </si>
  <si>
    <t>Change Made</t>
  </si>
  <si>
    <t>Reason</t>
  </si>
  <si>
    <t>Made Before/After Screening</t>
  </si>
  <si>
    <t>Publication eligibility</t>
  </si>
  <si>
    <t>Journal and conference papers initially considered</t>
  </si>
  <si>
    <t>Peer-reviewed journal articles only</t>
  </si>
  <si>
    <t>Final review is explicitly restricted to journal literature</t>
  </si>
  <si>
    <t>Before screening</t>
  </si>
  <si>
    <t>Information Sources</t>
  </si>
  <si>
    <t>Scopus, Web of Science Core Collection, IEEE Xplore, and ACM Digital Library</t>
  </si>
  <si>
    <t>Scopus will serve as the sole bibliographic database; supplementary backward and forward citation searching will be performed to improve literature coverage.</t>
  </si>
  <si>
    <t>Institutional access limitations prevented systematic access to the other prespecified bibliographic databases.</t>
  </si>
  <si>
    <t>Screening</t>
  </si>
  <si>
    <t>Following completion of initial title and abstract screening, 138 records were classified as Include, 228 as Exclude, and 16 as Maybe. All records classified as Maybe underwent a second-pass title/abstract eligibility assessment using the complete bibliographic information available from Scopus. Where eligibility could not be confidently determined without examination of the full text, the record was retained for full-text screening to minimize premature exclusion.</t>
  </si>
  <si>
    <t>Resolution of uncertain title/abstract screening records</t>
  </si>
  <si>
    <t>After initial screening</t>
  </si>
  <si>
    <t>2026-10-21</t>
  </si>
  <si>
    <t>Exclusion codes (title/abstract stage)</t>
  </si>
  <si>
    <t>EC1–EC11 only; publication window (§7) and secondary studies handled without dedicated codes</t>
  </si>
  <si>
    <t>EC12 = outside 1 Jan 2020 – search date publication window (protocol §7); EC13 = secondary study (review/survey/overview) with no primary detection evidence (IC3)</t>
  </si>
  <si>
    <t>Codes were already applied in free text during screening ('EC12', 'Publication-date criterion', 'Secondary/review study'); formalised for auditability</t>
  </si>
  <si>
    <t>After screening (documentation clarification; no decision changed)</t>
  </si>
  <si>
    <t>Exclusion codes (full-text stage)</t>
  </si>
  <si>
    <t>FT-EC7 (not peer reviewed) had been applied to two video-only deepfake studies (R0217, R0329)</t>
  </si>
  <si>
    <t>EC14 = video-only study whose detector relies on temporal modelling and reports no independently analysable still-image result (fails IC2; protocol scope defers video to a future extension). R0217 and R0329 recoded FT-EC7 → FT-EC14; decision (EXCLUDE) unchanged</t>
  </si>
  <si>
    <t>EC7 is defined as "not peer reviewed"; both articles are peer-reviewed journal papers, so the code misdescribed the actual reason recorded in Exclusion_Reason</t>
  </si>
  <si>
    <t>After screening (code correction only)</t>
  </si>
  <si>
    <t>Search_ID</t>
  </si>
  <si>
    <t>Database</t>
  </si>
  <si>
    <t>Platform</t>
  </si>
  <si>
    <t>Search_Date</t>
  </si>
  <si>
    <t>Search_Time</t>
  </si>
  <si>
    <t>Searcher</t>
  </si>
  <si>
    <t>Search_String</t>
  </si>
  <si>
    <t>Search_Fields</t>
  </si>
  <si>
    <t>Publication_Years</t>
  </si>
  <si>
    <t>Document_Type_Filter</t>
  </si>
  <si>
    <t>Language_Filter</t>
  </si>
  <si>
    <t>Subject_Area_Filter</t>
  </si>
  <si>
    <t>Other_Filters</t>
  </si>
  <si>
    <t>Results_Before_Filters</t>
  </si>
  <si>
    <t>Results_After_Filters</t>
  </si>
  <si>
    <t>Exported_Count</t>
  </si>
  <si>
    <t>Export_Format</t>
  </si>
  <si>
    <t>Export_File_Name</t>
  </si>
  <si>
    <t>Notes</t>
  </si>
  <si>
    <t>SCOPUS_S01</t>
  </si>
  <si>
    <t>Scopus</t>
  </si>
  <si>
    <t>TITLE-ABS-KEY( ( "AI-generated image*" OR "AI generated image*" OR "synthetic image*" OR "machine-generated image*" OR "generative AI image*" ) AND ( "image detection" OR "synthetic image detection" OR "AI-generated image detection" OR "image forensic*" OR "digital forensic*" OR "image authenticat*" OR "fake image detection" ) )</t>
  </si>
  <si>
    <t>TITLE-ABS-KEY</t>
  </si>
  <si>
    <t>2020–2026</t>
  </si>
  <si>
    <t>Article</t>
  </si>
  <si>
    <t>English</t>
  </si>
  <si>
    <t>None; no subject-area restriction</t>
  </si>
  <si>
    <t>Scopus_S01_2026-08-13.csv</t>
  </si>
  <si>
    <t>Primary Scopus search using frozen Search Strategy v1.0. All filtered records exported; no manual relevance selection performed before export.</t>
  </si>
  <si>
    <t>SCOPUS_S02</t>
  </si>
  <si>
    <t>TITLE-ABS-KEY( ( "AI-generated image*" OR "AI generated image*" OR "synthetic image*" OR "machine-generated image*" OR "generative AI image*" ) AND ( detect* OR forensic* OR authenticat* ) AND ( generaliz* OR "cross-generator" OR "cross generator" OR "unseen generator*" OR "unknown generator*" OR "generator-agnostic" OR "generator agnostic" OR "model-agnostic" OR "model agnostic" OR universal* OR "open-world" OR "open world" OR "open-set" OR "open set" OR "out-of-distribution" OR "out of distribution" OR "domain generalization" OR "cross-domain" OR "cross domain" OR "distribution shift" ) )</t>
  </si>
  <si>
    <t>Scopus_S02_2026-08-13.csv</t>
  </si>
  <si>
    <t>Supplementary generalization-focused Scopus search introduced following amendment to a Scopus-only database strategy. Designed to improve sensitivity for generalizable, cross-generator, unseen-generator, generator-agnostic, universal, open-world, open-set, OOD, cross-domain, and distribution-shift literature. All filtered records exported without manual relevance selection.</t>
  </si>
  <si>
    <t>Pilot_ID</t>
  </si>
  <si>
    <t>Query</t>
  </si>
  <si>
    <t>Filters_Tested</t>
  </si>
  <si>
    <t>Raw_Results</t>
  </si>
  <si>
    <t>Filtered_Results</t>
  </si>
  <si>
    <t>Relevance_Observation</t>
  </si>
  <si>
    <t>Decision</t>
  </si>
  <si>
    <t>P01</t>
  </si>
  <si>
    <t>TITLE-ABS-KEY(
    (
        "AI-generated image*" OR
        "AI generated image*" OR
        "synthetic image*" OR
        "machine-generated image*" OR
        "generative AI image*"
    )
    AND
    (
        detect* OR
        forensic* OR
        authenticat*
    )
)</t>
  </si>
  <si>
    <t>2020–2026; Article; English; no subject-area restriction</t>
  </si>
  <si>
    <t>Not recorded</t>
  </si>
  <si>
    <t>First 5 results highly relevant; increasing presence of unrelated civil engineering and medical literature deeper in results.</t>
  </si>
  <si>
    <t>Query requires refinement to improve precision; subject-area restriction not applied yet to avoid prematurely excluding relevant interdisciplinary literature.</t>
  </si>
  <si>
    <t>P02</t>
  </si>
  <si>
    <t>TITLE-ABS-KEY(
    (
        "AI-generated image*" OR
        "AI generated image*" OR
        "synthetic image*" OR
        "machine-generated image*" OR
        "generative AI image*"
    )
    AND
    (
        "image detection" OR
        "synthetic image detection" OR
        "AI-generated image detection" OR
        "image forensic*" OR
        "digital forensic*" OR
        "image authenticat*" OR
        "fake image detection"
    )
)</t>
  </si>
  <si>
    <t>Not recorded</t>
  </si>
  <si>
    <t>Manual inspection indicated that retrieved records were predominantly/highly relevant to AI-generated or synthetic image detection.</t>
  </si>
  <si>
    <t>Selected as candidate primary search strategy due to substantially higher observed precision for the target literature. Final adoption remains subject to recall/sensitivity validation before formal PRISMA search execution.</t>
  </si>
  <si>
    <t>P03</t>
  </si>
  <si>
    <t>TITLE-ABS-KEY("generator-agnostic" AND "image detection")</t>
  </si>
  <si>
    <t>None</t>
  </si>
  <si>
    <t>N/A</t>
  </si>
  <si>
    <t>Both retrieved records appeared relevant to AI-generated image detection.</t>
  </si>
  <si>
    <t>Retain "generator-agnostic" as a candidate generalization term for the comprehensive search strategy.</t>
  </si>
  <si>
    <t>P04</t>
  </si>
  <si>
    <t>TITLE-ABS-KEY(
    (
        "AI-generated image*" OR
        "AI generated image*" OR
        "synthetic image*" OR
        "machine-generated image*" OR
        "generative AI image*"
    )
    AND
    (
        detect* OR
        forensic* OR
        authenticat*
    )
    AND
    (
        generaliz* OR
        "cross-generator" OR
        "cross generator" OR
        "unseen generator*" OR
        "unknown generator*" OR
        "generator-agnostic" OR
        "generator agnostic" OR
        "model-agnostic" OR
        "model agnostic" OR
        universal* OR
        "open-world" OR
        "open world" OR
        "open-set" OR
        "open set" OR
        "out-of-distribution" OR
        "out of distribution" OR
        "domain generalization" OR
        "cross-domain" OR
        "cross domain" OR
        "distribution shift"
    )
)</t>
  </si>
  <si>
    <t>Retrieved literature relevant to generalizable AI-generated/synthetic image detection. Preliminary seed papers SEED01, SEED02, and SEED04 successfully retrieved.</t>
  </si>
  <si>
    <t>Retained as a supplementary generalization-focused search strategy; broader retrieval and lower observed precision than P02. May be used to identify studies missed by the primary strategy.</t>
  </si>
  <si>
    <t>P05</t>
  </si>
  <si>
    <t>12-Aug-2026</t>
  </si>
  <si>
    <t>TITLE-ABS-KEY(
    (
        "fake image*" OR
        "generated image*" OR
        "AI-generated content" OR
        "AI generated content" OR
        "AIGC"
    )
    AND
    (
        detect* OR
        forensic* OR
        authenticat*
    )
    AND
    (
        generative OR
        generator* OR
        GAN OR
        "generative adversarial network*" OR
        diffusion OR
        "generative AI"
    )
)</t>
  </si>
  <si>
    <t>Known seed studies were retrieved; however, manual inspection revealed substantially reduced precision, including unrelated medical, oceanic and other domain-specific literature.</t>
  </si>
  <si>
    <t>Do not adopt P05 as the primary search strategy. Broad terms such as "fake image*", "generated image*" and "AIGC" substantially increase irrelevant retrieval. Individual terms may be retained only if later recall testing demonstrates unique relevant studies.</t>
  </si>
  <si>
    <t>Preliminary Seed Papers for Recall Testing</t>
  </si>
  <si>
    <t>Seed_ID</t>
  </si>
  <si>
    <t>Paper_Title</t>
  </si>
  <si>
    <t>Reason_Selected</t>
  </si>
  <si>
    <t>SEED01</t>
  </si>
  <si>
    <t>Towards generalizable detection of AI-generated images via adaptively fusing multi-view hyper experts</t>
  </si>
  <si>
    <t>Explicitly targets generalizable AI-generated image detection</t>
  </si>
  <si>
    <t>SEED02</t>
  </si>
  <si>
    <t>Geometric-semantic dual-adaptation for generalizable AI-generated image detection</t>
  </si>
  <si>
    <t>Explicitly targets generalization using multiple representations</t>
  </si>
  <si>
    <t>SEED03</t>
  </si>
  <si>
    <t>SDA-Det: A subpixel-aware dual-domain artifact detector for AI-generated image detection</t>
  </si>
  <si>
    <t>Relevant artifact-based AI-generated image detection approach</t>
  </si>
  <si>
    <t>SEED04</t>
  </si>
  <si>
    <t>MS-DCL: Multi-Scale Decoupled Contrastive Learning for universal AI-generated image detection</t>
  </si>
  <si>
    <t>Explicitly targets universal AI-generated image detection</t>
  </si>
  <si>
    <t>Search Strategy — Scopus</t>
  </si>
  <si>
    <t>Scopus Search Strategy Version: 1.0</t>
  </si>
  <si>
    <t>Search development completed: 12 August 2026</t>
  </si>
  <si>
    <t>Search fields: Title, Abstract, Keywords (TITLE-ABS-KEY)</t>
  </si>
  <si>
    <t>Publication period: 2020–2026</t>
  </si>
  <si>
    <t>Document type: Article</t>
  </si>
  <si>
    <t>Language: English</t>
  </si>
  <si>
    <t>Subject-area restriction: None</t>
  </si>
  <si>
    <t>The search strategy was developed through iterative pilot searches. Candidate queries were manually inspected for relevance and tested for their ability to retrieve literature representing diffusion-based detection, GAN-based detection, generalizable detection, universal detection, robustness, and CLIP-based detection. The selected strategy demonstrated substantially greater observed precision while retaining literature across these major methodological categories.</t>
  </si>
  <si>
    <t>Preliminary sensitivity validation: The selected search retrieved known relevant seed studies and returned literature representing all six prespecified conceptual checks: GAN-based detection, diffusion-based detection, generalization, universal detection, robustness, and CLIP-based approaches.</t>
  </si>
  <si>
    <t>Information Sources (Amended)</t>
  </si>
  <si>
    <t>The primary systematic database search will be conducted in Scopus. Web of Science Core Collection, IEEE Xplore, and ACM Digital Library were initially considered but could not be systematically searched because of institutional access limitations. To mitigate potential coverage limitations associated with using a single bibliographic database, supplementary backward and forward citation searching will be conducted on eligible studies and relevant seed literature. All additionally identified studies will be subjected to the same eligibility criteria.</t>
  </si>
  <si>
    <t>Record_ID</t>
  </si>
  <si>
    <t>Source_Search</t>
  </si>
  <si>
    <t>Title</t>
  </si>
  <si>
    <t>Authors</t>
  </si>
  <si>
    <t>Year</t>
  </si>
  <si>
    <t>Journal</t>
  </si>
  <si>
    <t>DOI</t>
  </si>
  <si>
    <t>EID</t>
  </si>
  <si>
    <t>Abstract</t>
  </si>
  <si>
    <t>Author_Keywords</t>
  </si>
  <si>
    <t>Indexed_Keywords</t>
  </si>
  <si>
    <t>Document_Type</t>
  </si>
  <si>
    <t>Language</t>
  </si>
  <si>
    <t>Duplicate_Status</t>
  </si>
  <si>
    <t>Duplicate_Of</t>
  </si>
  <si>
    <t>Screening_Status</t>
  </si>
  <si>
    <t>Exclusion_Code</t>
  </si>
  <si>
    <t>R0001</t>
  </si>
  <si>
    <t>A Multimodal Vision–language Model for Shrimp Species Classification and AI-generated Image Detection Using CLIP and BERT</t>
  </si>
  <si>
    <t>Naga Srinivas P.V.; Chandra Sekhara Rao M.V.P.</t>
  </si>
  <si>
    <t>International Journal of Intelligent Engineering and Systems</t>
  </si>
  <si>
    <t>10.22266/ijies2026.0831.22</t>
  </si>
  <si>
    <t>2-s2.0-105045176435</t>
  </si>
  <si>
    <t>Aquaculture informatics; BERT; CLIP; Multimodal learning; Seafood fraud detection; Shrimp species classification; Vision-Language model; Zero-Shot classification</t>
  </si>
  <si>
    <t>Unique</t>
  </si>
  <si>
    <t>FT INCLUDE</t>
  </si>
  <si>
    <t>R0002</t>
  </si>
  <si>
    <t>PhyTrace: Tracing Physical Inconsistency in AI-Generated Images via ISP Emulation</t>
  </si>
  <si>
    <t>Zhao S.; Liu W.; Xu D.; Zhou J.T.; Wang Z.</t>
  </si>
  <si>
    <t>IEEE Transactions on Image Processing</t>
  </si>
  <si>
    <t>10.1109/TIP.2026.3709453</t>
  </si>
  <si>
    <t>2-s2.0-105045773368</t>
  </si>
  <si>
    <t>AI-generated image detection; image signal processor; model-agnostic; physics-based modeling; training-free</t>
  </si>
  <si>
    <t>Artificial intelligence; Image processing; AI-generated image detection; Image detection; Image signal; Image signal processing; Image signal processor; Model-agnostic; Physics-based models; Real images; Signal processor; Training-free; article; computer security; diagnosis; generative model; human; signal processing; simulation; Image recognition</t>
  </si>
  <si>
    <t>R0003</t>
  </si>
  <si>
    <t>Robust GAN-Based CNN Model as Generative AI Application for Deepfake Detection</t>
  </si>
  <si>
    <t>Sharma P.; Kumar M.; Sharma H.K.</t>
  </si>
  <si>
    <t>EAI Endorsed Transactions on Internet of Things</t>
  </si>
  <si>
    <t>10.4108/eetiot.5637</t>
  </si>
  <si>
    <t>2-s2.0-85191471910</t>
  </si>
  <si>
    <t>CNN model; Deep Learning; Deepfake; Digital Forensics; Generative Adversarial Networks (GAN); Generative AI</t>
  </si>
  <si>
    <t>R0004</t>
  </si>
  <si>
    <t>A Multi-Branch Transformer Based Cross-Attention Framework for Computer-Generated Image Detection</t>
  </si>
  <si>
    <t>Bhamidipati V.S.R.D.; Chanamallu S.R.; Gopinathan S.</t>
  </si>
  <si>
    <t>International Journal of Image, Graphics and Signal Processing</t>
  </si>
  <si>
    <t>10.5815/ijigsp.2026.04.02</t>
  </si>
  <si>
    <t>2-s2.0-105046336486</t>
  </si>
  <si>
    <t>Computer Graphics; Computer-Generated Image; Fake Image Detection; Image Forensics</t>
  </si>
  <si>
    <t>R0005</t>
  </si>
  <si>
    <t>Synthetic Image Detection Based on Multi-Level Feature Fusion and Data Augmentation</t>
  </si>
  <si>
    <t>Lin G.-H.; Lin Y.-T.; Chen J.-L.</t>
  </si>
  <si>
    <t>ICT Express</t>
  </si>
  <si>
    <t>10.1016/j.icte.2026.05.018</t>
  </si>
  <si>
    <t>2-s2.0-105040768277</t>
  </si>
  <si>
    <t>CLIP-ViT; Multi-level feature fusion; Synthetic image detection</t>
  </si>
  <si>
    <t>R0006</t>
  </si>
  <si>
    <t>SCA-Det: A structure-context artifact detector for AI-generated image detection</t>
  </si>
  <si>
    <t>Liang K.; Lu P.; Liu X.; Lu X.; Li A.</t>
  </si>
  <si>
    <t>Neurocomputing</t>
  </si>
  <si>
    <t>10.1016/j.neucom.2026.133627</t>
  </si>
  <si>
    <t>2-s2.0-105035405378</t>
  </si>
  <si>
    <t>AI-generated image detection; Diffusion model; Generative adversarial network</t>
  </si>
  <si>
    <t>Frequency response; Semantics; Textures; Adversarial networks; AI-generated image detection; Contextual consistency; Diffusion model; Generative model; Image detection; Structural formation; Structure-aware; Upsampling; Visual qualities; article; artifact; controlled study; diagnosis; diffusion; generative adversarial network; generative model; geometry; human; Image enhancement</t>
  </si>
  <si>
    <t>R0007</t>
  </si>
  <si>
    <t>AI-generated image detection algorithm based on classical-quantum hybrid neural network</t>
  </si>
  <si>
    <t>Xu J.; Fang H.; Yang Y.; Chen K.; Chen Z.; Dou M.; Qu L.; Zhang W.; Guo G.</t>
  </si>
  <si>
    <t>Science China Information Sciences</t>
  </si>
  <si>
    <t>10.1007/s11432-024-4475-4</t>
  </si>
  <si>
    <t>2-s2.0-105027462192</t>
  </si>
  <si>
    <t>AI-generated image detection; generative adversarial network; quantum computing; quantum neural network</t>
  </si>
  <si>
    <t>Feature extraction; Neural networks; Quantum entanglement; Qubits; Sampling; Signal detection; Adversarial networks; Artificial intelligence-generated image detection; Classical-quantum; Detection algorithm; Features extraction; Generative model; Hybrid neural networks; Image detection; Quantum Computing; Quantum neural networks; Extraction</t>
  </si>
  <si>
    <t>FT NOT RETRIEVED</t>
  </si>
  <si>
    <t>R0008</t>
  </si>
  <si>
    <t>Qu W.; Chen C.; Lu W.; Li T.</t>
  </si>
  <si>
    <t>Knowledge-Based Systems</t>
  </si>
  <si>
    <t>10.1016/j.knosys.2026.116183</t>
  </si>
  <si>
    <t>2-s2.0-105038866799</t>
  </si>
  <si>
    <t>AI-generated image detection; Contrastive learning; Efficient deployment; Feature disentanglement; Multi-scale learning</t>
  </si>
  <si>
    <t>Contrastive Learning; Generative adversarial networks; Learning systems; Adversarial networks; AI-generated image detection; Diffusion model; Efficient deployment; Feature disentanglement; Image detection; Multi-scale learning; Multi-scales; Network models; Semantic content; Semantics</t>
  </si>
  <si>
    <t>R0009</t>
  </si>
  <si>
    <t>FMACNN: Federated multi-attention CNN framework for artificial image detection</t>
  </si>
  <si>
    <t>Alam M.M.; Golam M.; Jun T.</t>
  </si>
  <si>
    <t>Journal of Information Security and Applications</t>
  </si>
  <si>
    <t>10.1016/j.jisa.2026.104462</t>
  </si>
  <si>
    <t>2-s2.0-105037172498</t>
  </si>
  <si>
    <t>Artificial image detection; Attention mechanism; Diffusion transformer; Federated learning (FL); Generative adversarial network (GAN)</t>
  </si>
  <si>
    <t>Error detection; Privacy-preserving techniques; Sensitive data; Adversarial networks; Artificial image; Artificial image detection; Attention mechanisms; Diffusion transformer; Federated learning; Generative adversarial network; Image datasets; Image detection; Privacy preserving; Social aspects</t>
  </si>
  <si>
    <t>R0010</t>
  </si>
  <si>
    <t>IPD-Net: Detecting AI-Generated Images via Inter-Patch Dependencies</t>
  </si>
  <si>
    <t>Chen J.; Lo M.; Liao H.; Huang T.</t>
  </si>
  <si>
    <t>International Journal of Advanced Computer Science and Applications</t>
  </si>
  <si>
    <t>10.14569/IJACSA.2024.01507133</t>
  </si>
  <si>
    <t>2-s2.0-85201885607</t>
  </si>
  <si>
    <t>AI-generated image detection; image forensics; self-attention mechanism</t>
  </si>
  <si>
    <t>Generative adversarial networks; AI-generated image detection; Attention mechanisms; Current detector; Detection tasks; Generative model; Image detection; Image detector; Image forensics; Self-attention mechanism; Simple++; Fake detection</t>
  </si>
  <si>
    <t>R0011</t>
  </si>
  <si>
    <t>Deep ensemble learning for fake digital image detection: A convolutional neural network-based approach</t>
  </si>
  <si>
    <t>Panigrahi G.R.; Sethy P.K.; Borra S.P.R.; Barpanda N.K.; Behera S.K.</t>
  </si>
  <si>
    <t>Revue d'Intelligence Artificielle</t>
  </si>
  <si>
    <t>10.18280/ria.370318</t>
  </si>
  <si>
    <t>2-s2.0-85167775605</t>
  </si>
  <si>
    <t>Convolutional neural network; Deep learning; Deepfake detection; Digital image forensics; Ensemble learning; Fake image detection; Multimedia</t>
  </si>
  <si>
    <t>TA EXCLUDE</t>
  </si>
  <si>
    <t>EC3; EC11</t>
  </si>
  <si>
    <t>R0012</t>
  </si>
  <si>
    <t>Penny-Wise and Pound-Foolish in AI-Generated Image Detection</t>
  </si>
  <si>
    <t>Wang Y.; Huang Z.; Su Z.; Prugel-Bennett A.; Hong X.</t>
  </si>
  <si>
    <t>IEEE Transactions on Pattern Analysis and Machine Intelligence</t>
  </si>
  <si>
    <t>10.1109/TPAMI.2026.3664388</t>
  </si>
  <si>
    <t>2-s2.0-105030184200</t>
  </si>
  <si>
    <t>AI-generated image detection; balanced objective; generalization; knowledge preservation; learnable prompt design; pre-trained vision-language model</t>
  </si>
  <si>
    <t>Artificial intelligence; Benchmarking; Classification (of information); Computer vision; Image enhancement; Large datasets; Learning systems; Object detection; Statistical tests; AI-generated image detection; Balanced objective; Generalisation; Image datasets; Image detection; Knowledge preservations; Language model; Learnable prompt design; Pre-trained vision-language model; Short-term gains; article; benchmarking; human; language model; prompt engineering; Economic and social effects</t>
  </si>
  <si>
    <t>R0013</t>
  </si>
  <si>
    <t>Vulnerabilities in AI-Generated Image Detection: The Challenge of Adversarial Attacks</t>
  </si>
  <si>
    <t>Diao Y.; Zhai N.; Miao C.; Yu Z.; Wei X.; Yang X.; Wang M.</t>
  </si>
  <si>
    <t>IEEE Transactions on Multimedia</t>
  </si>
  <si>
    <t>10.1109/TMM.2026.3682154</t>
  </si>
  <si>
    <t>2-s2.0-105036341318</t>
  </si>
  <si>
    <t>adversarial examples; AI-generated image detection</t>
  </si>
  <si>
    <t>Bayesian networks; Fake detection; Network security; AI-generated image detection; Bayesian; Black boxes; Diffusion model; Frequency domains; Image detection; Image detector; Images synthesis; Performance; Public concern; Frequency domain analysis</t>
  </si>
  <si>
    <t>R0014</t>
  </si>
  <si>
    <t>A robust synthetic face detector in OSN context based on Gradient of Color features</t>
  </si>
  <si>
    <t>Ghosh T.; Naskar R.</t>
  </si>
  <si>
    <t>Forensic Science International</t>
  </si>
  <si>
    <t>10.1016/j.forsciint.2026.112817</t>
  </si>
  <si>
    <t>2-s2.0-105027648617</t>
  </si>
  <si>
    <t>AI image detection; GAN image detection; Gradient-based features; Image detection; Image forensics; Online Social Networks</t>
  </si>
  <si>
    <t>article; color; controlled study; degradation; diagnosis; diffusion; generative adversarial network; generative artificial intelligence; human; luminance; online social network</t>
  </si>
  <si>
    <t>R0015</t>
  </si>
  <si>
    <t>ImageAuthNet: toward an explainable and generalizable framework to detect fake images - use case in wildfire monitoring pipelines</t>
  </si>
  <si>
    <t>Guessoum D.; Benblidia N.; Boumahdi F.; Remmide M.A.; Nouri T.A.; Bataouche A.L.</t>
  </si>
  <si>
    <t>Multimedia Tools and Applications</t>
  </si>
  <si>
    <t>10.1007/s11042-026-21775-9</t>
  </si>
  <si>
    <t>2-s2.0-105044144118</t>
  </si>
  <si>
    <t>Adversarial Autoencoders; AI-generated images; ConvNeXt; DeepFake; Detection model; Explainable AI; Fake images; GenPix Dataset; ImageAuthNet; Vision transformers</t>
  </si>
  <si>
    <t>Artificial intelligence; Fake detection; Human computer interaction; Adversarial autoencoder; AI-generated image; Auto encoders; Convnext; Deepfake; Detection models; Explainable AI; Fake image; Genpix dataset; Imageauthnet; Vision transformer; Large datasets</t>
  </si>
  <si>
    <t>R0016</t>
  </si>
  <si>
    <t>Transfer Learning-Driven Hybrid Architecture for Deepfake Detection Using InceptionResNetV2 and Stacked Gated Convolutional Units</t>
  </si>
  <si>
    <t>Sreeraj K.; Arun Kumar B.</t>
  </si>
  <si>
    <t>10.22266/ijies2025.0930.15</t>
  </si>
  <si>
    <t>2-s2.0-105023561748</t>
  </si>
  <si>
    <t>Deep learning; Deepfake detection; Gated convolution units; Global average pooling; InceptionResNetv2</t>
  </si>
  <si>
    <t>R0017</t>
  </si>
  <si>
    <t>Generalized and robust model for GAN-generated image detection</t>
  </si>
  <si>
    <t>Raj S.; Mathew J.; Mondal A.</t>
  </si>
  <si>
    <t>Pattern Recognition Letters</t>
  </si>
  <si>
    <t>10.1016/j.patrec.2024.04.018</t>
  </si>
  <si>
    <t>2-s2.0-85190969250</t>
  </si>
  <si>
    <t>Bilateral high pass filter (BiHPF); Deepfake; Generative adversarial network (GAN); Multi-head attention (MHA); Photo response non-uniformity (PRNU)</t>
  </si>
  <si>
    <t>Fake detection; High pass filters; Image representation; Bilateral high pass filter; Deepfake; Generative adversarial network; High-pass filter; Image detection; Multi-head attention; Nonuniformity; Photo response non-uniformity; Photoresponses; Simple++; Generative adversarial networks</t>
  </si>
  <si>
    <t>R0018</t>
  </si>
  <si>
    <t>DCNet: Learning Similarity and Spatial Complementary Features for Generalized AI-Generated Image Detection</t>
  </si>
  <si>
    <t>Shi Y.; Weng S.; Yu L.; Ni R.</t>
  </si>
  <si>
    <t>IEEE Transactions on Circuits and Systems for Video Technology</t>
  </si>
  <si>
    <t>10.1109/TCSVT.2026.3656696</t>
  </si>
  <si>
    <t>2-s2.0-105028393865</t>
  </si>
  <si>
    <t>AI-generated image detection; local-global-guided convolution; similarity extraction; spatial feature extraction</t>
  </si>
  <si>
    <t>Convolution; Fake detection; Feature extraction; Image coding; Image recognition; Scales (weighing instruments); AI-generated image detection; Contextual feature; Features extraction; Generalization ability; Image detection; Local-global-guided convolution; Similarity extraction; Spatial feature extraction; Spatial features; Upsampling; Extraction</t>
  </si>
  <si>
    <t>R0019</t>
  </si>
  <si>
    <t>An Eyes-Based Siamese Neural Network for the Detection of GAN-Generated Face Images</t>
  </si>
  <si>
    <t>Wang J.; Tondi B.; Barni M.</t>
  </si>
  <si>
    <t>Frontiers in Signal Processing</t>
  </si>
  <si>
    <t>10.3389/frsip.2022.918725</t>
  </si>
  <si>
    <t>2-s2.0-85146647828</t>
  </si>
  <si>
    <t>deep learning for forensics; generative adversarial networks; image forensics; semantic analysis; siamese networks; synthetic media detection</t>
  </si>
  <si>
    <t>R0020</t>
  </si>
  <si>
    <t>SF-CFNet: Spatial-frequency collaborative fusion detection network for AI-generated satellite images</t>
  </si>
  <si>
    <t>Tang Y.; Liu X.; Ding X.; Guo H.; Wang Y.; Deng H.</t>
  </si>
  <si>
    <t>Expert Systems with Applications</t>
  </si>
  <si>
    <t>10.1016/j.eswa.2026.133006</t>
  </si>
  <si>
    <t>2-s2.0-105040677016</t>
  </si>
  <si>
    <t>AI-generated images identification; Deep learning; Forgery detection; Generative artificial intelligence; Satellite images</t>
  </si>
  <si>
    <t>Data mining; Distributed computer systems; Image enhancement; Satellite imagery; Adversarial networks; AI-generated image identification; Deep learning; Diffusion model; Forgery detections; Generative artificial intelligence; Image identification; Network models; Satellite images; Spatial frequency; Deep learning</t>
  </si>
  <si>
    <t>R0021</t>
  </si>
  <si>
    <t>Performance analysis of real-coded evolutionary algorithms under a computationally expensive optimization scenario: 3D–2D Comparative Radiography</t>
  </si>
  <si>
    <t>Gómez O.; Ibáñez O.; Valsecchi A.; Bermejo E.; Molina D.; Cordón O.</t>
  </si>
  <si>
    <t>Applied Soft Computing Journal</t>
  </si>
  <si>
    <t>10.1016/j.asoc.2020.106793</t>
  </si>
  <si>
    <t>2-s2.0-85092456271</t>
  </si>
  <si>
    <t>3D–2D evolutionary image registration; Comparative radiography; Computer vision; Evolutionary computation</t>
  </si>
  <si>
    <t>Digital forensics; Image registration; Optimization; Radiography; Anatomical structures; Differential Evolution; Evolutionary image registrations; Forensic identification; Optimization problems; Performance analysis; Real-world optimization; Registration methods; Evolutionary algorithms</t>
  </si>
  <si>
    <t>EC1; EC5</t>
  </si>
  <si>
    <t>R0022</t>
  </si>
  <si>
    <t>DADP: a discrepancy-aware dual-path network for AI-generated image detection</t>
  </si>
  <si>
    <t>Ma L.; Li H.</t>
  </si>
  <si>
    <t>Multimedia Systems</t>
  </si>
  <si>
    <t>10.1007/s00530-026-02435-2</t>
  </si>
  <si>
    <t>2-s2.0-105044394341</t>
  </si>
  <si>
    <t>AI-generated image detection; Frequency analysis; Generalization; Robustness</t>
  </si>
  <si>
    <t>Error detection; Feature extraction; Image enhancement; Semantics; AI-generated image detection; Dual path; Frequency Analysis; Generalisation; Generation techniques; Image detection; Image detector; Image generations; Robustness; Semantic features; Robustness (control systems)</t>
  </si>
  <si>
    <t>R0023</t>
  </si>
  <si>
    <t>Cross-Model Deepfake Detection Through Contourlet-Based Inter-Channel Spectral Analysis</t>
  </si>
  <si>
    <t>Hamadene A.; Allili M.S.</t>
  </si>
  <si>
    <t>IEEE Transactions on Biometrics, Behavior, and Identity Science</t>
  </si>
  <si>
    <t>10.1109/TBIOM.2026.3687469</t>
  </si>
  <si>
    <t>2-s2.0-105038690534</t>
  </si>
  <si>
    <t>Attribution; Cross-Model Generalization; Deepfake Detection; Inter-Channel Contourlet Features</t>
  </si>
  <si>
    <t>Computer forensics; Computer vision; Contourlet transform; Deep learning; Forensic engineering; Image enhancement; Attribution; Contourlets; Cross model; Cross-model generalization; Deepfake detection; Inter-channel contourlet feature; Model generalization; Performance; Public trust; Spectral analyze; Spectrum analysis</t>
  </si>
  <si>
    <t>R0024</t>
  </si>
  <si>
    <t>Plant disease detection with generative adversarial networks</t>
  </si>
  <si>
    <t>Han G.; Asiedu D.K.P.; Bennin K.E.</t>
  </si>
  <si>
    <t>Heliyon</t>
  </si>
  <si>
    <t>10.1016/j.heliyon.2025.e43002</t>
  </si>
  <si>
    <t>2-s2.0-86000658174</t>
  </si>
  <si>
    <t>Generative adversarial network; Image augmentation; Multi-class classification; Plant disease detection</t>
  </si>
  <si>
    <t>R0025</t>
  </si>
  <si>
    <t>Computer generated images vs. digital photographs: A synergetic feature and classifier combination approach</t>
  </si>
  <si>
    <t>Tokuda E.; Pedrini H.; Rocha A.</t>
  </si>
  <si>
    <t>Journal of Visual Communication and Image Representation</t>
  </si>
  <si>
    <t>10.1016/j.jvcir.2013.08.009</t>
  </si>
  <si>
    <t>2-s2.0-84884693765</t>
  </si>
  <si>
    <t>Classifier combination; Digital forensics; Feature extraction; Feature fusion; Image descriptors; Photorealism; Synthetic images; Voting method</t>
  </si>
  <si>
    <t>Electronic crime countermeasures; Feature extraction; Photography; Classifier combination; Digital forensic; Feature fusion; Image descriptors; Photorealism; Synthetic images; Voting method; Image processing</t>
  </si>
  <si>
    <t>—</t>
  </si>
  <si>
    <t>R0026</t>
  </si>
  <si>
    <t>Semantic Distribution and Authenticity Discrepancy Alignment for AI-Generated Image Detection</t>
  </si>
  <si>
    <t>Zhang J.; Li L.; Yan C.; Ke W.; Gong Y.</t>
  </si>
  <si>
    <t>10.1109/TMM.2026.3668513</t>
  </si>
  <si>
    <t>2-s2.0-105031721329</t>
  </si>
  <si>
    <t>AI-generated image detection; authenticity discrepancy alignment; semantic distri bution alignment</t>
  </si>
  <si>
    <t>Alignment; Image processing; Latent semantic analysis; Semantic Web; AI-generated image detection; Authenticity discrepancy alignment; Feature space; Generative model; Image detection; Real-world; Semantic distribution; Semantic distribution alignment; Semantic features; Semantic structures; Semantics</t>
  </si>
  <si>
    <t>R0027</t>
  </si>
  <si>
    <t>Ensemble-Based Biometric Verification: Defending Against Multi-Strategy Deepfake Image Generation</t>
  </si>
  <si>
    <t>Zen H.; Wagh R.; Wanderley M.; Bicalho G.; Park R.; Sun M.; Palacios R.; Carvalho L.; Rinaldo G.; Gupta A.</t>
  </si>
  <si>
    <t>Computers</t>
  </si>
  <si>
    <t>10.3390/computers14060225</t>
  </si>
  <si>
    <t>2-s2.0-105008931683</t>
  </si>
  <si>
    <t>biometric verification systems; deepfake detection model; deepfakes; ensemble learning; generalization</t>
  </si>
  <si>
    <t>Crime; Biometric verification; Biometric verification system; Deepfake; Deepfake detection model; Detection models; Ensemble learning; Generalisation; Generation method; Image generations; Verification systems; Biometrics</t>
  </si>
  <si>
    <t>R0028</t>
  </si>
  <si>
    <t>Training humans for synthetic face image detection</t>
  </si>
  <si>
    <t>Rehman R.S.; Meier E.; Ibsen M.; Rathgeb C.; Nichols R.; Busch C.</t>
  </si>
  <si>
    <t>Frontiers in Artificial Intelligence</t>
  </si>
  <si>
    <t>10.3389/frai.2025.1568267</t>
  </si>
  <si>
    <t>2-s2.0-105007168681</t>
  </si>
  <si>
    <t>biometrics; face analysis; generative AI; image forensics; synthetic image data</t>
  </si>
  <si>
    <t>FT EXCLUDE</t>
  </si>
  <si>
    <t>FT-EC5</t>
  </si>
  <si>
    <t>R0029</t>
  </si>
  <si>
    <t>Detection of AI generated images using combined uncertainty measures and particle swarm optimised rejection mechanism</t>
  </si>
  <si>
    <t>Yumlembam R.; Issac B.; Aslam N.; Babu E.K.; Collyer J.; Kennedy F.</t>
  </si>
  <si>
    <t>Scientific Reports</t>
  </si>
  <si>
    <t>10.1038/s41598-025-28572-8</t>
  </si>
  <si>
    <t>2-s2.0-105025236157</t>
  </si>
  <si>
    <t>article; benchmarking; classifier; degradation; diffusion; entropy; filtration; generator; human; particle swarm optimization; prediction; probability; uncertainty</t>
  </si>
  <si>
    <t>R0030</t>
  </si>
  <si>
    <t>Exposing GANfakes: a systematic review of cutting-edge detection and localization techniques</t>
  </si>
  <si>
    <t>Salmani S.B.; Nimkar A.V.</t>
  </si>
  <si>
    <t>10.1007/s11042-026-21735-3</t>
  </si>
  <si>
    <t>2-s2.0-105042631672</t>
  </si>
  <si>
    <t>Capsule network; Convolutional neural network; Detection; Forgery; Generalization; Generative Adversarial Network(GAN); Localization; Transformer models</t>
  </si>
  <si>
    <t>Architecture; Authentication; Computer crime; Digital forensics; Feature extraction; Frequency domain analysis; Image analysis; Network architecture; Network security; Neural networks; Adversarial networks; Capsule network; Convolutional neural network; Detection; Detection and localization; Forgery; Generalisation; Localisation; Systematic Review; Transformer modeling; Error detection</t>
  </si>
  <si>
    <t>Secondary/review study</t>
  </si>
  <si>
    <t>R0031</t>
  </si>
  <si>
    <t>Revisiting DIRE: towards universal AI-generated image detection</t>
  </si>
  <si>
    <t>Lin H.; Qin J.; Wu X.; Chen T.; Yang Z.</t>
  </si>
  <si>
    <t>Neural Networks</t>
  </si>
  <si>
    <t>10.1016/j.neunet.2025.108084</t>
  </si>
  <si>
    <t>2-s2.0-105015489936</t>
  </si>
  <si>
    <t>Generative models; Multi-scale channel and window attention; Reconstruction residual errors; Synthetic image detection</t>
  </si>
  <si>
    <t>Algorithms; Artificial Intelligence; Humans; Image Processing, Computer-Assisted; Neural Networks, Computer; Diffusion; Image quality; Image reconstruction; Generative model; Image detection; Images synthesis; Multi-scale channel and window attention; Multi-scales; Real images; Reconstruction residual error; Residual error; Synthetic image detection; Synthetic images; article; controlled study; diagnosis; diffusion; generative model; human; image quality; synthesis; algorithm; artificial intelligence; artificial neural network; image processing; procedures; Image enhancement</t>
  </si>
  <si>
    <t>R0032</t>
  </si>
  <si>
    <t>Lu P.; Liang K.; Liu X.; Lu X.; Li A.</t>
  </si>
  <si>
    <t>10.1016/j.eswa.2026.132304</t>
  </si>
  <si>
    <t>2-s2.0-105035486788</t>
  </si>
  <si>
    <t>Data mining; Frequency domain analysis; Semantics; Adversarial networks; Affine perturbation; AI-generated image detection; Diffusion model; Dual domain; Generative model; Image detection; Multi-scales; Sub-pixels; Synthetic images; Image enhancement</t>
  </si>
  <si>
    <t>R0033</t>
  </si>
  <si>
    <t>An Overview on the Generation and Detection of Synthetic and Manipulated Satellite Images</t>
  </si>
  <si>
    <t>Abady L.; Cannas E.D.; Bestagini P.; Tondi B.; Tubaro S.; Barni M.</t>
  </si>
  <si>
    <t>APSIPA Transactions on Signal and Information Processing</t>
  </si>
  <si>
    <t>10.1561/116.00000142</t>
  </si>
  <si>
    <t>2-s2.0-85151809705</t>
  </si>
  <si>
    <t>fake image detection; generative models; Remote sensing; segmentation</t>
  </si>
  <si>
    <t>Deep neural networks; Image segmentation; Satellite imagery; Semantics; % reductions; Fake image detection; Generative model; Image detection; Image editing tools; Remote-sensing; Satellite data; Satellite images; Satellite-launch satellites; Segmentation; Remote sensing</t>
  </si>
  <si>
    <t>R0034</t>
  </si>
  <si>
    <t>BM-DDFN: Bilinear cross-domain modeling for AIGC image source attribution</t>
  </si>
  <si>
    <t>Qin Z.; Gu S.; Zhang Y.; Xie L.; Jing M.; Xiang Q.; Guo Y.; Wang Z.; Hu Y.</t>
  </si>
  <si>
    <t>10.1016/j.knosys.2026.115655</t>
  </si>
  <si>
    <t>2-s2.0-105032065888</t>
  </si>
  <si>
    <t>AIGC image forensics; Cross-domain covariance; Frequency-domain artifacts; Generative model attribution; Spatial residual analysis</t>
  </si>
  <si>
    <t>Digital forensics; Electric generators; Frequency domain analysis; Mathematical operators; Semantics; AIGC image forensic; Cross-domain; Cross-domain covariance; Frequency domains; Frequency-domain artifact; Generative model; Generative model attribution; Image forensics; Residuals analysis; Spatial residual analyze; Discrete cosine transforms; Image enhancement</t>
  </si>
  <si>
    <t>R0035</t>
  </si>
  <si>
    <t>A siamese-based verification system for open-set architecture attribution of synthetic images</t>
  </si>
  <si>
    <t>Abady L.; Wang J.; Tondi B.; Barni M.</t>
  </si>
  <si>
    <t>10.1016/j.patrec.2024.03.002</t>
  </si>
  <si>
    <t>2-s2.0-85186957712</t>
  </si>
  <si>
    <t>Deep learning for forensics; Open-set classification/recognition; Siamese networks; Source attribution; Synthetic image manipulation</t>
  </si>
  <si>
    <t>Digital forensics; Image classification; Network architecture; Search engines; Deep learning for forensic; Image manipulation; Open-set classification/recognition; Real-world scenario; Siamese network; Source attribution; Synthetic image manipulation; Synthetic images; Training sets; Verification systems; Deep learning</t>
  </si>
  <si>
    <t>R0036</t>
  </si>
  <si>
    <t>Analysis of benford’s law for no-reference quality assessment of natural, screen-content, and synthetic images</t>
  </si>
  <si>
    <t>Varga D.</t>
  </si>
  <si>
    <t>Electronics (Switzerland)</t>
  </si>
  <si>
    <t>10.3390/electronics10192378</t>
  </si>
  <si>
    <t>2-s2.0-85116026807</t>
  </si>
  <si>
    <t>Benford’s law; No-reference image quality assessment</t>
  </si>
  <si>
    <t>R0037</t>
  </si>
  <si>
    <t>Detecting images generated by diffusers</t>
  </si>
  <si>
    <t>Coccomini D.A.; Esuli A.; Falchi F.; Gennaro C.; Amato G.</t>
  </si>
  <si>
    <t>PeerJ Computer Science</t>
  </si>
  <si>
    <t>10.7717/peerj-cs.2127</t>
  </si>
  <si>
    <t>2-s2.0-85199053924</t>
  </si>
  <si>
    <t>CLIP; Computer vision; Convolutional neural networks; Deep learning; Deepfake detection; Multimodal machine learning; Synthetic image detection; Transformers</t>
  </si>
  <si>
    <t>Computer vision; Convolution; Convolutional neural networks; Deep neural networks; Large datasets; Learning systems; Multilayer neural networks; CLIP; Convolutional neural network; Deep learning; Deepfake detection; Image detection; Machine-learning; Multi-modal; Multimodal machine learning; Synthetic image detection; Synthetic images; Transformer; Diffusion</t>
  </si>
  <si>
    <t>R0038</t>
  </si>
  <si>
    <t>An Interpretability Pipeline for Image Forgery Localization using GAN-Generated Forgeries and Grad-CAM</t>
  </si>
  <si>
    <t>Samel M.; Mallikarjuna Reddy A.</t>
  </si>
  <si>
    <t>Journal of Innovative Image Processing</t>
  </si>
  <si>
    <t>10.36548/jiip.2025.2.003</t>
  </si>
  <si>
    <t>2-s2.0-105007350511</t>
  </si>
  <si>
    <t>Adversarial Forgeries; Attention Score; Deep Learning; Efficient Net; Explainable AI; GAN; Grad-CAM; Image Forgery Detection; Interpretability; Localization</t>
  </si>
  <si>
    <t>EC3; EC5</t>
  </si>
  <si>
    <t>R0039</t>
  </si>
  <si>
    <t>Boosting Deep Feature Fusion-Based Detection Model for Fake Faces Generated by Generative Adversarial Networks for Consumer Space Environment</t>
  </si>
  <si>
    <t>Alrowais F.; Hassan A.A.; Almukadi W.S.; Alanazi M.H.; Marzouk R.; Mahmud A.</t>
  </si>
  <si>
    <t>IEEE Access</t>
  </si>
  <si>
    <t>10.1109/ACCESS.2024.3470128</t>
  </si>
  <si>
    <t>2-s2.0-85205882022</t>
  </si>
  <si>
    <t>CNN; Consumer space; deepfake image detection; generative adversarial network; image processing; slime mould algorithm</t>
  </si>
  <si>
    <t>Adversarial machine learning; Authentication; Benchmarking; Case hardening; Convolutional neural networks; Deep neural networks; Discriminators; Gabor filters; Gaussian distribution; Image enhancement; Image fusion; Image texture; Luminescent devices; Medium access control; Steganography; Adversarial networks; Consumer space; Convolutional neural network; Deepfake image detection; Features fusions; Image detection; Images processing; Slime mold algorithm; Slime moulds; Space environment; Generative adversarial networks</t>
  </si>
  <si>
    <t>R0040</t>
  </si>
  <si>
    <t>Transformer Based on Multi-Domain Feature Fusion for AI-Generated Image Detection</t>
  </si>
  <si>
    <t>Man Q.; Cho Y.-I.</t>
  </si>
  <si>
    <t>10.3390/electronics15030716</t>
  </si>
  <si>
    <t>2-s2.0-105030063630</t>
  </si>
  <si>
    <t>AI-generated image detection; forged forensics; frequency domain analysis; semantic analysis</t>
  </si>
  <si>
    <t>Digital forensics; Feature extraction; Image analysis; Image fusion; Semantics; Wavelet transforms; Adversarial networks; AI-generated image detection; Diffusion model; Features fusions; Forged forensic; Frequency-domain analysis; Image detection; Multi-domain features; Network diffusions; Semantic analysis; Frequency domain analysis</t>
  </si>
  <si>
    <t>R0041</t>
  </si>
  <si>
    <t>VeriTrace: A Multitask Disaster Dataset for Real–Fake Verification and Source Tracing</t>
  </si>
  <si>
    <t>Madan S.; Yasuda Y.; Yamagishi J.</t>
  </si>
  <si>
    <t>IEEE Open Journal of Signal Processing</t>
  </si>
  <si>
    <t>10.1109/OJSP.2026.3684389</t>
  </si>
  <si>
    <t>2-s2.0-105036745245</t>
  </si>
  <si>
    <t>Deepfake detection; disaster; generative AI; image forensics; machine learning; multitask learning; source tracing; synthetic imagery</t>
  </si>
  <si>
    <t>Computer vision; Fake detection; Labeled data; Large datasets; Learning systems; Machine learning; Semantics; Deepfake detection; Face swapping; Generative AI; Generative model; Image forensics; Machine-learning; Multitask learning; Natural disasters; Source tracing; Synthetic imagery; Disasters</t>
  </si>
  <si>
    <t>R0042</t>
  </si>
  <si>
    <t>Detection of dense small rigid targets based on convolutional neural network and synthetic images</t>
  </si>
  <si>
    <t>Zhang X.; Chen G.</t>
  </si>
  <si>
    <t>Traitement du Signal</t>
  </si>
  <si>
    <t>10.18280/TS.380106</t>
  </si>
  <si>
    <t>2-s2.0-85104387501</t>
  </si>
  <si>
    <t>Artificial data; Convolutional neural network (CNN); Deep learning (DL); Faster region-based CNN (Faster-RCNN); Rice planthoppers; Target recognition</t>
  </si>
  <si>
    <t>Convolution; Deep learning; Image processing; Iterative methods; Image detection; Image processing algorithm; Labeled dataset; Network training; Standard images; Synthesis algorithms; Synthetic images; Training sample; Convolutional neural networks</t>
  </si>
  <si>
    <t>R0043</t>
  </si>
  <si>
    <t>Image quality assessment based fake face detection</t>
  </si>
  <si>
    <t>S K.; V M.</t>
  </si>
  <si>
    <t>10.1007/s11042-021-11493-9</t>
  </si>
  <si>
    <t>2-s2.0-85122265843</t>
  </si>
  <si>
    <t>Deepfake; Face detection; Face forensics; Image forgery; Image quality assessment; Random forest</t>
  </si>
  <si>
    <t>Decision trees; Deep learning; Digital forensics; Electric current measurement; Fake detection; Frequency domain analysis; Image enhancement; Image quality; Deepfake; Detection system; Face forensic; Faces detection; Frequency domains; Image forgery; Image quality assessment; Random forests; Research areas; Social media; Face recognition</t>
  </si>
  <si>
    <t>R0044</t>
  </si>
  <si>
    <t>Linear structures in mammographic images: Detection and classification</t>
  </si>
  <si>
    <t>Zwiggelaar R.; Astley S.M.; Boggis C.R.M.; Taylor C.J.</t>
  </si>
  <si>
    <t>IEEE Transactions on Medical Imaging</t>
  </si>
  <si>
    <t>10.1109/TMI.2004.828675</t>
  </si>
  <si>
    <t>2-s2.0-4444271529</t>
  </si>
  <si>
    <t>Anatomical classification; Cross-sectional profiles; Linear structures; Mammogram; Orientation; Scale</t>
  </si>
  <si>
    <t>Algorithms; Breast Diseases; Breast Neoplasms; Calcinosis; Humans; Image Enhancement; Image Interpretation, Computer-Assisted; Mammography; Pattern Recognition, Automated; Reproducibility of Results; Sensitivity and Specificity; Algorithms; Blood; Computer aided diagnosis; Medical imaging; Radiology; Tissue; X rays; Anatomical classification; Cross-sectional profiles; Linear structures; Mammogram; Orientation; Scale; algorithm; article; automated pattern recognition; breast disease; breast tumor; calcinosis; comparative study; computer assisted diagnosis; evaluation; human; image enhancement; mammography; methodology; radiography; reproducibility; sensitivity and specificity; validation study; Mammography</t>
  </si>
  <si>
    <t>EC1; EC5; EC12</t>
  </si>
  <si>
    <t>R0045</t>
  </si>
  <si>
    <t>Boon or Bane: Source Camera Identification meets AI-generated images</t>
  </si>
  <si>
    <t>Klier S.; Baier H.</t>
  </si>
  <si>
    <t>Forensic Science International: Digital Investigation</t>
  </si>
  <si>
    <t>10.1016/j.fsidi.2026.302064</t>
  </si>
  <si>
    <t>2-s2.0-105042985070</t>
  </si>
  <si>
    <t>AI image fingerprints; AI-generated image detection; Media Forensics; Source Camera Identification</t>
  </si>
  <si>
    <t>Cameras; Computer forensics; Electronic crime countermeasures; Forensic engineering; Image enhancement; Palmprint recognition; AI image fingerprint; AI-generated image detection; Identification approach; Image detection; Medium forensic; Noise patterns; Sensor pattern noise; Smart phones; Source camera identifications; Standard procedures; Smartphones</t>
  </si>
  <si>
    <t>R0046</t>
  </si>
  <si>
    <t>DiffCoR: Exposing AI-Generated Image by Using Stable Diffusion Model Based on Consistent Representation Learning</t>
  </si>
  <si>
    <t>Tran V.-N.; Choi P.; Le H.-S.; Lee S.-H.; Kwon K.-R.</t>
  </si>
  <si>
    <t>IEEE Open Journal of the Computer Society</t>
  </si>
  <si>
    <t>10.1109/OJCS.2025.3575507</t>
  </si>
  <si>
    <t>2-s2.0-105007343486</t>
  </si>
  <si>
    <t>deep learning; generative AI; image forensics; Multimedia forensics; representation learning</t>
  </si>
  <si>
    <t>Computer forensics; Deep learning; Forensic engineering; Photointerpretation; Semi-supervised learning; Support vector machines; Deep learning; Diffusion model; Generative AI; Generative model; Image forensics; Image representations; Images synthesis; Model-based OPC; Multimedia forensics; Representation learning; Self-supervised learning</t>
  </si>
  <si>
    <t>R0047</t>
  </si>
  <si>
    <t>Artifact feature purification for cross-domain detection of AI-generated images</t>
  </si>
  <si>
    <t>Meng Z.; Peng B.; Dong J.; Tan T.; Cheng H.</t>
  </si>
  <si>
    <t>Computer Vision and Image Understanding</t>
  </si>
  <si>
    <t>10.1016/j.cviu.2024.104078</t>
  </si>
  <si>
    <t>2-s2.0-85199948488</t>
  </si>
  <si>
    <t>AI-generated image detection; Artifact Purification; Cross-domain</t>
  </si>
  <si>
    <t>AI-generated image detection; Artifact purification; Cross-domain; Diffusion model; Domain detections; Generation technologies; Image detection; Performance; Security risks; Visual content; Purification</t>
  </si>
  <si>
    <t>R0048</t>
  </si>
  <si>
    <t>Enhancing CNN for Forensics Age Estimation Using CGAN and Pseudo-Labelling</t>
  </si>
  <si>
    <t>Alkaabi S.; Yussof S.; Al-Mulla S.</t>
  </si>
  <si>
    <t>Computers, Materials and Continua</t>
  </si>
  <si>
    <t>10.32604/cmc.2023.029914</t>
  </si>
  <si>
    <t>2-s2.0-85141892582</t>
  </si>
  <si>
    <t>age estimation; convolutional neural network; Dental forensics; generative adversarial network; pseudo-labelling</t>
  </si>
  <si>
    <t>Convolution; Convolutional neural networks; Deep learning; Digital forensics; Image enhancement; Neural network models; Age estimation; Convolutional neural network; Dental forensic; Dental images; Forensic odontology; Human expert; Labelings; Neural network model; Pseudo-labeling; Synthetic images; Generative adversarial networks</t>
  </si>
  <si>
    <t>R0049</t>
  </si>
  <si>
    <t>Image Forgery Detection Based on Motion Blur Estimated Using Convolutional Neural Network</t>
  </si>
  <si>
    <t>Song C.; Zeng P.; Wang Z.; Li T.; Qiao L.; Shen L.</t>
  </si>
  <si>
    <t>IEEE Sensors Journal</t>
  </si>
  <si>
    <t>10.1109/JSEN.2019.2928480</t>
  </si>
  <si>
    <t>2-s2.0-85077491349</t>
  </si>
  <si>
    <t>deep learning; Digital forensics; image tamper detection; motion blur</t>
  </si>
  <si>
    <t>Cameras; Convolution; Deep learning; Motion estimation; Neural networks; Convolutional neural network; Image forgery detections; Motion blur; Natural images; Propagation method; Reliability estimation; Synthetic images; Tamper detection; Digital forensics</t>
  </si>
  <si>
    <t>EC3; EC12</t>
  </si>
  <si>
    <t>R0050</t>
  </si>
  <si>
    <t>UFS-YOLO: A real-time small fire target detection method incorporated hybrid attention in underground facilities</t>
  </si>
  <si>
    <t>Zhang K.; Mao B.; Liu H.; Zhang Y.</t>
  </si>
  <si>
    <t>Measurement: Journal of the International Measurement Confederation</t>
  </si>
  <si>
    <t>10.1016/j.measurement.2025.117948</t>
  </si>
  <si>
    <t>2-s2.0-105006549820</t>
  </si>
  <si>
    <t>Attention mechanism; Computer vision; Deep learning; Fire detection; Underground facilities</t>
  </si>
  <si>
    <t>Fire hazards; Photointerpretation; Attention mechanisms; Deep learning; Detection methods; Detection models; Fire detection; Real- time; Small fire; Targets detection; Underground environment; Underground facility; Smoke detectors</t>
  </si>
  <si>
    <t>R0051</t>
  </si>
  <si>
    <t>VIPPrint: Validating Synthetic Image Detection and Source Linking Methods on a Large Scale Dataset of Printed Documents</t>
  </si>
  <si>
    <t>Ferreira A.; Nowroozi E.; Barni M.</t>
  </si>
  <si>
    <t>Journal of Imaging</t>
  </si>
  <si>
    <t>10.3390/jimaging7030050</t>
  </si>
  <si>
    <t>2-s2.0-85117489283</t>
  </si>
  <si>
    <t>Digital image forensics; GAN-generated image detection; Source identification</t>
  </si>
  <si>
    <t>R0052</t>
  </si>
  <si>
    <t>BOSC: A Backdoor-Based Framework for Open Set Synthetic Image Attribution</t>
  </si>
  <si>
    <t>IEEE Transactions on Information Forensics and Security</t>
  </si>
  <si>
    <t>10.1109/TIFS.2025.3592531</t>
  </si>
  <si>
    <t>2-s2.0-105011943531</t>
  </si>
  <si>
    <t>backdoor injection; deep learning for multimedia forensics; open set recognition; Synthetic image attribution</t>
  </si>
  <si>
    <t>Architecture; Classification (of information); Computer forensics; Forensic engineering; Image classification; Network architecture; AI Technologies; Backdoor injection; Backdoors; Closed set; Deep learning for multimedium forensic; Discriminative features; Multimedia forensics; Open set recognition; Synthetic image attribution; Synthetic images; Deep learning</t>
  </si>
  <si>
    <t>R0053</t>
  </si>
  <si>
    <t>Advanced Detection of AI-Generated Images Through Vision Transformers</t>
  </si>
  <si>
    <t>Lamichhane D.</t>
  </si>
  <si>
    <t>10.1109/ACCESS.2024.3522759</t>
  </si>
  <si>
    <t>2-s2.0-85213557121</t>
  </si>
  <si>
    <t>CNN; DeepFake images; detection of AI-generated images; fake AI-generated images detection; GAN based images detection; GAN image classification; vision transformers</t>
  </si>
  <si>
    <t>Classification (of information); Electronic publishing; Image classification; Adversarial networks; Deepfake image; Detection of artificial intelligence-generated image; Fake artificial intelligence-generated image detection; Generative adversarial network based image detection; Generative adversarial network image classification; Image detection; Images classification; Network-based; Vision transformer; Fake detection</t>
  </si>
  <si>
    <t>R0054</t>
  </si>
  <si>
    <t>Bi-LORA: A Vision-Language Approach for Synthetic Image Detection</t>
  </si>
  <si>
    <t>Keita M.; Hamidouche W.; Bougueffa Eutamene H.; Taleb-Ahmed A.; Camacho D.; Hadid A.</t>
  </si>
  <si>
    <t>Expert Systems</t>
  </si>
  <si>
    <t>10.1111/exsy.13829</t>
  </si>
  <si>
    <t>2-s2.0-85214668825</t>
  </si>
  <si>
    <t>deepfake; diffusion models; generative adversarial nets; image captioning; large language model; low rank adaptation; text-to-image generation; visual language model</t>
  </si>
  <si>
    <t>Adversarial machine learning; Binary codes; Photomapping; Semantics; Visual languages; Zero-shot learning; Deepfake; Diffusion model; Image captioning; Image generations; Language model; Large language model; Low rank adaptation; Synthetic images; Text-to-image generation; Visual language model; Generative adversarial networks</t>
  </si>
  <si>
    <t>R0055</t>
  </si>
  <si>
    <t>SIDWA: Synthetic Image Detection Based on Discrete Wavelet Transform Stem and Deformable Sliding Window Cross-Attention</t>
  </si>
  <si>
    <t>Li L.; Lu T.; Song J.; Cheng K.</t>
  </si>
  <si>
    <t>10.3390/electronics15040891</t>
  </si>
  <si>
    <t>2-s2.0-105031423734</t>
  </si>
  <si>
    <t>AIGC detection; attention mechanism; deformable convolution; image generation; wavelet transform</t>
  </si>
  <si>
    <t>Benchmarking; Complex networks; Signal reconstruction; Textures; Adversarial networks; AIGC detection; Attention mechanisms; Deformable convolution; Discrete-wavelet-transform; Image detection; Image generations; Sliding Window; Synthetic images; Wavelets transform; Discrete wavelet transforms</t>
  </si>
  <si>
    <t>R0056</t>
  </si>
  <si>
    <t>Background-Noise-Driven Detection of Diffusion-Generated Images</t>
  </si>
  <si>
    <t>Li J.; Ou W.; Meng D.; Xu Y.</t>
  </si>
  <si>
    <t>IEEE Signal Processing Letters</t>
  </si>
  <si>
    <t>10.1109/LSP.2026.3678476</t>
  </si>
  <si>
    <t>2-s2.0-105034691156</t>
  </si>
  <si>
    <t>Diffusion-generated images; image forensics; inverse ISP; noise residual</t>
  </si>
  <si>
    <t>Background noise; Diffusion; Inverse problems; Noise generators; Signal denoising; Background noise; Camera images; Deterministics; Diffusion-generated image; Image forensics; Image generations; Inverse ISP; Noise residual; Robust detection; Synthetic imagery; Semantics</t>
  </si>
  <si>
    <t>R0057</t>
  </si>
  <si>
    <t>GAN-Based Synthetic Data Augmentation for Infrared Small Target Detection</t>
  </si>
  <si>
    <t>Kim J.-H.; Hwang Y.</t>
  </si>
  <si>
    <t>IEEE Transactions on Geoscience and Remote Sensing</t>
  </si>
  <si>
    <t>10.1109/TGRS.2022.3179891</t>
  </si>
  <si>
    <t>2-s2.0-85131755236</t>
  </si>
  <si>
    <t>Convolutional neural network (CNN); generative adversarial network (GAN); image-To-image translation; infrared small target; synthetic data augmentation</t>
  </si>
  <si>
    <t>Convolution; Image segmentation; Infrared imaging; Neural networks; Object detection; Convolutional neural network; Data augmentation; Generator; Image translation; Image-to-image translation; Images segmentations; Infrared small targets; Synthetic data; Synthetic data augmentation; Training data; artificial neural network; bioaugmentation; detection method; remote sensing; Generative adversarial networks</t>
  </si>
  <si>
    <t>R0058</t>
  </si>
  <si>
    <t>CLIP-ADA: CLIP-Guided Artifact-Invariant Generalizable Synthetic Image Detection</t>
  </si>
  <si>
    <t>Deng J.; Zhang C.; Xu C.; Lin C.; Zhao Z.; Liu S.; Wang Q.; Shen C.</t>
  </si>
  <si>
    <t>10.1109/TIFS.2026.3676657</t>
  </si>
  <si>
    <t>2-s2.0-105034305905</t>
  </si>
  <si>
    <t>diffusion model; generative adversarial network; multimedia forensics; Synthetic image detection</t>
  </si>
  <si>
    <t>Computer forensics; Electric generators; Electronic crime countermeasures; Embeddings; Fake detection; Forensic engineering; Image coding; Image recognition; Multimedia systems; Adversarial networks; Cross-artifacts; Detection methods; Diffusion model; Embeddings; Generative model; Image detection; Multimedia forensics; Synthetic image detection; Synthetic images; Semantics</t>
  </si>
  <si>
    <t>R0059</t>
  </si>
  <si>
    <t>Research on adversarial identification methods for AI-generated image software Craiyon V3</t>
  </si>
  <si>
    <t>Jin W.; Luo H.; Tang Y.</t>
  </si>
  <si>
    <t>Journal of Forensic Sciences</t>
  </si>
  <si>
    <t>10.1111/1556-4029.70034</t>
  </si>
  <si>
    <t>2-s2.0-105003953256</t>
  </si>
  <si>
    <t>AI-generated image; image detection; image identification; score-based likelihood ratio method</t>
  </si>
  <si>
    <t>adult; article; classifier; controlled study; deep learning; diffusion; human; imaging software; residual neural network; software</t>
  </si>
  <si>
    <t>R0060</t>
  </si>
  <si>
    <t>Self-Supervised AI-Generated Image Detection: A Camera Metadata Perspective</t>
  </si>
  <si>
    <t>Zhong N.; Zou M.; Xu Y.; Qian Z.; Zhang X.; Wu B.; Ma K.</t>
  </si>
  <si>
    <t>10.1109/TPAMI.2026.3654274</t>
  </si>
  <si>
    <t>2-s2.0-105027448719</t>
  </si>
  <si>
    <t>AI-generated image detection; image forensics; self-supervised learning</t>
  </si>
  <si>
    <t>Digital cameras; Digital forensics; Feature extraction; Gaussian distribution; Image classification; Multimedia systems; Photography; Self-supervised learning; Supervised learning; AI-generated image detection; Camera metadata; Cross model; Digital photography; Generative model; Image detection; Image file formats; Image forensics; Learn+; Multimedia forensics; article; camera; classifier; diagnosis; generative model; human; imagery; metadata; photography; Metadata</t>
  </si>
  <si>
    <t>R0061</t>
  </si>
  <si>
    <t>Design of an integrated model combining vision transformer, multi-modal fusion, and proximal policy optimization for synthetic AI-generated image detection</t>
  </si>
  <si>
    <t>Yawale N.M.; Khalsa N.N.; Akarte S.P.; Chaudhari A.A.</t>
  </si>
  <si>
    <t>10.1007/s11042-026-21530-0</t>
  </si>
  <si>
    <t>2-s2.0-105036204655</t>
  </si>
  <si>
    <t>AI-generated images; Multi-modal fusion; Proximal policy optimization; Samples; SHAP; Vision transformer</t>
  </si>
  <si>
    <t>Computer vision; Metadata; Reinforcement learning; Sampling; AI-generated image; Detection accuracy; Image detection; Integrated modeling; Multi-modal fusion; Policy optimization; Proximal policy optimization; Sample; SHAP; Vision transformer; Image enhancement</t>
  </si>
  <si>
    <t>FT-EC9</t>
  </si>
  <si>
    <t>R0062</t>
  </si>
  <si>
    <t>Enhancing Deepfake Detection With Diversified Self-Blending Images and Residuals</t>
  </si>
  <si>
    <t>Liu Q.; Xue Z.; Liu H.; Liu J.</t>
  </si>
  <si>
    <t>10.1109/ACCESS.2024.3382196</t>
  </si>
  <si>
    <t>2-s2.0-85189181982</t>
  </si>
  <si>
    <t>Deep learning; deepfake; image forensics; synthetic data</t>
  </si>
  <si>
    <t>Deep neural networks; Digital forensics; Frequency domain analysis; Image enhancement; Image reconstruction; Perturbation techniques; Rendering (computer graphics); Deep learning; Deepfake; Features extraction; Forgery; Image forensics; Medium; Perturbation method; Reconstruction algorithms; Rendering (computer graphic); Stability analyze; Synthetic data; Feature extraction</t>
  </si>
  <si>
    <t>R0063</t>
  </si>
  <si>
    <t>A hybrid transfer learning approach for multi-class classification of medical deepfakes generated by GAN and diffusion models</t>
  </si>
  <si>
    <t>Shahzad A.; Zafar B.; Talib R.; Khan M.M.</t>
  </si>
  <si>
    <t>Discover Computing</t>
  </si>
  <si>
    <t>10.1007/s10791-026-10116-x</t>
  </si>
  <si>
    <t>2-s2.0-105037504482</t>
  </si>
  <si>
    <t>Deep learning; DeepFake; Diffusion; Family-level; GAN</t>
  </si>
  <si>
    <t>R0064</t>
  </si>
  <si>
    <t>Multi-modal texture fusion network for detecting AI-generated images</t>
  </si>
  <si>
    <t>Yu H.; Xu B.</t>
  </si>
  <si>
    <t>10.3389/frai.2025.1663292</t>
  </si>
  <si>
    <t>2-s2.0-105020949955</t>
  </si>
  <si>
    <t>AI-generated content; image processing; multi-modal; multimedia forensics; texture analysis</t>
  </si>
  <si>
    <t>R0065</t>
  </si>
  <si>
    <t>AI-generated image detection using Machine Learning techniques</t>
  </si>
  <si>
    <t>Chorąży J.; Dąbała Ł.</t>
  </si>
  <si>
    <t>International Journal of Electronics and Telecommunications</t>
  </si>
  <si>
    <t>10.24425/ijet.2026.157932</t>
  </si>
  <si>
    <t>2-s2.0-105038980857</t>
  </si>
  <si>
    <t>generative AI; image generation; image recognition</t>
  </si>
  <si>
    <t>Error detection; Image processing; Learning algorithms; Learning systems; Machine learning; Error levels; Generative AI; Image detection; Image generations; Machine learning techniques; Nonuniformity; Photorealistic images; Photoresponses; Reconstruction error; State of the art; Image recognition</t>
  </si>
  <si>
    <t>R0066</t>
  </si>
  <si>
    <t>Vision Transformer-Based Framework for AI-Generated Image Detection in Interior Design</t>
  </si>
  <si>
    <t>Wang H.</t>
  </si>
  <si>
    <t>Informatica (Slovenia)</t>
  </si>
  <si>
    <t>10.31449/inf.v49i16.7979</t>
  </si>
  <si>
    <t>2-s2.0-105002045414</t>
  </si>
  <si>
    <t>artificial intelligence-generated images; deep learning; image classification; interior design; vision transformers</t>
  </si>
  <si>
    <t>Deep learning; Image enhancement; Interiors (building); Artificial intelligence-generated image; Convolutional neural network; Deep learning; F1 scores; Image detection; Images classification; Interior designs; Long-range dependencies; Network capability; Vision transformer; Convolutional neural networks</t>
  </si>
  <si>
    <t>R0067</t>
  </si>
  <si>
    <t>An enhanced deep learning framework for DeepFake detection using EfficientNet-B3 comparative evaluation of deep and machine learning techniques</t>
  </si>
  <si>
    <t>Deepa B.G.; Lokesh C.K.; Umamaheswari D.; Ayshwarya B.; Yethish P.V.; Suhaas K.P.</t>
  </si>
  <si>
    <t>10.1007/s10791-025-09890-x</t>
  </si>
  <si>
    <t>2-s2.0-105041704964</t>
  </si>
  <si>
    <t>Binary classification; Comparative performance evaluation; Convolutional neural networks (CNN); Deep learning framework; DeepFake detection; Digital data authentication; EfficientNet-B3; Ensemble classifiers; Fake Image Identification; Feature extraction; Image forensics; Machine learning; Machine learning models; Neural Network Architecture Optimization; Transfer learning</t>
  </si>
  <si>
    <t>R0068</t>
  </si>
  <si>
    <t>A multi-branch hierarchical framework for counterfeit image manipulation localization using noise and frequency features</t>
  </si>
  <si>
    <t>Al-Zyoud M.; Jabbar M.A.; Heera M.S.; Sharma S.; Shreenidhi H.S.; Parhi M.; Singh P.; A M.P.; Singh R.</t>
  </si>
  <si>
    <t>Journal of Computer Virology and Hacking Techniques</t>
  </si>
  <si>
    <t>10.1007/s11416-026-00658-5</t>
  </si>
  <si>
    <t>2-s2.0-105046482764</t>
  </si>
  <si>
    <t>Counterfeit Image Detection; Digital Image Forensics; Frequency-Domain Features; Image Manipulation Localization; Multimedia Security; Noise Inconsistencies</t>
  </si>
  <si>
    <t>Benchmarking; Computer crime; Computer forensics; Convolution; Convolutional neural networks; Crime; Decoding; Digital integrated circuits; Electronic crime countermeasures; Multimedia systems; Network security; Security systems; Counterfeit image detection; Digital image forensics; Domain feature; Frequency domains; Frequency-domain feature; Image detection; Image manipulation; Image manipulation localization; Localisation; Multimedia security; Noise inconsistency; Frequency domain analysis</t>
  </si>
  <si>
    <t>R0069</t>
  </si>
  <si>
    <t>Sanitizing Diffusion-Generated Images via Fingerprint Removal and Adversarial Perturbation for Forensic Evasion</t>
  </si>
  <si>
    <t>Wu M.-L.; Cheng C.-P.</t>
  </si>
  <si>
    <t>10.1109/ACCESS.2025.3597641</t>
  </si>
  <si>
    <t>2-s2.0-105013252491</t>
  </si>
  <si>
    <t>Adversarial machine learning; diffusion model; diffusion process; generative adversarial networks; image forensics; information integrity</t>
  </si>
  <si>
    <t>Adversarial machine learning; Computer forensics; Diffusion; Electronic crime countermeasures; Forensic engineering; Frequency domain analysis; Generative adversarial networks; Image processing; Learning systems; Palmprint recognition; Perturbation techniques; Adversarial networks; Detectability; Diffusion model; Diffusion process; Forensic models; Image forensics; Information integrity; Machine-learning; Spectra's; Synthetic image generation; Iterative methods</t>
  </si>
  <si>
    <t>R0070</t>
  </si>
  <si>
    <t>Synthetic Face Discrimination via Learned Image Compression</t>
  </si>
  <si>
    <t>Iliopoulou S.; Tsinganos P.; Ampeliotis D.; Skodras A.</t>
  </si>
  <si>
    <t>Algorithms</t>
  </si>
  <si>
    <t>10.3390/a17090375</t>
  </si>
  <si>
    <t>2-s2.0-85205264502</t>
  </si>
  <si>
    <t>deep learning; deepfakes; discrete wavelet transform; hyperprior; image compression; image forensics; photorealistic images; synthetic image detection; variational autoencoders</t>
  </si>
  <si>
    <t>Contrastive Learning; Deep learning; Discrete wavelet transforms; Auto encoders; Deep learning; Deepfake; Discrete-wavelet-transform; Hyperprior; Image detection; Image forensics; Images compression; Photorealistic images; Synthetic image detection; Synthetic images; Variational autoencoder; Image compression</t>
  </si>
  <si>
    <t>R0071</t>
  </si>
  <si>
    <t>Less is more: A minimalist approach to robust GAN-generated face detection</t>
  </si>
  <si>
    <t>10.1016/j.patrec.2024.02.017</t>
  </si>
  <si>
    <t>2-s2.0-85185720899</t>
  </si>
  <si>
    <t>Deepfake detection; Digital image forensics; Fake image detection; GAN forensics; GAN-face detection; Synthetic image detection</t>
  </si>
  <si>
    <t>Color; Complex networks; Deep learning; Digital forensics; Fake detection; Social networking (online); Deepfake detection; Digital image forensics; Faces detection; Fake image detection; GAN forensic; GAN-face detection; Image detection; Synthetic image detection; Synthetic images; Face recognition</t>
  </si>
  <si>
    <t>R0072</t>
  </si>
  <si>
    <t>Li J.; Zhang M.; Huang S.; Li X.; Feng P.; Liu L.</t>
  </si>
  <si>
    <t>10.1016/j.neucom.2026.134418</t>
  </si>
  <si>
    <t>2-s2.0-105044305365</t>
  </si>
  <si>
    <t>AI-generated image detection; Content entanglement mitigation; Orthogonal subspace decomposition; Parameter-efficient fine-tuning; Semantic alignment; Vision foundation models</t>
  </si>
  <si>
    <t>Authentication; Efficiency; Feature extraction; Foundations; Image recognition; Optimization; Quantum entanglement; Semantics; AI-generated image detection; Content entanglement mitigation; Fine tuning; Foundation models; Image detection; Orthogonal subspace decomposition; Orthogonal subspaces; Parameter-efficient fine-tuning; Semantic alignments; Subspace decomposition; Vision foundation model; adaptation; article; controlled study; decomposition; human; learning; mitigation; purification; vision; Economic and social effects</t>
  </si>
  <si>
    <t>R0073</t>
  </si>
  <si>
    <t>Building a Universal Detector of AI-Generated Images Without Training on Them</t>
  </si>
  <si>
    <t>Li J.; Wang K.</t>
  </si>
  <si>
    <t>International Journal of Intelligent Systems</t>
  </si>
  <si>
    <t>10.1155/int/8530953</t>
  </si>
  <si>
    <t>2-s2.0-105018204550</t>
  </si>
  <si>
    <t>AI-generated image; fake image detection; generalization; image forensics; pretrained image model</t>
  </si>
  <si>
    <t>Digital forensics; Fake detection; Intelligent systems; Photography; AI-generated image; Fake image detection; Generalisation; Generative model; Image detection; Image forensics; Image modeling; International journals; Pretrained image model; Synthetic images; Supervised learning</t>
  </si>
  <si>
    <t>R0074</t>
  </si>
  <si>
    <t>A multiscale attention network model utilizing ResNext architecture for detection and localization of image splicing attack</t>
  </si>
  <si>
    <t>Das D.; Ghosh D.; Raj A.; Thakur Chakraborty R.; Patra A.; Naskar R.</t>
  </si>
  <si>
    <t>10.1007/s11042-025-21007-6</t>
  </si>
  <si>
    <t>2-s2.0-105011620204</t>
  </si>
  <si>
    <t>Image forensics; Multiscale attention network; Post-processing analysis; ResNext; Splicing localization</t>
  </si>
  <si>
    <t>Arts computing; Cable jointing; Digital forensics; Digital image storage; Image analysis; Image compression; Detection and localization; Digital image; Image forensics; Image splicing; Multiscale attention network; Network models; Post-processing; Post-processing analyze; Resnext; Splicing localizations; Network architecture</t>
  </si>
  <si>
    <t>R0075</t>
  </si>
  <si>
    <t>ArtGate: Injecting Fake Artifact Features into CLIP for AI-Generated Image Detection</t>
  </si>
  <si>
    <t>Fan Z.; Zhu G.; Sun L.; Ding F.; Zhang H.; Wu L.</t>
  </si>
  <si>
    <t>10.1109/TMM.2026.3694528</t>
  </si>
  <si>
    <t>2-s2.0-105039583611</t>
  </si>
  <si>
    <t>AI-Generated Image Detection; AIGC Detection; CLIP; Image Forensics; Wavelet Analysis</t>
  </si>
  <si>
    <t>Digital forensics; Digital image storage; Fake detection; Feature extraction; Frequency domain analysis; Image analysis; Image coding; Image compression; Image enhancement; Image recognition; Semantics; AI-generated image detection; AIGC detection; CLIP; Gating mechanisms; Image detection; Image forensics; JPEG compression; Synthetic images; Wavelet analyze; Wavelet-analysis; Wavelet analysis</t>
  </si>
  <si>
    <t>R0076</t>
  </si>
  <si>
    <t>Benchmark dataset and framework for continual AI-generated image detection; [面向AI 生成图像持续检测基准数据集与框架研究]</t>
  </si>
  <si>
    <t>Wang Y.; Hong X.; Huang Z.</t>
  </si>
  <si>
    <t>Journal of Image and Graphics</t>
  </si>
  <si>
    <t>10.11834/jig.250167</t>
  </si>
  <si>
    <t>2-s2.0-105024540320</t>
  </si>
  <si>
    <t>artificial intelligence generated content(AIGC)detection; benchmark dataset; catastrophic forgetting; continual learning(CL); dataset; deepfake; knowledge distillation(KD); prompt tuning</t>
  </si>
  <si>
    <t>R0077</t>
  </si>
  <si>
    <t>MFF-Net: A multi-view feature fusion network for generalized forgery image detection</t>
  </si>
  <si>
    <t>Lin Y.; Mao T.; Chen Z.; Lu H.; Chen Z.; Kang Y.</t>
  </si>
  <si>
    <t>10.1016/j.neucom.2025.130351</t>
  </si>
  <si>
    <t>2-s2.0-105004726262</t>
  </si>
  <si>
    <t>AI-generated image detection; Attention mechanism; Frequency analysis; Multi-view feature fusion; Texture feature enhancement</t>
  </si>
  <si>
    <t>Photointerpretation; AI-generated image detection; Attention mechanisms; Feature enhancement; Features fusions; Frequency Analysis; Image detection; Multi-view feature fusion; Multi-views; Texture feature enhancement; Texture features; article; artificial intelligence; controlled study; diagnosis; feature extraction; female; forgery; frequency analysis; generative model; human; male; Cutoff frequency</t>
  </si>
  <si>
    <t>R0078</t>
  </si>
  <si>
    <t>EXPOSING AI GENERATED DEEPFAKE IMAGES USING SIAMESE NETWORK WITH TRIPLET LOSS</t>
  </si>
  <si>
    <t>Kanwal S.; Tehsin S.; Saif S.</t>
  </si>
  <si>
    <t>Computing and Informatics</t>
  </si>
  <si>
    <t>10.31577/cai_2022_6_1541</t>
  </si>
  <si>
    <t>2-s2.0-85152481897</t>
  </si>
  <si>
    <t>AI generated images; deepfake images; Digital forensics; image forgery; siamese triplet loss</t>
  </si>
  <si>
    <t>Face recognition; Fake detection; Generative adversarial networks; AI generated image; Deepfake image; Detection algorithm; Detection approach; Face recognition systems; Human faces; Image forgery; Loss functions; Real images; Siamese triplet loss; Digital forensics</t>
  </si>
  <si>
    <t>R0079</t>
  </si>
  <si>
    <t>Cross-generator image authenticity verification: multi-modal feature fusion and distribution difference analysis</t>
  </si>
  <si>
    <t>Li Y.; Mahsan I.P.; Yang W.; Yang Y.</t>
  </si>
  <si>
    <t>10.7717/peerj-cs.3655</t>
  </si>
  <si>
    <t>2-s2.0-105038136693</t>
  </si>
  <si>
    <t>AI-generated images; Diffusion model; Feature extraction; Image authenticity verification</t>
  </si>
  <si>
    <t>Authentication; Diffusion; Extraction; Image analysis; Semantics; Artificial intelligence-generated image; Authenticity verification; Diffusion model; Digital contents; Feature distribution; Features extraction; Features fusions; Image authenticity verification; Multi-modal; Real images; Feature extraction</t>
  </si>
  <si>
    <t>R0080</t>
  </si>
  <si>
    <t>Structure searchable network model for deepfake image detection</t>
  </si>
  <si>
    <t>Liu Z.; Wang X.; Wang Q.; Bai N.; Han R.; Pang S.</t>
  </si>
  <si>
    <t>Pattern Recognition</t>
  </si>
  <si>
    <t>10.1016/j.patcog.2026.113813</t>
  </si>
  <si>
    <t>2-s2.0-105037204657</t>
  </si>
  <si>
    <t>Color space correlation difference; Deepfake detection; Genetic algorithm; Low frequency spectrum; Network structure search</t>
  </si>
  <si>
    <t>Correlation detectors; Feature extraction; Iterative methods; Network layers; Optimal detection; Random processes; Structural optimization; Color space correlation difference; Colour spaces; Deepfake detection; Detection methods; Detection networks; Image detection; Low-frequency spectra; Network structure search; Network structures; Space correlation; Genetic algorithms</t>
  </si>
  <si>
    <t>R0081</t>
  </si>
  <si>
    <t>MMGANGuard: A Robust Approach for Detecting Fake Images Generated by GANs Using Multi-Model Techniques</t>
  </si>
  <si>
    <t>Ali Raza S.; Habib U.; Usman M.; Ashraf Cheema A.; Sajid Khan M.</t>
  </si>
  <si>
    <t>10.1109/ACCESS.2024.3393842</t>
  </si>
  <si>
    <t>2-s2.0-85191879108</t>
  </si>
  <si>
    <t>data analytics; Deep fake; deep learning; detection; GANs; multi-model; StyleGAN</t>
  </si>
  <si>
    <t>Computer architecture; Deep learning; Digital forensics; Face recognition; Fake detection; Image coding; Image enhancement; Network architecture; Social networking (online); Data analytics; Deep fake; Deep learning; Deepfake; Detection; Face; Multi-modelling; Predictive models; Social networking (online); Stylegan; Generative adversarial networks</t>
  </si>
  <si>
    <t>R0082</t>
  </si>
  <si>
    <t>Bias-Free? An Empirical Study on Ethnicity, Gender, and Age Fairness in Deepfake Detection</t>
  </si>
  <si>
    <t>Panda A.; Ghosh T.; Choudhary T.; Naskar R.</t>
  </si>
  <si>
    <t>ACM Computing Surveys</t>
  </si>
  <si>
    <t>10.1145/3796544</t>
  </si>
  <si>
    <t>2-s2.0-105037632232</t>
  </si>
  <si>
    <t>Deepfake detection; deepfake detector evaluation; deepfake images; deepfake survey; generative AI; latent diffusion models</t>
  </si>
  <si>
    <t>Artificial intelligence; Diffusion; Population statistics; Deepfake detection; Deepfake detector evaluation; Deepfake image; Deepfake survey; Diffusion model; Empirical studies; Generative AI; Image detection; Latent diffusion model; State of the art; Error detection</t>
  </si>
  <si>
    <t>R0083</t>
  </si>
  <si>
    <t>DTBF: Combining Local Statistical Artifacts and Concept Alignment for Synthetic Image Detection</t>
  </si>
  <si>
    <t>Weng S.; Li R.; Yu L.; Yang G.; Tsai P.-W.</t>
  </si>
  <si>
    <t>10.1109/LSP.2026.3710437</t>
  </si>
  <si>
    <t>2-s2.0-105044162535</t>
  </si>
  <si>
    <t>AI-generated image detection; artifact and semantic features; category concept; CLIP</t>
  </si>
  <si>
    <t>Encoding (symbols); Error detection; Feature extraction; Image coding; Image recognition; Local binary pattern; Semantics; Signal encoding; AI-generated image detection; Artifact and semantic feature; Binary encodings; Category concept; CLIP; Encoding patterns; Generalisation; Image detection; Semantic features; Synthetic images; Image enhancement</t>
  </si>
  <si>
    <t>R0084</t>
  </si>
  <si>
    <t>SPRITZ-PS: validation of synthetic face images using a large dataset of printed documents</t>
  </si>
  <si>
    <t>Nowroozi E.; Habibi Y.; Conti M.</t>
  </si>
  <si>
    <t>10.1007/s11042-024-18111-4</t>
  </si>
  <si>
    <t>2-s2.0-85183382220</t>
  </si>
  <si>
    <t>Adversarial multimedia forensics; Artificial intelligence; CyberSecurity; GAN-generated image detection; Generative adversarial networks (GANs); Machine and deep learning security; Multimedia forensics; Printed and scanned IRIS detection</t>
  </si>
  <si>
    <t>Cybersecurity; Deep learning; Digital forensics; Large datasets; Network architecture; Adversarial multimedium forensic; Cyber security; Generative adversarial network; Generative adversarial network-generated image detection; Image detection; Iris images; Machine and deep learning security; Multimedia forensics; Printed and scanned IRIS detection; Generative adversarial networks</t>
  </si>
  <si>
    <t>R0085</t>
  </si>
  <si>
    <t>Performance Comparison and Visualization of AI-Generated-Image Detection Methods</t>
  </si>
  <si>
    <t>Park D.; Na H.; Choi D.</t>
  </si>
  <si>
    <t>10.1109/ACCESS.2024.3394250</t>
  </si>
  <si>
    <t>2-s2.0-85191822855</t>
  </si>
  <si>
    <t>AI-generated-image detection; diffusion model; GAN; Generative AI; Grad-CAM; performance comparison; synthetic-image detection; t-SNE; transformer</t>
  </si>
  <si>
    <t>Diffusion; Generative adversarial networks; Image analysis; Statistical tests; Artificial intelligence-generated-image detection; Diffusion model; Features extraction; Generative artificial intelligence; Generator; Grad-CAM; Image detection; Performance comparison; Solid modelling; Synthetic images; Synthetic-image detection; T-SNE; Transformer; Feature extraction</t>
  </si>
  <si>
    <t>R0086</t>
  </si>
  <si>
    <t>Linguistic profiling of deepfakes: An open database for next-Generation deepfake detection</t>
  </si>
  <si>
    <t>Wang Y.; Hong X.; Li Y.; Ma Z.; Huang Z.</t>
  </si>
  <si>
    <t>10.1016/j.patcog.2026.113395</t>
  </si>
  <si>
    <t>2-s2.0-105032358661</t>
  </si>
  <si>
    <t>AI-Generated image detection; Dataset; Deepfake detection; Linguistic profiling; Multimodal learning</t>
  </si>
  <si>
    <t>Architecture; Database systems; AI-generated image detection; Dataset; Deepfake detection; Generative model; Image detection; Linguistic profiling; Model identification; Multi-modal learning; Textual description; Visual content; Linguistics</t>
  </si>
  <si>
    <t>R0087</t>
  </si>
  <si>
    <t>Toward Generalizable AI-Generated Image Detection with a New Realistic Dataset: Performance Evaluation and Improvement</t>
  </si>
  <si>
    <t>Truong T.N.T.; Li J.; Wang K.</t>
  </si>
  <si>
    <t>IEEE Multimedia</t>
  </si>
  <si>
    <t>10.1109/MMUL.2026.3710370</t>
  </si>
  <si>
    <t>2-s2.0-105044123973</t>
  </si>
  <si>
    <t>R0088</t>
  </si>
  <si>
    <t>Source Attribution of AI-Generated Images in Data Scarcity Conditions via Training-Free Resynthesis</t>
  </si>
  <si>
    <t>Bongini P.; Li M.; Costanzo A.; Tondi B.; Barni M.</t>
  </si>
  <si>
    <t>10.1109/OJSP.2026.3710125</t>
  </si>
  <si>
    <t>2-s2.0-105044003274</t>
  </si>
  <si>
    <t>Image resynthesis; robust AI-generated image detection; synthetic image attribution; text-to-image generators; training-free</t>
  </si>
  <si>
    <t>Arts computing; Deep learning; Image analysis; Learning systems; Personnel training; Data scarcity; Image detection; Image generators; Image resynthesis; Resynthesis; Robust AI-generated image detection; Synthetic image attribution; Synthetic images; Text-to-image generator; Training-free; Zero-shot learning</t>
  </si>
  <si>
    <t>R0089</t>
  </si>
  <si>
    <t>Fusing Frequency and Spatial Transformers for Robust Detection of AI-Generated Images</t>
  </si>
  <si>
    <t>Rozhbayani G.; Tuama A.; Abdulkhudhur H.H.</t>
  </si>
  <si>
    <t>Ingenierie des Systemes d'Information</t>
  </si>
  <si>
    <t>10.18280/isi.301017</t>
  </si>
  <si>
    <t>2-s2.0-105025033223</t>
  </si>
  <si>
    <t>AI-generated image detection; deepfake detection; dual-branch architecture; frequency domain analysis; image forensics; vision transformer (ViT)</t>
  </si>
  <si>
    <t>R0090</t>
  </si>
  <si>
    <t>LiteUpdate: A Lightweight Framework for Updating AI-Generated Image Detectors</t>
  </si>
  <si>
    <t>Lu J.; Fu Z.; Zhao N.; Xing L.; Wang X.; Chen K.; Zhang W.; Yu N.</t>
  </si>
  <si>
    <t>10.1109/TCSVT.2026.3683200</t>
  </si>
  <si>
    <t>2-s2.0-105036819610</t>
  </si>
  <si>
    <t>AI-generated image detection; generative model; model merging; representative sample</t>
  </si>
  <si>
    <t>Artificial intelligence; Efficiency; Learning systems; Personnel training; AI-generated image detection; Catastrophic forgetting; Detection accuracy; Detection performance; Generative model; Image detection; Image detector; Lightweight frameworks; Model merging; Representative sample; Image enhancement; Merging</t>
  </si>
  <si>
    <t>R0091</t>
  </si>
  <si>
    <t>Generalizable and Adaptive Continual Learning Framework for AI-Generated Image Detection</t>
  </si>
  <si>
    <t>Wang H.; Lan J.; Kang Y.; Zhu H.; Wang W.; Zhang Z.; Wang S.</t>
  </si>
  <si>
    <t>10.1109/TMM.2026.3651067</t>
  </si>
  <si>
    <t>2-s2.0-105027293566</t>
  </si>
  <si>
    <t>AI-generated image detection; continual learning</t>
  </si>
  <si>
    <t>Benchmarking; AI-generated image detection; Continual learning; Current detection; Detection methods; Detection models; Generative model; Image detection; Learning frameworks; Offline; Online information; Learning systems</t>
  </si>
  <si>
    <t>R0092</t>
  </si>
  <si>
    <t>Cao H.; Wang Y.; Zhao Y.; Lv K.; Ding X.; Wu F.</t>
  </si>
  <si>
    <t>Information Processing and Management</t>
  </si>
  <si>
    <t>10.1016/j.ipm.2026.104992</t>
  </si>
  <si>
    <t>2-s2.0-105042590979</t>
  </si>
  <si>
    <t>Fine-grained image forensics; Hypernetwork-based adaptation; LoRA-based mixture of experts; Synthetic image detection</t>
  </si>
  <si>
    <t>Computation theory; Computer forensics; Feature extraction; Forensic engineering; Image enhancement; Knowledge transfer; Fine grained; Fine-grained image forensic; Hypernetwork; Hypernetwork-based adaptation; Image detection; Image forensics; LoRA-based mixture of expert; Mixture of experts; Synthetic image detection; Synthetic images; Knowledge management</t>
  </si>
  <si>
    <t>EC12</t>
  </si>
  <si>
    <t>R0093</t>
  </si>
  <si>
    <t>Forensic analysis from generative AI web application memory: A ChatGPT case study</t>
  </si>
  <si>
    <t>Joun J.</t>
  </si>
  <si>
    <t>10.1016/j.fsidi.2026.302175</t>
  </si>
  <si>
    <t>2-s2.0-105046216944</t>
  </si>
  <si>
    <t>ChatGPT; Generative AI; Live forensics; Memory forensics; V8 heap snapshot; Web browser forensics</t>
  </si>
  <si>
    <t>Artificial intelligence; Computer crime; Computer forensics; Computer software reusability; Data mining; Digital storage; Electronic crime countermeasures; Information retrieval; Memory management; Metadata; User interfaces; Web browsers; Case-studies; ChatGPT; Forensic analysis; Generative AI; Live Forensics; Memory forensics; V8 heap snapshot; WEB application; Web applications; Web browser forensic; Extraction</t>
  </si>
  <si>
    <t>R0094</t>
  </si>
  <si>
    <t>An ‘Enlightenment Phase’: Police Perspectives on the Contemporary Challenges of Digital Evidence and Digital Forensic Investigations</t>
  </si>
  <si>
    <t>Ng M.; Medhurst R.; Dando C.J.</t>
  </si>
  <si>
    <t>Information (Switzerland)</t>
  </si>
  <si>
    <t>10.3390/info17060538</t>
  </si>
  <si>
    <t>2-s2.0-105042806736</t>
  </si>
  <si>
    <t>AI-generated evidence; digital evidence; digital forensic investigations; digital forensics; human factors</t>
  </si>
  <si>
    <t>Computer crime; Computer forensics; Electronic crime countermeasures; Human computer interaction; Law enforcement; AI-generated evidence; Algorithmic tools; Criminal investigation; Digital artifacts; Digital evidence; Digital forensic investigation; Forensic investigation; Frontline; Police officers; Technological innovation; Decision making; Human engineering</t>
  </si>
  <si>
    <t>R0095</t>
  </si>
  <si>
    <t>DeepGuard: Identification and Attribution of AI-Generated Synthetic Images</t>
  </si>
  <si>
    <t>Namani Y.; Reghioua I.; Bendiab G.; Labiod M.A.; Shiaeles S.</t>
  </si>
  <si>
    <t>10.3390/electronics14040665</t>
  </si>
  <si>
    <t>2-s2.0-85218871153</t>
  </si>
  <si>
    <t>cyberattack; digital forensics; generative AI; image deepfake; security</t>
  </si>
  <si>
    <t>R0096</t>
  </si>
  <si>
    <t>Harnessing attention for cropping and fusion in CLIP-based AIGC detection</t>
  </si>
  <si>
    <t>Xu J.; Du Y.; Lyu L.; Yang C.</t>
  </si>
  <si>
    <t>10.1016/j.neucom.2025.132482</t>
  </si>
  <si>
    <t>2-s2.0-105025573557</t>
  </si>
  <si>
    <t>Attention-guided cropping; CLIP model; Generated image detection; Vision transformer</t>
  </si>
  <si>
    <t>Error detection; Tuning; Attention-guided cropping; CLIP model; Detection tasks; Fine tuning; Generated image detection; High level semantics; Image detection; Information loss; Practical problems; Vision transformer; Article; artificial intelligence; human; semantics; Semantics</t>
  </si>
  <si>
    <t>R0097</t>
  </si>
  <si>
    <t>NSFF: Noise and semantic features fusion for AI-generated image detection</t>
  </si>
  <si>
    <t>Yang H.; Ma R.; Wang G.; Kato J.</t>
  </si>
  <si>
    <t>10.1016/j.neunet.2026.109130</t>
  </si>
  <si>
    <t>2-s2.0-105039695437</t>
  </si>
  <si>
    <t>Artifacts; Feature fusion; Generated image detection; Noise feature; Semantic feature</t>
  </si>
  <si>
    <t>Benchmarking; Chemical detection; Data mining; Error detection; Feature extraction; Image processing; Statistical tests; Textures; Artifact; Features fusions; Generated image detection; Generative model; Image detection; Noise features; Photorealistic images; Semantic consistency; Semantic features; Semantics Information; article; artifact; benchmarking; controlled study; data mining; degradation; diagnosis; generative model; human; noise; Semantics</t>
  </si>
  <si>
    <t>R0098</t>
  </si>
  <si>
    <t>A Transfer-Learning Approach for Detection of Multiclass Synthetic Skin Cancer Images Generated by Deep Generative Models to Prevent Medical Insurance Fraud</t>
  </si>
  <si>
    <t>Tariq O.; Arshed M.A.; Kabir M.; Ijaz K.; Gherghina Ş.C.; Batool H.B.</t>
  </si>
  <si>
    <t>Mathematical and Computational Applications</t>
  </si>
  <si>
    <t>10.3390/mca31010031</t>
  </si>
  <si>
    <t>2-s2.0-105031556601</t>
  </si>
  <si>
    <t>DCGAN; deep learning; medical image analysis; skin cancer; stable diffusion; synthetic images; transfer learning; WGAN</t>
  </si>
  <si>
    <t>R0099</t>
  </si>
  <si>
    <t>PHOTO AUTHENTICITY DETECTION USING MACHINE LEARNING FOR DEEPFAKE AND AI-GENERATED CONTENT VERIFICATION</t>
  </si>
  <si>
    <t>Raikwar R.; Ansari A.; Shrivas A.; Ubale A.S.; Kumar A.; Kaur S.</t>
  </si>
  <si>
    <t>ShodhKosh: Journal of Visual and Performing Arts</t>
  </si>
  <si>
    <t>10.29121/shodhkosh.v6.i4s.2025.6949</t>
  </si>
  <si>
    <t>2-s2.0-105028032480</t>
  </si>
  <si>
    <t>AI-Generated Content Verification; Deep Learning for Visual Integrity; Deepfake Identification; Machine Learning for Image Forensics; Photo Authenticity Detection; Synthetic Media Detection</t>
  </si>
  <si>
    <t>R0100</t>
  </si>
  <si>
    <t>High-resolution network-based multi-feature fusion for generalized forgery detection</t>
  </si>
  <si>
    <t>Liu R.; Zhang S.; Xu Y.; Xu W.; He X.</t>
  </si>
  <si>
    <t>10.1007/s00530-024-01626-z</t>
  </si>
  <si>
    <t>2-s2.0-85213950605</t>
  </si>
  <si>
    <t>Deepfake; Diffusion models; Generative adversarial networks; Synthetic images detection</t>
  </si>
  <si>
    <t>Adversarial machine learning; Convolutional neural networks; Deep learning; Image analysis; Image enhancement; Adversarial networks; Deepfake; Diffusion model; Frequency patterns; High resolution; Image detection; Multi-feature fusion; Network-based; Synthetic image detection; Synthetic images; Generative adversarial networks</t>
  </si>
  <si>
    <t>R0101</t>
  </si>
  <si>
    <t>Black-box attack against GAN-generated image detector with contrastive perturbation</t>
  </si>
  <si>
    <t>Lou Z.; Cao G.; Lin M.</t>
  </si>
  <si>
    <t>Engineering Applications of Artificial Intelligence</t>
  </si>
  <si>
    <t>10.1016/j.engappai.2023.106594</t>
  </si>
  <si>
    <t>2-s2.0-85163222542</t>
  </si>
  <si>
    <t>Anti-forensic; Black-box attack; Contrastive perturbation; Encoder–decoder network; GAN fingerprint; GAN-generated image detector</t>
  </si>
  <si>
    <t>Decoding; Network coding; Anti-Forensics; Black boxes; Black-box attack; Contrastive perturbation; Encoder-decoder; Encoder–decoder network; GAN fingerprint; GAN-generated image detector; Image detector; Synthetic images; Digital forensics</t>
  </si>
  <si>
    <t>R0102</t>
  </si>
  <si>
    <t>Combating data incompetence in pollen images detection and classification for pollinosis prevention</t>
  </si>
  <si>
    <t>Khanzhina N.; Filchenkov A.; Minaeva N.; Novoselova L.; Petukhov M.; Kharisova I.; Pinaeva J.; Zamorin G.; Lane; Zamyatina E.; Shalyto A.</t>
  </si>
  <si>
    <t>Computers in Biology and Medicine</t>
  </si>
  <si>
    <t>10.1016/j.compbiomed.2021.105064</t>
  </si>
  <si>
    <t>2-s2.0-85120303997</t>
  </si>
  <si>
    <t>Few-shot learning; Generative adversarial network; Image generation; Image recognition; Metric learning; Object detection; Pollen recognition; Pollinosis prevention; Siamese network</t>
  </si>
  <si>
    <t>Classification (of information); Convolution; Convolutional neural networks; Deep learning; Generative adversarial networks; Image classification; Object detection; Plants (botany); Web services; Classification tasks; Convolutional neural network; Detection tasks; Few-shot learning; Image generations; Metric learning; Objects detection; Pollen recognition; Pollinosis prevention; Siamese network; Acer; alder; Amaranthaceae; Artemisia; Article; Bayesian network; birch; classification; computer vision; controlled study; convolutional neural network; deep learning; hazelnut; human; image analysis; nonhuman; pine; Plantago; Poaceae; pollen; pollen allergy; pollen analysis; recognition; Rumex; Tilia; uncertainty; Urtica; willow; Image recognition</t>
  </si>
  <si>
    <t>R0103</t>
  </si>
  <si>
    <t>3D-2D silhouette-based image registration for comparative radiography-based forensic identification</t>
  </si>
  <si>
    <t>Gómez O.; Ibáñez O.; Valsecchi A.; Cordón O.; Kahana T.</t>
  </si>
  <si>
    <t>10.1016/j.patcog.2018.06.011</t>
  </si>
  <si>
    <t>2-s2.0-85049094194</t>
  </si>
  <si>
    <t>3D-2D image registration; Comparative radiography; Computer vision; Evolutionary computation; Forensic identification</t>
  </si>
  <si>
    <t>Bone; Computer vision; Evolutionary algorithms; Image registration; Image segmentation; Radiography; 3D-2D image registrations; Acquisition parameters; Computer aided; Forensic identification; Human operator; Image intensities; Optimization problems; Synthetic images; Digital forensics</t>
  </si>
  <si>
    <t>R0104</t>
  </si>
  <si>
    <t>ADRD: Detecting diffusion-generated images via adversarial perturbation induced reconstruction discrepancy</t>
  </si>
  <si>
    <t>Zhou Y.; Hu X.; Tong J.; Lin C.; Sun M.; Chen S.</t>
  </si>
  <si>
    <t>PloS one</t>
  </si>
  <si>
    <t>10.1371/journal.pone.0350655</t>
  </si>
  <si>
    <t>2-s2.0-105045454759</t>
  </si>
  <si>
    <t>Algorithms; Diffusion; Generative Artificial Intelligence; Image Processing, Computer-Assisted; algorithm; diffusion; generative artificial intelligence; image processing; procedures</t>
  </si>
  <si>
    <t>R0105</t>
  </si>
  <si>
    <t>Hierarchical Progressive Image Forgery Detection and Localization Method Based on UNet</t>
  </si>
  <si>
    <t>Liu Y.; Li X.; Zhang J.; Li S.; Hu S.; Lei J.</t>
  </si>
  <si>
    <t>Big Data and Cognitive Computing</t>
  </si>
  <si>
    <t>10.3390/bdcc8090119</t>
  </si>
  <si>
    <t>2-s2.0-85204933993</t>
  </si>
  <si>
    <t>computer vision; detection and localization; fake images; hierarchical network; UNet</t>
  </si>
  <si>
    <t>Detection and localization; Detection methods; Different resolutions; Fake image; Generative technologies; Hierarchical network; Image forgery detections; Localization method; Progressive images; Unet; Generative adversarial networks</t>
  </si>
  <si>
    <t>R0106</t>
  </si>
  <si>
    <t>SCADET: A detection framework for AI-generated artwork integrating dynamic frequency attention and contrastive spectral analysis</t>
  </si>
  <si>
    <t>Zhang X.; Yu Z.; Zhao J.</t>
  </si>
  <si>
    <t>PLOS ONE</t>
  </si>
  <si>
    <t>10.1371/journal.pone.0336328</t>
  </si>
  <si>
    <t>2-s2.0-105023213153</t>
  </si>
  <si>
    <t>Algorithms; Art; Artificial Intelligence; Attention; Humans; Image Processing, Computer-Assisted; Neural Networks, Computer; area under the curve; art; article; attention network; diagnosis; digital media; generative artificial intelligence; human; learning; spectroscopy; algorithm; artificial intelligence; artificial neural network; attention; image processing; procedures</t>
  </si>
  <si>
    <t>R0107</t>
  </si>
  <si>
    <t>AI-Generated Image Detection Method Integrating Light -Shadow Sensitive Features and Kolmogorov-Arnold Representation Theorem</t>
  </si>
  <si>
    <t>Deng Q.; Jiang L.; Liu L.-X.; Tang L.-X.; Yang Y.-L.</t>
  </si>
  <si>
    <t>Tien Tzu Hsueh Pao/Acta Electronica Sinica</t>
  </si>
  <si>
    <t>10.12263/DZXB.20250250</t>
  </si>
  <si>
    <t>2-s2.0-105039463958</t>
  </si>
  <si>
    <t>AI-generated image detection; feature fusion; Kolmogorov-Arnold representation theorem; light-shadow sensitive features</t>
  </si>
  <si>
    <t>Feature extraction; Artificial intelligence-generated image detection; Features fusions; Image detection; Image detection method; Image technology; Kolmogorov; Kolmogorov-arnold representation theorem; Light-shadow sensitive feature; Representation theorem; Sensitive features; Semantics</t>
  </si>
  <si>
    <t>R0108</t>
  </si>
  <si>
    <t>AI vs. AI: Can AI Detect AI-Generated Images?</t>
  </si>
  <si>
    <t>Baraheem S.S.; Nguyen T.V.</t>
  </si>
  <si>
    <t>10.3390/jimaging9100199</t>
  </si>
  <si>
    <t>2-s2.0-85175261770</t>
  </si>
  <si>
    <t>convolutional neural networks; detection of computer-generated images; fake AI-generated images recognition; fake and real detection; GAN image localization; GAN-generated images detection</t>
  </si>
  <si>
    <t>Automation; Convolution; Convolutional neural networks; Fake detection; Learning algorithms; Computer-generated images; Convolutional neural network; Detection of computer-generated image; Fake and real detection; Fake artificial intelligence-generated image recognition; Generative adversarial network image localization; Generative adversarial network-generated image detection; Image detection; Image localization; Images synthesis; Generative adversarial networks</t>
  </si>
  <si>
    <t>R0109</t>
  </si>
  <si>
    <t>Lightweight AI-Generated image detection based on enhanced common artifact features</t>
  </si>
  <si>
    <t>Li S.; Li L.; Ren Y.; Zhang X.; Feng G.</t>
  </si>
  <si>
    <t>10.1016/j.eswa.2025.130500</t>
  </si>
  <si>
    <t>2-s2.0-105029576611</t>
  </si>
  <si>
    <t>AI-Generated image detection; Artifact analysis; Differential convolution; Gram matrix</t>
  </si>
  <si>
    <t>Complex networks; Convolution; Data mining; Feature extraction; Image enhancement; Matrix algebra; AI-generated image detection; Artifact analyze; Common artefacts; Detection methods; Detection networks; Differential convolution; Generation technologies; Gram matrices; Image detection; Image generations; Computational efficiency</t>
  </si>
  <si>
    <t>R0110</t>
  </si>
  <si>
    <t>Generation of multidisease fundus photographs with code-free platform</t>
  </si>
  <si>
    <t>Liang H.; Zhang Q.; Lin T.; Hu C.; Zheng C.; Yao X.; Chen M.; Chen Y.; Tham Y.C.; Chen H.</t>
  </si>
  <si>
    <t>British Journal of Ophthalmology</t>
  </si>
  <si>
    <t>10.1136/bjo-2024-326741</t>
  </si>
  <si>
    <t>2-s2.0-105011192227</t>
  </si>
  <si>
    <t>Imaging; Retina</t>
  </si>
  <si>
    <t>Artificial Intelligence; Fundus Oculi; Humans; Image Processing, Computer-Assisted; Photography; Retinal Diseases; algorithm; Article; artificial intelligence; code free platform; comparative study; controlled study; data classification; diabetic retinopathy; diagnostic accuracy; diagnostic test accuracy study; eye photography; human; image analysis; image processing; machine learning; multidisease fundus photography; nerve cell network; outcome assessment; predictive value; receiver operating characteristic; retina disease; retina vein occlusion; sensitivity and specificity; visual acuity; diagnosis; eye fundus; image processing; photography; procedures</t>
  </si>
  <si>
    <t>R0111</t>
  </si>
  <si>
    <t>Evaluating the use of a novel expert system for interpretation of media authentication results</t>
  </si>
  <si>
    <t>Epstein B.; Lyons B.; Fischer D.; Zlogar A.</t>
  </si>
  <si>
    <t>10.1111/1556-4029.70377</t>
  </si>
  <si>
    <t>2-s2.0-105041374533</t>
  </si>
  <si>
    <t>artificial intelligence; expert system; interpretation of results; media authentication</t>
  </si>
  <si>
    <t>EC1</t>
  </si>
  <si>
    <t>R0112</t>
  </si>
  <si>
    <t>MSAFNet: multi-scale self-adaptive feature fusion network for AI-generated image detection</t>
  </si>
  <si>
    <t>Yao L.; Niu S.; Liao K.; Zou G.; Li K.; Zhao T.</t>
  </si>
  <si>
    <t>Measurement Science and Technology</t>
  </si>
  <si>
    <t>10.1088/1361-6501/ae005c</t>
  </si>
  <si>
    <t>2-s2.0-105015055494</t>
  </si>
  <si>
    <t>AI-generated image detection; deep learning; imaging; IoT security</t>
  </si>
  <si>
    <t>Color; Electric current measurement; Extraction; Feature extraction; Image enhancement; Image fusion; Image recognition; Image texture; Textures; Adaptive features; AI-generated image detection; Deep learning; Detection methods; Features fusions; Global noise; Image detection; IoT security; Multi-scale features; Multi-scales; Deep learning</t>
  </si>
  <si>
    <t>R0113</t>
  </si>
  <si>
    <t>Dual-path AI-generated image detection: Leveraging texture-rich and texture-poor patches with global semantic features</t>
  </si>
  <si>
    <t>Lin J.; Zhou Q.; Li J.</t>
  </si>
  <si>
    <t>Digital Signal Processing: A Review Journal</t>
  </si>
  <si>
    <t>10.1016/j.dsp.2025.105840</t>
  </si>
  <si>
    <t>2-s2.0-105026134194</t>
  </si>
  <si>
    <t>AI-Generated image detection; Attention mechanism; Deepfake; Global and local feature fusion</t>
  </si>
  <si>
    <t>Benchmarking; Classification (of information); Image enhancement; Image texture; Semantics; Textures; AI-generated image detection; Attention mechanisms; Deepfake; Dual path; Features fusions; Global and local feature fusion; Global feature; Image detection; Local feature; Semantic features; Feature extraction</t>
  </si>
  <si>
    <t>R0114</t>
  </si>
  <si>
    <t>Reliable Out-of-Distribution Recognition of Synthetic Images</t>
  </si>
  <si>
    <t>Maier A.; Riess C.</t>
  </si>
  <si>
    <t>10.3390/jimaging10050110</t>
  </si>
  <si>
    <t>2-s2.0-85194168098</t>
  </si>
  <si>
    <t>Bayesian Neural Networks; out-of-distribution examples; synthetic image detection; variational inference</t>
  </si>
  <si>
    <t>Bayesian networks; Digital forensics; Image processing; Neural networks; 'current; Bayesian neural networks; Diffusion model; Image detection; Network models; Out-of-distribution example; Post-processing; Synthetic image detection; Synthetic images; Variational inference; Generative adversarial networks</t>
  </si>
  <si>
    <t>R0115</t>
  </si>
  <si>
    <t>Unsupervised Generative Fake Image Detector</t>
  </si>
  <si>
    <t>Qiao T.; Shao H.; Xie S.; Shi R.</t>
  </si>
  <si>
    <t>10.1109/TCSVT.2024.3383833</t>
  </si>
  <si>
    <t>2-s2.0-85190169628</t>
  </si>
  <si>
    <t>generative fake images; Image forensics; unsupervised learning</t>
  </si>
  <si>
    <t>Digital forensics; Fake detection; Feature extraction; Image processing; Sampling; Unsupervised learning; Features extraction; Forensic; Frequency-domain analysis; Generative fake image; Generator; Image detector; Image forensics; Noise measurements; Noisy labels; Training sample; Frequency domain analysis</t>
  </si>
  <si>
    <t>R0116</t>
  </si>
  <si>
    <t>Synthetic image detection method integrating neural ordinary differential equations and spatial attention transformer</t>
  </si>
  <si>
    <t>Yang T.; Zhang Q.; Hu B.; Jin H.; Zhu L.</t>
  </si>
  <si>
    <t>Journal of Supercomputing</t>
  </si>
  <si>
    <t>10.1007/s11227-026-08734-9</t>
  </si>
  <si>
    <t>2-s2.0-105046144989</t>
  </si>
  <si>
    <t>Continuous feature evolution; Generalization across generative models; Neural ordinary differential equations; Spatial attention transformer; Synthetic image detection</t>
  </si>
  <si>
    <t>Digital forensics; Iterative methods; Memory architecture; Parallel architectures; Semantics; Statistics; Supercomputers; Continuous feature evolution; Continuous features; Generalisation; Generalization across generative model; Generative model; Image detection; Neural ordinary differential equation; Spatial attention; Spatial attention transformer; Synthetic image detection; Synthetic images; Ordinary differential equations</t>
  </si>
  <si>
    <t>R0117</t>
  </si>
  <si>
    <t>Transferable Dual-Domain Feature Importance Attack Against AI-Generated Image Detector</t>
  </si>
  <si>
    <t>Zhu W.; Cao G.; Liu J.; Yu L.; Weng S.</t>
  </si>
  <si>
    <t>10.1109/LSP.2026.3658434</t>
  </si>
  <si>
    <t>2-s2.0-105029029152</t>
  </si>
  <si>
    <t>adversarial attack; AI-generated image (AIGI) detection; Anti-forensics; feature importance; frequency domain</t>
  </si>
  <si>
    <t>Digital forensics; Feature extraction; Forensic engineering; Image processing; Image recognition; AI-generated image detection; Anti-Forensics; Condition; Domain feature; Dual domain; Feature importance; Frequency domains; Image detection; Image detector; Important features; Frequency domain analysis</t>
  </si>
  <si>
    <t>R0118</t>
  </si>
  <si>
    <t>Beyond Causal Models: Multi-Scale Linear Local Attention for AI-Generated Image Detection</t>
  </si>
  <si>
    <t>Li X.; Xiao M.; Wu H.; Chang Q.; Li X.; Zhao Y.</t>
  </si>
  <si>
    <t>10.1109/LSP.2026.3714736</t>
  </si>
  <si>
    <t>2-s2.0-105045248450</t>
  </si>
  <si>
    <t>AIGC detection; deepfake; forgery detection</t>
  </si>
  <si>
    <t>Artificial intelligence; Arts computing; Semantics; State space methods; AI-generated content detection; Causal modeling; Content detection; Convolutional networks; Deepfake; Forgery detections; Image detection; Multi-scales; Real images; State-space models; Convolution</t>
  </si>
  <si>
    <t>R0119</t>
  </si>
  <si>
    <t>ERASE: Bypassing Collaborative Detection of AI Counterfeit via Comprehensive Artifacts Elimination</t>
  </si>
  <si>
    <t>Yang Q.; Lv P.; Li Y.; Zhang S.; Chen Y.; Chen Z.; Li Z.; Hu Y.</t>
  </si>
  <si>
    <t>IEEE Transactions on Dependable and Secure Computing</t>
  </si>
  <si>
    <t>10.1109/TDSC.2026.3677794</t>
  </si>
  <si>
    <t>2-s2.0-105034696574</t>
  </si>
  <si>
    <t>adversarial attack; adversarial transferability; AI-Generated image detection; AI-Generated image stealth</t>
  </si>
  <si>
    <t>Crime; Human computer interaction; Image enhancement; Image quality; Optimization; Adversarial transferability; AI- generated image stealth; AI-generated image detection; Automated detection; Collaborative detection; Detection models; Detection system; Image detection; Perceptual fidelity; Synthetic images; Benchmarking</t>
  </si>
  <si>
    <t>R0120</t>
  </si>
  <si>
    <t>Forensic Analysis of Manipulated Images and Videos</t>
  </si>
  <si>
    <t>Falcón-López S.A.; Tobarra L.; Robles-Gómez A.; Pastor-Vargas R.</t>
  </si>
  <si>
    <t>Applied Sciences (Switzerland)</t>
  </si>
  <si>
    <t>10.3390/app152312664</t>
  </si>
  <si>
    <t>2-s2.0-105024917646</t>
  </si>
  <si>
    <t>Deepfake; ethical artificial intelligence; forensic analysis; generation and detection techniques; multimedia forgery; trust and transparency</t>
  </si>
  <si>
    <t>Digital forensics; Ethical aspects; Forensic engineering; Image analysis; Learning systems; Multimedia systems; Video analysis; Artificial intelligence systems; Deepfake; Digital information; Ethical artificial intelligence; Forensic analysis; Generation and detection technique; Human-centric; Multimedia contents; Multimedium forgery; Trust and transparency; Deep learning</t>
  </si>
  <si>
    <t>R0121</t>
  </si>
  <si>
    <t>Multi-Domain Perception Transformer for Generalized Forgery Image Detection</t>
  </si>
  <si>
    <t>Man Q.; Gee S.-J.; Cho Y.-I.</t>
  </si>
  <si>
    <t>10.3390/app16010533</t>
  </si>
  <si>
    <t>2-s2.0-105027318416</t>
  </si>
  <si>
    <t>forgery detection; frequency domain analysis; generative adversarial network; multi-scale attention; transformer</t>
  </si>
  <si>
    <t>Artificial intelligence; Image enhancement; Semantics; Wavelet transforms; Adversarial networks; Features fusions; Forgery detections; Frequency-domain analysis; Image detection; Multi-domains; Multi-scale attention; Multi-scales; Synthetic images; Transformer; article; controlled study; deepfake; diffusion; forgery; generative adversarial network; generative artificial intelligence; generative model; human; wavelet transform; Frequency domain analysis</t>
  </si>
  <si>
    <t>R0122</t>
  </si>
  <si>
    <t>Detecting AI-Generated Images Using a Hybrid ResNet-SE Attention Model</t>
  </si>
  <si>
    <t>Gunukula A.R.; Das Gupta H.; Sheng V.S.</t>
  </si>
  <si>
    <t>10.3390/app15137421</t>
  </si>
  <si>
    <t>2-s2.0-105010192434</t>
  </si>
  <si>
    <t>AI-generated images; CIFAKE dataset; deep learning; image classification; SE-ResNet34; squeeze-and-excitation</t>
  </si>
  <si>
    <t>Architecture; Classification (of information); Deep learning; Digital forensics; Ethical aspects; Generative adversarial networks; Learning systems; Memory architecture; Network architecture; Semantics; Statistical tests; Textures; Adversarial networks; Artificial intelligence-generated image; Attention model; CIFAKE dataset; Creatives; Deep learning; Digital identity; Images classification; Squeeze-and-excitation; Squeeze-and-excitation-resnet34; Image classification</t>
  </si>
  <si>
    <t>R0123</t>
  </si>
  <si>
    <t>Generative Adversarial Ensemble Learning for Face Forensics</t>
  </si>
  <si>
    <t>Baek J.-Y.; Yoo Y.-S.; Bae S.-H.</t>
  </si>
  <si>
    <t>10.1109/ACCESS.2020.2968612</t>
  </si>
  <si>
    <t>2-s2.0-85082063951</t>
  </si>
  <si>
    <t>Deep learning; Digital image forensics; Face image; Generative adversarial ensemble learning; Synthetic image detection</t>
  </si>
  <si>
    <t>Deep learning; Digital forensics; Learning systems; Adversarial learning; Digital image forensics; Discrimination ability; Ensemble learning; Face images; Manipulation methods; Synthetic image generation; Synthetic images; Image enhancement</t>
  </si>
  <si>
    <t>FT-EC4</t>
  </si>
  <si>
    <t>R0124</t>
  </si>
  <si>
    <t>Content bias in deep learning image age approximation: A new approach towards better explainability</t>
  </si>
  <si>
    <t>Jöchl R.; Uhl A.</t>
  </si>
  <si>
    <t>10.1016/j.patrec.2024.04.009</t>
  </si>
  <si>
    <t>2-s2.0-85190897341</t>
  </si>
  <si>
    <t>Deep learning; Explainable artificial intelligence; Image age approximation; Image age features; Image content; Image forensics</t>
  </si>
  <si>
    <t>Deep learning; Digital forensics; Steganography; Deep learning; Explainable artificial intelligence; Image age approximation; Image age feature; Image content; Image forensics; Neural-networks; New approaches; Temporal images; Timeslots; Signal to noise ratio</t>
  </si>
  <si>
    <t>R0125</t>
  </si>
  <si>
    <t>CoDA: Color Distribution Probing for Efficient and Generalizable AI-Generated Image Detection</t>
  </si>
  <si>
    <t>Jia Z.; Yuan Z.; Duan X.; Zhang J.; Zhou J.; Jain A.K.</t>
  </si>
  <si>
    <t>10.1109/TPAMI.2026.3696399</t>
  </si>
  <si>
    <t>2-s2.0-105040166192</t>
  </si>
  <si>
    <t>AI-generated image detection; Color distortion; Cross-domain benchmark; Lightweight detection model</t>
  </si>
  <si>
    <t>Benchmarking; Color; Color image processing; Color photography; Color printing; Probes; AI-generated image detection; Color distortions; Color distribution; Cross model; Cross-domain; Cross-domain benchmark; Detection models; Image detection; Lightweight detection model; Photo-realistic; Economic and social effects</t>
  </si>
  <si>
    <t>R0126</t>
  </si>
  <si>
    <t>Synthbuster: Towards Detection of Diffusion Model Generated Images</t>
  </si>
  <si>
    <t>Bammey Q.</t>
  </si>
  <si>
    <t>10.1109/OJSP.2023.3337714</t>
  </si>
  <si>
    <t>2-s2.0-85179061714</t>
  </si>
  <si>
    <t>Diffusion models; image forensics; media forensics; multimedia forensics; spectral analysis; synthetic image detection</t>
  </si>
  <si>
    <t>Computer architecture; Diffusion; Digital forensics; Generative adversarial networks; Image analysis; Image compression; Spectrum analysis; Computational modelling; Diffusion model; Image detection; Image forensics; Images synthesis; Medium forensic; Multimedia forensics; Synthetic image detection; Synthetic images; Transform coding; Image coding</t>
  </si>
  <si>
    <t>R0127</t>
  </si>
  <si>
    <t>Hybrid AI approaches for detecting deepfake faces</t>
  </si>
  <si>
    <t>Odeh A.; Al-Haj Hassan O.; Abu Taleb A.</t>
  </si>
  <si>
    <t>Signal, Image and Video Processing</t>
  </si>
  <si>
    <t>10.1007/s11760-025-05051-1</t>
  </si>
  <si>
    <t>2-s2.0-105025774231</t>
  </si>
  <si>
    <t>AI ethics; Deepfake detection; Fake image recognition; Human perception; Image forensics; Machine learning</t>
  </si>
  <si>
    <t>Computer crime; Computer forensics; Cybersecurity; Deep learning; Electronic crime countermeasures; Face recognition; Generative adversarial networks; Hybrid systems; Image recognition; Neural networks; Vision; Artificial intelligence ethic; Cyber security; Deepfake detection; Detection accuracy; Facial images; Fake image recognition; Human perception; Hybrid artificial intelligences; Image forensics; Machine-learning; Learning systems</t>
  </si>
  <si>
    <t>R0128</t>
  </si>
  <si>
    <t>GCS-Net: A universal AI-generated visual content detection method based on CLIP</t>
  </si>
  <si>
    <t>Xu H.; Chen Z.; Zhang H.; Xue L.; Zhang H.</t>
  </si>
  <si>
    <t>10.1016/j.knosys.2025.113806</t>
  </si>
  <si>
    <t>2-s2.0-105005833299</t>
  </si>
  <si>
    <t>Ai generated image detection; forgery detection; Image processing; Migration learning</t>
  </si>
  <si>
    <t>Deep learning; Motion analysis; Optical flows; Ai generated image detection; Content detection; Detection methods; Forgery detections; Generalization capability; Image detection; Image generations; Images processing; Migration learning; Visual content; Photointerpretation</t>
  </si>
  <si>
    <t>R0129</t>
  </si>
  <si>
    <t>Quality-Guided Forgery Adapter for Generalizable AIGC Image Detection</t>
  </si>
  <si>
    <t>Wang J.; Yu Z.; Chen C.; Gu L.; Wan W.; Zhou J.; Zhang W.</t>
  </si>
  <si>
    <t>10.1109/TIFS.2026.3698571</t>
  </si>
  <si>
    <t>2-s2.0-105041011081</t>
  </si>
  <si>
    <t>Deep learning; Digital forensics; Feature extraction; Image enhancement; Image quality; Multimedia systems; Semantics; Visual languages; Backdoor injection; Backdoors; Deep learning for multimedium forensic; Detection framework; Generative model; Image detection; Multimedia forensics; Open set recognition; Synthetic image attribution; Synthetic images; Extraction</t>
  </si>
  <si>
    <t>R0130</t>
  </si>
  <si>
    <t>ADVANCED DEEPFAKE DETECTION LEVERAGING SWIN TRANSFORMER TECHNOLOGY</t>
  </si>
  <si>
    <t>Mishra S.R.; Mohapatra H.; Edalatpanah S.A.; Gourisaria M.K.</t>
  </si>
  <si>
    <t>Engineering Review</t>
  </si>
  <si>
    <t>10.30765/er.2583</t>
  </si>
  <si>
    <t>2-s2.0-85215114467</t>
  </si>
  <si>
    <t>Deepfake; fake image generation; Hierarchical Representation; Image classification; image detection; Object Detection; Quadratic Complexity; SWIN trans-formers; SWIN Transformer blocks; Transformer Block</t>
  </si>
  <si>
    <t>R0131</t>
  </si>
  <si>
    <t>Enhancing deepfake detection with Adaptive-DCGAN and Lite-CNN: a novel approach to image classification</t>
  </si>
  <si>
    <t>Javiya D.; Jethava G.; Parmar H.; Jethava S.</t>
  </si>
  <si>
    <t>Discover Applied Sciences</t>
  </si>
  <si>
    <t>10.1007/s42452-025-07690-y</t>
  </si>
  <si>
    <t>2-s2.0-105019103324</t>
  </si>
  <si>
    <t>Adaptive-DCGAN; AI-based forensics; Deepfake detection; Image classification; Lite-CNN; Privacy protection; Social media security</t>
  </si>
  <si>
    <t>Classification (of information); Computational efficiency; Convolution; Convolutional neural networks; Deep neural networks; Digital forensics; Image enhancement; Large datasets; Network security; Social networking (online); Social sciences computing; Adaptive deep convolutional generative adversarial network; Adversarial networks; AI-based forensic; Convolutional neural network; Deepfake detection; Images classification; Lightweight convolutional neural network; Media security; Privacy protection; Social media; Social medium security; Image classification</t>
  </si>
  <si>
    <t>R0132</t>
  </si>
  <si>
    <t>Multi-Domain Feature Fusion: Leveraging Color, Noise, and Spatial Features for AI-generated Image Detection</t>
  </si>
  <si>
    <t>Zhu J.; Yao H.; Qin C.; Zhang X.</t>
  </si>
  <si>
    <t>10.1109/TMM.2026.3712634</t>
  </si>
  <si>
    <t>2-s2.0-105045328024</t>
  </si>
  <si>
    <t>Diffusion model; Dual-branch network; Feature fusion; Generative adversarial network; Image forensics; Noise features</t>
  </si>
  <si>
    <t>Color; Color image processing; Error detection; Feature extraction; Image fusion; Adversarial networks; Color features; Color noise; Diffusion model; Dual-branch network; Features fusions; Image forensics; Multi-domain features; Noise features; Post-processing; Diffusion</t>
  </si>
  <si>
    <t>R0133</t>
  </si>
  <si>
    <t>EXACT: An Explainable Adaptive SemantiC-Trace framework for AI-generated image forensics</t>
  </si>
  <si>
    <t>Shi H.; Liu M.; Gong C.</t>
  </si>
  <si>
    <t>10.1016/j.cviu.2026.104871</t>
  </si>
  <si>
    <t>2-s2.0-105044912306</t>
  </si>
  <si>
    <t>AI-generated image forensics; Dual-evidence framework; Explainable forensics; Pixel-level localization; Semantic-trace representation; Source attribution</t>
  </si>
  <si>
    <t>Computer forensics; Electronic crime countermeasures; Image analysis; Natural language processing systems; Pixels; Semantics; Statistical tests; Wavelet transforms; AI-generated image forensic; Dual-evidence framework; Evidence framework; Explainable forensic; Image forensics; Localisation; Pixel level; Pixel-level localization; Semantic-trace representation; Source attribution; Trace representations; Image enhancement</t>
  </si>
  <si>
    <t>R0134</t>
  </si>
  <si>
    <t>Adversarial Mixture of Experts Post-Training for Robust AI-Generated Image Detection; [基于对抗混合专家后训练机制的鲁棒 AI 生成图像检测方法]</t>
  </si>
  <si>
    <t>ZHANG R.; DIAO Y.; LU Z.; XIA H.; GUO Z.; HAO X.; WANG M.</t>
  </si>
  <si>
    <t>10.12263/DZXB.20251196</t>
  </si>
  <si>
    <t>2-s2.0-105045088878</t>
  </si>
  <si>
    <t>adversarial attacks; adversarial defense; adversarial example; AI 生成图像检测; AI-generated image detection; mixture of experts; post-training strategy; 后训练策略; 对抗攻击; 对抗样本; 对抗防御; 混合专家</t>
  </si>
  <si>
    <t>Generative adversarial networks; Image recognition; Knowledge management; Network security; Personnel training; Philosophical aspects; Quantum entanglement; Social aspects; Adversarial defense; AI 生成图像检测; AI-generated image detection; Image detection; Mixture of experts; Post-training strategy; Training strategy; 后训练策略; 对抗攻击; 对抗样本; 对抗防御; 混合专家; Virtual reality</t>
  </si>
  <si>
    <t>R0135</t>
  </si>
  <si>
    <t>Diffusion-Generated Image Detection via Targeted Mask-Based Knowledge Distillation</t>
  </si>
  <si>
    <t>Huang Y.; Gu Z.; He P.; Li C.; Gou J.; Lu X.</t>
  </si>
  <si>
    <t>IET Image Processing</t>
  </si>
  <si>
    <t>10.1049/ipr2.70425</t>
  </si>
  <si>
    <t>2-s2.0-105043954139</t>
  </si>
  <si>
    <t>diffusion models; diffusion-generated image detection; knowledge distillation</t>
  </si>
  <si>
    <t>Arts computing; Cost reduction; Diffusion; Feature extraction; Knowledge management; Masks; Personnel training; Teaching; Cross model; Diffusion model; Diffusion-generated image detection; Feature pattern; Image detection; Knowledge distillation; Model generalization; Photo-realistic; Synthetic images; Visual content; Distillation</t>
  </si>
  <si>
    <t>R0136</t>
  </si>
  <si>
    <t>Integrating semantic structure and texture cues for detecting landscape images generated by stable diffusion-based models</t>
  </si>
  <si>
    <t>Ishida S.; Matsuda Y.; Kuroiwa J.; Odaka T.</t>
  </si>
  <si>
    <t>Nonlinear Theory and its Applications, IEICE</t>
  </si>
  <si>
    <t>10.1587/nolta.17.1015</t>
  </si>
  <si>
    <t>2-s2.0-105044711643</t>
  </si>
  <si>
    <t>AI-generated image detection; Grad-CAM; landscape images; multimodal CNN; SHAP</t>
  </si>
  <si>
    <t>R0137</t>
  </si>
  <si>
    <t>Transfer learning and deep convolutional neural networks for safety guardrail detection in 2D images</t>
  </si>
  <si>
    <t>Kolar Z.; Chen H.; Luo X.</t>
  </si>
  <si>
    <t>Automation in Construction</t>
  </si>
  <si>
    <t>10.1016/j.autcon.2018.01.003</t>
  </si>
  <si>
    <t>2-s2.0-85041454603</t>
  </si>
  <si>
    <t>Computer vision; Construction safety; Convolutional neural networks; Guardrail detection; Transfer learning; VGG-16</t>
  </si>
  <si>
    <t>Accident prevention; Computer vision; Construction industry; Convolution; Guard rails; Image processing; Inspection; Neural networks; Safety engineering; Construction accidents; Construction safety; Convolutional neural network; Environment monitoring; Intelligent monitoring; Localization technique; Transfer learning; VGG-16; Deep neural networks</t>
  </si>
  <si>
    <t>R0138</t>
  </si>
  <si>
    <t>Dual Frequency Branch Framework With Reconstructed Sliding Windows Attention for AI-Generated Image Detection</t>
  </si>
  <si>
    <t>Yan J.; Li Z.; Wang F.; He Z.; Fu Z.</t>
  </si>
  <si>
    <t>10.1109/TIFS.2026.3664000</t>
  </si>
  <si>
    <t>2-s2.0-105030153550</t>
  </si>
  <si>
    <t>AI security; AI-generated image detection; Deepfake detection; window attention</t>
  </si>
  <si>
    <t>Feature extraction; Frequency domain analysis; Image enhancement; Image reconstruction; Adversarial networks; AI security; AI-generated image detection; Deepfake detection; Dual frequency; Frequency domains; Image detection; Network models; Sliding Window; Window attention; Extraction</t>
  </si>
  <si>
    <t>R0139</t>
  </si>
  <si>
    <t>FALCON-Net: Feature Aggregation of Local Patterns for AI-Generated Image Detection</t>
  </si>
  <si>
    <t>Zhang D.; Hu M.; Chen J.; Chen C.; Wang J.; Song Y.; Yang G.; Liao X.; Ding X.</t>
  </si>
  <si>
    <t>10.1109/TIFS.2026.3683286</t>
  </si>
  <si>
    <t>2-s2.0-105036649557</t>
  </si>
  <si>
    <t>AI-generated image detection; intrinsic noise pattern isolation; local variation patterns</t>
  </si>
  <si>
    <t>Arts computing; Feature extraction; Frequency domain analysis; Image enhancement; Image recognition; AI-generated image detection; Feature aggregation; Image detection; Intrinsic noise; Intrinsic noise pattern isolation; Local variation pattern; Local variations; Localised; Noise patterns; Variation pattern; Pixels</t>
  </si>
  <si>
    <t>R0140</t>
  </si>
  <si>
    <t>Dual-scale model collaborative reasoning with multi-feature fusion for robust AI-generated image detection</t>
  </si>
  <si>
    <t>Han J.; Zhong P.; Sun L.</t>
  </si>
  <si>
    <t>10.1007/s00530-026-02425-4</t>
  </si>
  <si>
    <t>2-s2.0-105042531253</t>
  </si>
  <si>
    <t>AI-generated image detection; Dual-scale model collaborative reasoning; Multi-feature fusion</t>
  </si>
  <si>
    <t>Authentication; Copyrights; Decision making; Feature extraction; Iterative methods; Semantics; AI-generated image detection; Authenticity verification; Collaborative reasonings; Descriptors; Dual scale; Dual-scale model collaborative reasoning; Image detection; Multi-feature fusion; Scale-model; Visual feature; Image enhancement</t>
  </si>
  <si>
    <t>R0141</t>
  </si>
  <si>
    <t>Towards Extensible Detection of AI-Generated Images via Content-Agnostic Adapter-Based Category-Aware Incremental Learning</t>
  </si>
  <si>
    <t>Tang S.; He P.; Li H.; Wang W.; Jiang X.; Zhao Y.</t>
  </si>
  <si>
    <t>10.1109/TIFS.2025.3546845</t>
  </si>
  <si>
    <t>2-s2.0-105001209461</t>
  </si>
  <si>
    <t>AI-generated image detection; domain alignment; Image forensics; incremental learning</t>
  </si>
  <si>
    <t>Adversarial machine learning; AI-generated image detection; Domain alignment; Generation techniques; Generative model; Image detection; Image detection method; Image forensics; Image generations; Incremental learning; Learning frameworks; Contrastive Learning</t>
  </si>
  <si>
    <t>R0142</t>
  </si>
  <si>
    <t>Optimized Frequency Collaborative Strategy Drives AI Image Detection</t>
  </si>
  <si>
    <t>Li J.; Jiang W.; Shen L.; Ren Y.</t>
  </si>
  <si>
    <t>IEEE Internet of Things Journal</t>
  </si>
  <si>
    <t>10.1109/JIOT.2025.3531053</t>
  </si>
  <si>
    <t>2-s2.0-85216340627</t>
  </si>
  <si>
    <t>artificial intelligence (AI) image detection; deep learning; domain fusion; Internet of Things (IoT) security</t>
  </si>
  <si>
    <t>Image enhancement; Image texture; Artificial intelligence image detection; Collaborative strategies; Deep learning; Domain fusion; Image detection; Image generations; Internet of thing security; Language model; Multi-domains; Synthetic images; Frequency domain analysis</t>
  </si>
  <si>
    <t>R0143</t>
  </si>
  <si>
    <t>Enhancing deep fake detection: comparative analysis of advanced deep learning architectures</t>
  </si>
  <si>
    <t>Yesugade K.; Jadhav R.</t>
  </si>
  <si>
    <t>Proceedings of the Indian National Science Academy</t>
  </si>
  <si>
    <t>10.1007/s43538-026-00810-1</t>
  </si>
  <si>
    <t>2-s2.0-105043737232</t>
  </si>
  <si>
    <t>Deep learning; Deepfake detection; Digital authenticity; Ensemble predictions; Real vs. fake faces; StyleGAN; Xception</t>
  </si>
  <si>
    <t>Architecture; Authentication; Digital forensics; Fake detection; Feature extraction; Image enhancement; Large datasets; Statistical tests; Comparative analyzes; Deep learning; Deepfake detection; Digital authenticity; Ensemble prediction; Fake detection; Fake face; Real vs.; Stylegan; Xception; Deep learning</t>
  </si>
  <si>
    <t>R0144</t>
  </si>
  <si>
    <t>Generalizable Synthetic Image Detection via Language-Guided Contrastive Learning</t>
  </si>
  <si>
    <t>Wu H.; Zhou J.; Zhang S.</t>
  </si>
  <si>
    <t>IEEE Transactions on Artificial Intelligence</t>
  </si>
  <si>
    <t>10.1109/TAI.2025.3641104</t>
  </si>
  <si>
    <t>2-s2.0-105024591875</t>
  </si>
  <si>
    <t>Artificial intelligence in digital humanity; deep learning; digital image forensics; forgery detection</t>
  </si>
  <si>
    <t>Computer forensics; Contrastive Learning; Deep learning; Fake detection; Forensic engineering; Visual languages; Adversarial networks; Artificial intelligence in digital humanity; Deep learning; Digital humanities; Digital image forensics; Forgery detections; Image detection; Performance; Synthetic images; Synthetic models; Image enhancement</t>
  </si>
  <si>
    <t>R0145</t>
  </si>
  <si>
    <t>FAMSeC: A Few-Shot-Sample-Based General AI-Generated Image Detection Method</t>
  </si>
  <si>
    <t>Xu J.; Yang Y.; Fang H.; Liu H.; Zhang W.</t>
  </si>
  <si>
    <t>10.1109/LSP.2024.3511421</t>
  </si>
  <si>
    <t>2-s2.0-85211434931</t>
  </si>
  <si>
    <t>AI-generated image detection; contrastive learning; diffusion model; generative adversarial network</t>
  </si>
  <si>
    <t>Adversarial machine learning; Zero-shot learning; Adversarial networks; AI-generated image detection; Diffusion model; Explosive growth; Image detection; Image detection method; Learning strategy; Reliable detection; Semantic features; Training sample; Generative adversarial networks</t>
  </si>
  <si>
    <t>R0146</t>
  </si>
  <si>
    <t>All patches are not equal: Focusing on a single exposed patch for AI-generated image detection</t>
  </si>
  <si>
    <t>Yao L.; Niu S.; Feng X.; Zhang B.; Liu R.; Li K.</t>
  </si>
  <si>
    <t>10.1016/j.ipm.2026.105058</t>
  </si>
  <si>
    <t>2-s2.0-105044575637</t>
  </si>
  <si>
    <t>AI image detection; Data reliability; Forgery detection; IoT security</t>
  </si>
  <si>
    <t>Data mining; Image texture; Pattern recognition; Spurious signal noise; Textures; AI image detection; Data reliability; Detection methods; Forgery detections; Generative model; High frequency HF; High-frequency informations; Image detection; IoT security; Photorealistic rendering; Frequency domain analysis</t>
  </si>
  <si>
    <t>Publication-date criterion</t>
  </si>
  <si>
    <t>R0147</t>
  </si>
  <si>
    <t>Spatial flatness-curvature mask driven generalized detection of synthetic images</t>
  </si>
  <si>
    <t>10.1016/j.patrec.2026.04.022</t>
  </si>
  <si>
    <t>2-s2.0-105037721350</t>
  </si>
  <si>
    <t>AI-image detection; Deepfake detection; Synthetic image detection</t>
  </si>
  <si>
    <t>Classification (of information); Image classification; AI-image detection; Deepfake detection; Diffusion model; Feature representation; Generalisation; Generative model; Image detection; Synthetic image detection; Synthetic images; Gallium nitride; III-V semiconductors</t>
  </si>
  <si>
    <t>R0148</t>
  </si>
  <si>
    <t>DIFC-Net: Diffusion-Intrinsic Feature Capture for AI-Generated Image Detection</t>
  </si>
  <si>
    <t>Lu S.; Tian J.; Zhang Y.; Wu F.; Gong L.; Pan H.</t>
  </si>
  <si>
    <t>Sensors</t>
  </si>
  <si>
    <t>10.3390/s26082389</t>
  </si>
  <si>
    <t>2-s2.0-105036817003</t>
  </si>
  <si>
    <t>diffusion model detection; image forensic analysis; latent diffusion inversion; multimodal feature fusion; residual discrepancy; synthetic image authenticity</t>
  </si>
  <si>
    <t>Digital forensics; Feature extraction; Forensic engineering; Image analysis; Image fusion; Image recognition; Diffusion model; Diffusion model detection; Forensic analysis; Image forensic analyze; Image forensics; Latent diffusion inversion; Multimodal feature fusions; Residual discrepancy; Synthetic image authenticity; Synthetic images; area under the curve; article; controlled study; criminalistics; diagnosis; diffusion; generative model; generator; human; image artifact; normal human; Diffusion</t>
  </si>
  <si>
    <t>R0149</t>
  </si>
  <si>
    <t>Wavelet-packets for deepfake image analysis and detection</t>
  </si>
  <si>
    <t>Wolter M.; Blanke F.; Heese R.; Garcke J.</t>
  </si>
  <si>
    <t>Machine Learning</t>
  </si>
  <si>
    <t>10.1007/s10994-022-06225-5</t>
  </si>
  <si>
    <t>2-s2.0-85137193528</t>
  </si>
  <si>
    <t>Deepfake detection; Signal processing; Wavelet packets; Wavelets</t>
  </si>
  <si>
    <t>Convolutional neural networks; Digital forensics; Image analysis; Image enhancement; Wavelet analysis; Wavelet transforms; Artificial image; Deepfake detection; Image detection; Image-analysis; Large-scales; Neural-networks; Signal-processing; Wavelet; Wavelet Packet; Wavelet packet representation; Fake detection</t>
  </si>
  <si>
    <t>R0150</t>
  </si>
  <si>
    <t>Learning a Semantic Similarity Orthogonal Space for Model-Level AI-Generated Image Source Attribution</t>
  </si>
  <si>
    <t>Lin Y.; Jiang X.; Wang W.; Tian J.</t>
  </si>
  <si>
    <t>10.1111/exsy.70359</t>
  </si>
  <si>
    <t>2-s2.0-105045183700</t>
  </si>
  <si>
    <t>AI generated image; CLIP; orthogonal semantic space; source attribution</t>
  </si>
  <si>
    <t>Artificial intelligence; Computer crime; Computer forensics; Copyrights; Electronic crime countermeasures; Forensic engineering; Image processing; Semantic Web; AI generated image; CLIP; Copyright infringement; Diffusion model; Image source; Orthogonal semantic space; Orthogonal space; Semantic similarity; Semantic Space; Source attribution; Semantics</t>
  </si>
  <si>
    <t>R0151</t>
  </si>
  <si>
    <t>Hybrid Deep Learning for Image Authenticity: Distinguishing Between Real and AI-Generated Images</t>
  </si>
  <si>
    <t>Wella; Suryasari; Desanti R.I.</t>
  </si>
  <si>
    <t>Journal of Applied Data Sciences</t>
  </si>
  <si>
    <t>10.47738/jads.v7i1.991</t>
  </si>
  <si>
    <t>2-s2.0-105026775442</t>
  </si>
  <si>
    <t>Deepfake Detection; Graph Neural Networks; Hybrid CNN-GNN; Image Classification; k-NN Graph Construction</t>
  </si>
  <si>
    <t>FT-EC3</t>
  </si>
  <si>
    <t>R0152</t>
  </si>
  <si>
    <t>Novel Deepfake Image Detection with PV-ISM: Patch-Based Vision Transformer for Identifying Synthetic Media</t>
  </si>
  <si>
    <t>Çınar O.; Doğan Y.</t>
  </si>
  <si>
    <t>10.3390/app15126429</t>
  </si>
  <si>
    <t>2-s2.0-105008908074</t>
  </si>
  <si>
    <t>AI-generated images; attention mechanism; deep learning; image classification; transfer learning; Vision Transformers</t>
  </si>
  <si>
    <t>Classification (of information); Deep learning; Image coding; Learning systems; Transfer learning; AI-generated image; Attention mechanisms; Deep learning; Image detection; Images classification; Patch based; Performance; Synthetic media; Transfer learning; Vision transformer; Image classification</t>
  </si>
  <si>
    <t>R0153</t>
  </si>
  <si>
    <t>Incremental Learning for AI-Generated Image Detection</t>
  </si>
  <si>
    <t>Cai Z.; Song X.; Li X.; Li B.; Shan H.; Chen J.</t>
  </si>
  <si>
    <t>10.1109/TMM.2026.3716041</t>
  </si>
  <si>
    <t>2-s2.0-105045790596</t>
  </si>
  <si>
    <t>AI-generated image detection; Fake image detection dataset; Incremental learning</t>
  </si>
  <si>
    <t>Fake detection; Image annotation; AI-generated image detection; Detection methods; Detection networks; Fake image detection dataset; Generation method; Image detection; Incremental learning; Performance; Robust detection; Image enhancement</t>
  </si>
  <si>
    <t>R0154</t>
  </si>
  <si>
    <t>RADAR: Reasoning AI-Generated Image Detection for Semantic Fakes</t>
  </si>
  <si>
    <t>Wang H.; Liu X.; Lu Z.; Yan C.; Jiang X.; Wang R.; Gavves E.</t>
  </si>
  <si>
    <t>Technologies</t>
  </si>
  <si>
    <t>10.3390/technologies13070280</t>
  </si>
  <si>
    <t>2-s2.0-105011625653</t>
  </si>
  <si>
    <t>AI-generated detection; multimodal large language models; semantic-level fake detection</t>
  </si>
  <si>
    <t>Fake detection; Image enhancement; Image recognition; Image texture; Semantic Web; Semantics; Textures; AI-generated detection; Fake detection; Generative model; Image detection; Language model; Multi-modal; Multimodal large language model; Semantic levels; Semantic-level fake detection; World knowledge; Frequency domain analysis</t>
  </si>
  <si>
    <t>R0155</t>
  </si>
  <si>
    <t>Color Space Analysis for AI-Generated Image Detection on CIFAKE: CNN Models and Statistical Evaluation</t>
  </si>
  <si>
    <t>Bayram F.</t>
  </si>
  <si>
    <t>10.1109/ACCESS.2026.3665315</t>
  </si>
  <si>
    <t>2-s2.0-105030663828</t>
  </si>
  <si>
    <t>AI-generated image detection; color spaces; deep learning</t>
  </si>
  <si>
    <t>Image enhancement; RGB color model; Artificial intelligence-generated image detection; CNN models; Colour spaces; Deep learning; Image detection; Model evaluation; Performance; Random seeds; Simple++; Space analysis; Deep learning</t>
  </si>
  <si>
    <t>R0156</t>
  </si>
  <si>
    <t>Alleviation of Health Data Poverty for Skin Lesions Using ACGAN: Systematic Review</t>
  </si>
  <si>
    <t>Ravikumar A.; Sriraman H.; Chadha C.; Kumar Chattu V.</t>
  </si>
  <si>
    <t>10.1109/ACCESS.2024.3417176</t>
  </si>
  <si>
    <t>2-s2.0-85196719891</t>
  </si>
  <si>
    <t>Deep learning; digital health; GAN; health data poverty; machine learning; scalability</t>
  </si>
  <si>
    <t>Classification (of information); Deep learning; Dermatology; E-learning; Health care; Image enhancement; Lime; Neural networks; Support vector machines; Data augmentation; Deep learning; Digital health; Electronic healthcare; Health data; Health data poverty; Lesion; Machine-learning; Melanoma; Skin lesion; Generative adversarial networks</t>
  </si>
  <si>
    <t>R0157</t>
  </si>
  <si>
    <t>Vision-based multirotor following using synthetic learning techniques</t>
  </si>
  <si>
    <t>Rodriguez-Ramos A.; Alvarez-Fernandez A.; Bavle H.; Campoy P.; How J.P.</t>
  </si>
  <si>
    <t>Sensors (Switzerland)</t>
  </si>
  <si>
    <t>10.3390/s19214794</t>
  </si>
  <si>
    <t>2-s2.0-85074650087</t>
  </si>
  <si>
    <t>Deep learning; Following; Multirotor; Reinforcement learning; Synthetic learning; UAV</t>
  </si>
  <si>
    <t>Deep learning; Flight simulators; Image recognition; Learning algorithms; Machine learning; Motion control; Object detection; Object recognition; Unmanned aerial vehicles (UAV); Visual servoing; Control strategies; Following; Learning techniques; Multirotor; Reinforcement learning techniques; Research communities; Stable convergence; Synthetic learning; article; control strategy; deep learning; motion; reinforcement; robotics; simulation; vision; Reinforcement learning</t>
  </si>
  <si>
    <t>R0158</t>
  </si>
  <si>
    <t>DD-Aug: A Knowledge-to-Image Synthetic Data Augmentation Pipeline for Industrial Defect Detection</t>
  </si>
  <si>
    <t>Ren W.; Song K.; Chen C.-Y.; Chen Y.; Hong J.; Fan M.; Ouyang X.; Zhu Y.; Xiao J.</t>
  </si>
  <si>
    <t>IEEE Transactions on Industrial Informatics</t>
  </si>
  <si>
    <t>10.1109/TII.2024.3495786</t>
  </si>
  <si>
    <t>2-s2.0-105001081095</t>
  </si>
  <si>
    <t>Data augmentation; defect detection; diffusion model; lighting scene generation; metal surface defect inspection</t>
  </si>
  <si>
    <t>Data assimilation; Failure analysis; Network security; Data augmentation; Defect detection; Diffusion model; Lighting scene generation; Metal surface defect inspection; Metal surface defects; Scene generation; Semantic features; Surface defect inspections; Synthetic data</t>
  </si>
  <si>
    <t>R0159</t>
  </si>
  <si>
    <t>Robust and efficient single-CNN-based spacecraft relative pose estimation from monocular images</t>
  </si>
  <si>
    <t>Bechini M.; Lavagna M.</t>
  </si>
  <si>
    <t>Acta Astronautica</t>
  </si>
  <si>
    <t>10.1016/j.actaastro.2025.04.016</t>
  </si>
  <si>
    <t>2-s2.0-105003563002</t>
  </si>
  <si>
    <t>Convolutional neural networks; Keypoints-based methods; Relative pose estimation; Synthetic augmentations; Vision-based navigation</t>
  </si>
  <si>
    <t>Benchmarking; Error statistics; Forward error correction; Health risks; Image analysis; Image segmentation; Photomapping; Convolutional neural network; Keypoint-based method; Keypoints; Performance; Pose-estimation; Proposed architectures; Relative pose; Relative pose estimation; Synthetic augmentation; Vision based navigation; Image enhancement</t>
  </si>
  <si>
    <t>R0160</t>
  </si>
  <si>
    <t>Evaluation of Digital Breast Tomosynthesis as Replacement of Full-Field Digital Mammography Using an In Silico Imaging Trial</t>
  </si>
  <si>
    <t>Badano A.; Graff C.G.; Badal A.; Sharma D.; Zeng R.; Samuelson F.W.; Glick S.J.; Myers K.J.</t>
  </si>
  <si>
    <t>JAMA network open</t>
  </si>
  <si>
    <t>10.1001/jamanetworkopen.2018.5474</t>
  </si>
  <si>
    <t>2-s2.0-85065298601</t>
  </si>
  <si>
    <t>Breast; Breast Neoplasms; Calcinosis; Computer Simulation; Female; Humans; Mammography; ROC Curve; breast; breast tumor; calcinosis; comparative study; computer simulation; diagnostic imaging; female; human; mammography; procedures; receiver operating characteristic</t>
  </si>
  <si>
    <t>R0161</t>
  </si>
  <si>
    <t>Domain adaptation methodology using synthetic images for computer vision-based automated construction progress monitoring</t>
  </si>
  <si>
    <t>Choi S.-M.; Cha H.S.</t>
  </si>
  <si>
    <t>Construction Innovation</t>
  </si>
  <si>
    <t>10.1108/CI-06-2025-0279</t>
  </si>
  <si>
    <t>2-s2.0-105029700356</t>
  </si>
  <si>
    <t>Computer vision; Construction progress monitoring; Domain adaptation; Domain shift; Maximum mean discrepancy; Synthetic image</t>
  </si>
  <si>
    <t>R0162</t>
  </si>
  <si>
    <t>Liquid Level Detection of Polytetrafluoroethylene Emulsion Rotary Vibrating Screen Device Based on TransResNet</t>
  </si>
  <si>
    <t>Liu W.; Fan X.; Liu M.; Li H.; Du J.; Liu N.</t>
  </si>
  <si>
    <t>10.3390/electronics14050913</t>
  </si>
  <si>
    <t>2-s2.0-86000529048</t>
  </si>
  <si>
    <t>data augmentation; deep learning; liquid level detection; polytetrafluoroethylene (PTFE) emulsion; ResNet; Vision Transformer</t>
  </si>
  <si>
    <t>R0163</t>
  </si>
  <si>
    <t>Digital image forgery detection under complex lighting using Phong reflection model</t>
  </si>
  <si>
    <t>Rani A.; Jain A.</t>
  </si>
  <si>
    <t>Journal of Electronic Imaging</t>
  </si>
  <si>
    <t>10.1117/1.JEI.31.5.051402</t>
  </si>
  <si>
    <t>2-s2.0-85132763553</t>
  </si>
  <si>
    <t>complex lighting; forgery; image originality detection; lighting analysis; Phong reflection model</t>
  </si>
  <si>
    <t>Image analysis; Incident light; Statistical tests; Textures; Complex lighting; Digital image; Elevation angle; Forgery; Forgery detections; Image originality detection; Lighting analysis; Phong reflection model; Reflection Models; Synthetic image dataset; Light sources</t>
  </si>
  <si>
    <t>R0164</t>
  </si>
  <si>
    <t>A 2D/3D multimodal data simulation approach with applications on urban semantic segmentation, building extraction and change detection</t>
  </si>
  <si>
    <t>Fuentes Reyes M.; Xie Y.; Yuan X.; d'Angelo P.; Kurz F.; Cerra D.; Tian J.</t>
  </si>
  <si>
    <t>ISPRS Journal of Photogrammetry and Remote Sensing</t>
  </si>
  <si>
    <t>10.1016/j.isprsjprs.2023.09.013</t>
  </si>
  <si>
    <t>2-s2.0-85173149435</t>
  </si>
  <si>
    <t>3D change detection; Building extraction; Synthetic datasets; Urban semantic segmentation</t>
  </si>
  <si>
    <t>Antennas; Change detection; Deep learning; Extraction; Remote sensing; Semantics; 3d change detection; Aerial remote sensing; Building extraction; Change detection; Digital surface models; Multi-modal; Multi-modal data; Semantic segmentation; Synthetic datasets; Urban semantic segmentation; data set; image processing; remote sensing; satellite imagery; segmentation; simulation; Semantic Segmentation</t>
  </si>
  <si>
    <t>R0165</t>
  </si>
  <si>
    <t>Synthesizing images with aligned masks using text-to-image based generative AI for robust PV segmentation</t>
  </si>
  <si>
    <t>Tan H.; Guo Z.; Li J.; Chen Y.; Chen Q.; Liu J.; Zhang H.; Yan J.</t>
  </si>
  <si>
    <t>Renewable Energy</t>
  </si>
  <si>
    <t>10.1016/j.renene.2026.125217</t>
  </si>
  <si>
    <t>2-s2.0-105027002949</t>
  </si>
  <si>
    <t>Generalizability; Generative AI; Mask generation; PV segmentation; SynthPV; Text-to-Image</t>
  </si>
  <si>
    <t>Baden-Wurttemberg; China; Germany; Heilbronn; Jiaxing; Zhejiang; Artificial intelligence; Image enhancement; Large datasets; Masks; Remote sensing; Solar energy; Generalizability; Generative AI; Image-based; Mask generation; Photovoltaic panels; Photovoltaic segmentation; Photovoltaics; Robust detection; Synthpv; Text-to-image; accessibility; artificial intelligence; artificial neural network; integrated approach; photovoltaic system; segmentation; training; Image segmentation</t>
  </si>
  <si>
    <t>R0166</t>
  </si>
  <si>
    <t>LesionAid: vision transformers-based skin lesion generation and classification – A practical review</t>
  </si>
  <si>
    <t>K M.R.; Krishna G.S.; Supriya K.; Sorgile M.</t>
  </si>
  <si>
    <t>10.1007/s11042-025-20797-z</t>
  </si>
  <si>
    <t>2-s2.0-105001822121</t>
  </si>
  <si>
    <t>Augmentation; Classification; Generative Adversarial Networks; Skin Disease; Vision Transformers</t>
  </si>
  <si>
    <t>Convolutional neural networks; Deep neural networks; Distribution transformers; Image enhancement; Adversarial networks; Augmentation; Convolutional neural network; Human cancer; In-phase; Skin cancers; Skin disease; Skin lesion; Synthetic images; Vision transformer; Generative adversarial networks</t>
  </si>
  <si>
    <t>R0167</t>
  </si>
  <si>
    <t>Hybrid EfficientNetV2–ViT feature extraction with lightweight CNN for explainable and deployable Monkeypox detection</t>
  </si>
  <si>
    <t>Kaviarasan R.; Bai P.S.S.</t>
  </si>
  <si>
    <t>International Journal of Information Technology (Singapore)</t>
  </si>
  <si>
    <t>10.1007/s41870-025-02944-9</t>
  </si>
  <si>
    <t>2-s2.0-105024318081</t>
  </si>
  <si>
    <t>Convolutional neural networks; Deep learning; Explainable AI; Monkeypox detection; Transfer learning; Vision transformers</t>
  </si>
  <si>
    <t>R0168</t>
  </si>
  <si>
    <t>R2RNet: Low-light image enhancement via Real-low to Real-normal Network</t>
  </si>
  <si>
    <t>Hai J.; Xuan Z.; Yang R.; Hao Y.; Zou F.; Lin F.; Han S.</t>
  </si>
  <si>
    <t>10.1016/j.jvcir.2022.103712</t>
  </si>
  <si>
    <t>2-s2.0-85144044734</t>
  </si>
  <si>
    <t>Image processing; Low-light image enhancement; Real-world low/normal-light image pairs; Retinex theory</t>
  </si>
  <si>
    <t>Face recognition; Large dataset; Vision; Image pairs; Images processing; Low-light image enhancement; Low-light images; Performance; Real-world; Real-world low/normal-light image pair; Retinex theory; Subnets; Visual tasks; Image enhancement</t>
  </si>
  <si>
    <t>R0169</t>
  </si>
  <si>
    <t>Advances in video and image security research in the era of large models; [大模型时代的视频与图像安全研究进展]</t>
  </si>
  <si>
    <t>Sang N.; Huang K.; Zhao Y.; Gao C.; Kao Y.; Tan C.; Wang X.; Wu M.; Yin W.</t>
  </si>
  <si>
    <t>10.11834/jig.250656</t>
  </si>
  <si>
    <t>2-s2.0-105042653762</t>
  </si>
  <si>
    <t>anomaly detection; deepfake detection; generative AI; image and video security; multimodal large model</t>
  </si>
  <si>
    <t>R0170</t>
  </si>
  <si>
    <t>Polyp Detection Using YOLOv9 on Real and Synthetic Colonoscopy Images</t>
  </si>
  <si>
    <t>Chng S.; Li J.; Trinh H.; Lim J.; Kan M.; Vadapalli D.; Toh P.; Ang T.</t>
  </si>
  <si>
    <t>Journal of Gastroenterology and Hepatology (Australia)</t>
  </si>
  <si>
    <t>10.1111/jgh.70391</t>
  </si>
  <si>
    <t>2-s2.0-105035183755</t>
  </si>
  <si>
    <t>Colonic Polyps; Colonoscopy; Detection Algorithms; Humans; Article; colonoscopy; colorectal polyp; comparative study; diagnostic accuracy; diffusion; evaluation study; gastroenterologist; integration; medical education; performance indicator; recall; synthetic biology; task performance; text-to-image model; validation study; colon polyp; detection algorithm; diagnosis; human; pathology; procedures</t>
  </si>
  <si>
    <t>R0171</t>
  </si>
  <si>
    <t>A 7T fMRI dataset of synthetic images for out-of-distribution modeling of vision</t>
  </si>
  <si>
    <t>Gifford A.T.; Cichy R.M.; Naselaris T.; Kay K.</t>
  </si>
  <si>
    <t>Nature Communications</t>
  </si>
  <si>
    <t>10.1038/s41467-026-69345-9</t>
  </si>
  <si>
    <t>2-s2.0-105029799695</t>
  </si>
  <si>
    <t>Adult; Brain; Brain Mapping; Female; Humans; Magnetic Resonance Imaging; Male; Models, Neurological; Photic Stimulation; Vision, Ocular; Visual Perception; Young Adult; brain; data set; neurology; numerical model; vision; adult; article; controlled study; functional magnetic resonance imaging; human; human experiment; male; normal human; vision; biological model; brain; brain mapping; diagnostic imaging; female; nuclear magnetic resonance imaging; photostimulation; physiology; procedures; young adult</t>
  </si>
  <si>
    <t>R0172</t>
  </si>
  <si>
    <t>A neural implementation of the Hough transform and the advantages of explaining away</t>
  </si>
  <si>
    <t>Spratling M.W.</t>
  </si>
  <si>
    <t>Image and Vision Computing</t>
  </si>
  <si>
    <t>10.1016/j.imavis.2016.05.001</t>
  </si>
  <si>
    <t>2-s2.0-84970990816</t>
  </si>
  <si>
    <t>Explaining away; Feature extraction; Generalised Hough transform; Hough transform; Implicit shape model; Neural networks; Object detection</t>
  </si>
  <si>
    <t>Algorithms; Extraction; Hough transforms; Inference engines; Neural networks; Object detection; Object recognition; Competitive neural network; Explaining away; Implicit shape models; Natural images; Neural implementations; Probabilistic inference; Straight line detection; Synthetic images; Feature extraction</t>
  </si>
  <si>
    <t>R0173</t>
  </si>
  <si>
    <t>Robust deep learning for eye fundus images: Bridging real and synthetic data for enhancing generalization</t>
  </si>
  <si>
    <t>Oliveira G.C.; Rosa G.H.; Pedronette D.C.G.; Papa J.P.; Kumar H.; Passos L.A.; Kumar D.</t>
  </si>
  <si>
    <t>Biomedical Signal Processing and Control</t>
  </si>
  <si>
    <t>10.1016/j.bspc.2024.106263</t>
  </si>
  <si>
    <t>2-s2.0-85189663195</t>
  </si>
  <si>
    <t>Age-related macular degeneration; Data augmentation; Deep learning; Generative Adversarial Networks; Medical images; StyleGAN2</t>
  </si>
  <si>
    <t>Deep learning; Image enhancement; Medical imaging; Network architecture; Ophthalmology; Statistical tests; Age-related macular degeneration; Data augmentation; Deep learning; Eye fundus; Fundus image; Generalisation; Medical image; Stylegan2; Synthetic data; Test sets; age related macular degeneration; Article; controlled study; deep learning; diagnostic accuracy; eye fundus; human; image analysis; image quality; quality control; residual neural network; retina image; Generative adversarial networks</t>
  </si>
  <si>
    <t>R0174</t>
  </si>
  <si>
    <t>Enhanced YOLOv8 for multi-hazard detection on railways using hybrid datasets</t>
  </si>
  <si>
    <t>Deng R.; Zou Y.; Liu S.; Ni H.; Wang R.; Ma Y.</t>
  </si>
  <si>
    <t>10.1088/1361-6501/ae4cad</t>
  </si>
  <si>
    <t>2-s2.0-105033833736</t>
  </si>
  <si>
    <t>attention mechanism; natural disaster detection; object detection; synthetic data; YOLOv8</t>
  </si>
  <si>
    <t>Data mining; Disasters; Feature extraction; Image enhancement; Object recognition; Railroad transportation; Railroads; Semantics; Three dimensional computer graphics; Attention mechanisms; Complex background; Hazard detection; Multi-hazards; Multi-scales; Natural disaster detection; Natural disasters; Objects detection; Synthetic data; YOLOv8; Object detection</t>
  </si>
  <si>
    <t>R0175</t>
  </si>
  <si>
    <t>3D FusionNet for synthetic CT based lung cancer segmentation</t>
  </si>
  <si>
    <t>Parida C.; Bilgaiyan S.; Sagnika S.; Roy S.; Pandey A.</t>
  </si>
  <si>
    <t>10.1038/s41598-025-29703-x</t>
  </si>
  <si>
    <t>2-s2.0-105024715951</t>
  </si>
  <si>
    <t>3D-TDUnet++; computer-aided diagnosis (CAD); Cross-domain image synthesis; Deep Convolutional Generative Adversarial Networks (DCGAN); Non-Local Feature Aggregation (NLFa); Synthetic CT images</t>
  </si>
  <si>
    <t>Algorithms; Deep Learning; Humans; Imaging, Three-Dimensional; Lung Neoplasms; Neural Networks, Computer; Radiographic Image Interpretation, Computer-Assisted; Tomography, X-Ray Computed; algorithm; artificial neural network; computer assisted diagnosis; deep learning; diagnostic imaging; human; lung tumor; procedures; three-dimensional imaging; x-ray computed tomography</t>
  </si>
  <si>
    <t>R0176</t>
  </si>
  <si>
    <t>Automated Detection and Segmentation of Mechanical, Electrical, and Plumbing Components in Indoor Environments by Using the YOLACT++ Architecture</t>
  </si>
  <si>
    <t>Shamsollahi D.; Moselhi O.; Khorasani K.</t>
  </si>
  <si>
    <t>Journal of Construction Engineering and Management</t>
  </si>
  <si>
    <t>10.1061/JCEMD4.COENG-15115</t>
  </si>
  <si>
    <t>2-s2.0-85196218027</t>
  </si>
  <si>
    <t>Complex networks; Convolutional neural networks; Deep learning; Image enhancement; Learning algorithms; Learning systems; Lighting; Object recognition; Statistical tests; Transfer learning; Automated detection; Automated segmentation; Construction environment; Indoor environment; Manual monitoring; Mechanical; Monitoring system; Real images; Synthetic images; Technological advancement; Large datasets</t>
  </si>
  <si>
    <t>R0177</t>
  </si>
  <si>
    <t>Predicting Transfer Performance Using Foreground Image Quality in Synthetic Vision Systems</t>
  </si>
  <si>
    <t>Mardikes M.A.; Evans J.T.; Sprague N.C.; Shaver G.M.</t>
  </si>
  <si>
    <t>10.1007/s11760-025-04406-y</t>
  </si>
  <si>
    <t>2-s2.0-105009214211</t>
  </si>
  <si>
    <t>Digital Twin Fidelity; Image Quality Assessment; Object Detection; Sim2Real; Structural Similarity; Synthetic Data</t>
  </si>
  <si>
    <t>Bridges; Computer vision; Digital twin; Image quality; Object recognition; Open systems; Quality control; Set theory; Digital twin fidelity; Foreground images; Image quality assessment; Object detectors; Objects detection; Sim2real; Similarity indices; Structural similarity; Synthetic data; Transfer performance; Object detection</t>
  </si>
  <si>
    <t>R0178</t>
  </si>
  <si>
    <t>A Synthetic Data-Driven Approach for Oil Spill Detection: Fine-Tuning YOLOv11-Seg with LIC-Based Ocean Flow Modeling</t>
  </si>
  <si>
    <t>Akhmedov F.; Abdikhafizovich K.T.; Bolikulov F.; Makhmudov F.</t>
  </si>
  <si>
    <t>Journal of Marine Science and Engineering</t>
  </si>
  <si>
    <t>10.3390/jmse14070608</t>
  </si>
  <si>
    <t>2-s2.0-105035491687</t>
  </si>
  <si>
    <t>computer vision; custom dataset generation; marine monitoring; ocean wave modeling; oil spill detection; synthetic image blending</t>
  </si>
  <si>
    <t>Biodiversity; Blending; Ecosystems; Large datasets; Marine pollution; Oceanography; Oil spills; Textures; Custom dataset generation; Data-driven approach; Image blending; Line integral convolution; Marine monitoring; Ocean wave model; Oil spill detection; Synthetic data; Synthetic image blending; Synthetic images; Computer vision</t>
  </si>
  <si>
    <t>R0179</t>
  </si>
  <si>
    <t>Deep labeller: automatic bounding box generation for synthetic violence detection datasets</t>
  </si>
  <si>
    <t>Nadeem M.S.; Kurugollu F.; Saravi S.; Atlam H.F.; Franqueira V.N.L.</t>
  </si>
  <si>
    <t>10.1007/s11042-023-15621-5</t>
  </si>
  <si>
    <t>2-s2.0-85163203312</t>
  </si>
  <si>
    <t>Data labelling; Synthetic virtual violence; USI; Violence detection; WVD</t>
  </si>
  <si>
    <t>Object detection; Statistical tests; Bounding-box; Data labelling; Detection system; Labelings; Labour-intensive; Synthetic virtual violence; USI; Violence detections; Weak labels; WVD; Deep learning</t>
  </si>
  <si>
    <t>R0180</t>
  </si>
  <si>
    <t>Enhancing Weibo Sentiment Analysis With Multi-Modal Learning: Integrating Text and Synthesized Images With Contrastive Learning</t>
  </si>
  <si>
    <t>Wang C.; Konpang J.; Sirikham A.; Tian S.</t>
  </si>
  <si>
    <t>10.1109/ACCESS.2025.3579782</t>
  </si>
  <si>
    <t>2-s2.0-105008549533</t>
  </si>
  <si>
    <t>multi-modal approach; pre-trained text-to-image model; self-supervised contrastive learning; Sentiment analysis</t>
  </si>
  <si>
    <t>Data mining; Image analysis; Image enhancement; Learning systems; Modal analysis; Self-supervised learning; Supervised learning; Complex emotions; Image modeling; Multi-modal approach; Multi-modal learning; Pre-trained text-to-image model; Self-supervised contrastive learning; Sentiment analysis; Synthesized images; Text images; Visual cues; Sentiment analysis</t>
  </si>
  <si>
    <t>R0181</t>
  </si>
  <si>
    <t>Deep convolutional neural networks for image-based Convolvulus sepium detection in sugar beet fields</t>
  </si>
  <si>
    <t>Gao J.; French A.P.; Pound M.P.; He Y.; Pridmore T.P.; Pieters J.G.</t>
  </si>
  <si>
    <t>Plant Methods</t>
  </si>
  <si>
    <t>10.1186/s13007-020-00570-z</t>
  </si>
  <si>
    <t>2-s2.0-85081228230</t>
  </si>
  <si>
    <t>Deep learning; Precision farming; Synthetic images; Transfer learning; Weed detection</t>
  </si>
  <si>
    <t>R0182</t>
  </si>
  <si>
    <t>Deep Learning Algorithm for COVID-19 Classification Using Chest X-Ray Images</t>
  </si>
  <si>
    <t>V J S.; D J.F.</t>
  </si>
  <si>
    <t>Computational and mathematical methods in medicine</t>
  </si>
  <si>
    <t>10.1155/2021/9269173</t>
  </si>
  <si>
    <t>2-s2.0-85121994007</t>
  </si>
  <si>
    <t>Algorithms; COVID-19; COVID-19 Testing; Databases, Factual; Deep Learning; Early Diagnosis; False Positive Reactions; Humans; Neural Networks, Computer; Pandemics; Radiography, Thoracic; ROC Curve; SARS-CoV-2; Software Design; Tomography, X-Ray Computed; algorithm; classification; comparative study; diagnostic imaging; early diagnosis; factual database; false positive result; human; pandemic; procedures; receiver operating characteristic; software design; thorax radiography; x-ray computed tomography</t>
  </si>
  <si>
    <t>R0183</t>
  </si>
  <si>
    <t>HCF-RecNet: Handwritten Chemical Formula Recognition With Deep Learning and Rule-Based Correction</t>
  </si>
  <si>
    <t>He X.; Tao J.; Ouyang M.; Peng X.; Xiang Y.; Liu W.</t>
  </si>
  <si>
    <t>10.1109/ACCESS.2026.3710964</t>
  </si>
  <si>
    <t>2-s2.0-105044321263</t>
  </si>
  <si>
    <t>Handwritten chemical formula generation; handwritten chemical formula recognition; post-processing module; rule-based correction; YOLOv11</t>
  </si>
  <si>
    <t>Character recognition; Chemical detection; Deep learning; Chemical formulae; Handwritten chemical formula generation; Handwritten chemical formula recognition; Post-processing; Post-processing module; Processing modules; Rule based; Rule-based correction; YOLOv11; Semantics</t>
  </si>
  <si>
    <t>R0184</t>
  </si>
  <si>
    <t>A Pilot Study of the Diagnosis of Oral Cancer Through the Development of an AI Application</t>
  </si>
  <si>
    <t>Zisis V.; Theodosiadis P.; Charisi C.; Poulopoulos K.; Papadopoulos P.; Parcharidis E.; Parlitsis G.; Stergiadou E.; Dimitris C.; Poulopoulos A.</t>
  </si>
  <si>
    <t>Dentistry Journal</t>
  </si>
  <si>
    <t>10.3390/dj14070429</t>
  </si>
  <si>
    <t>2-s2.0-105045875491</t>
  </si>
  <si>
    <t>artificial intelligence; dentistry; oral cancer; oral medicine; oral squamous cell carcinoma; OSCC</t>
  </si>
  <si>
    <t>R0185</t>
  </si>
  <si>
    <t>Template matching via l1 minimization and its application to hyperspectral data</t>
  </si>
  <si>
    <t>Guo Z.; Osher S.</t>
  </si>
  <si>
    <t>Inverse Problems and Imaging</t>
  </si>
  <si>
    <t>10.3934/ipi.2011.5.19</t>
  </si>
  <si>
    <t>2-s2.0-79951758823</t>
  </si>
  <si>
    <t>Bregman; Hyperspectral; L&lt;sub&gt;1&lt;/sub&gt; minimization; Template matching</t>
  </si>
  <si>
    <t>R0186</t>
  </si>
  <si>
    <t>Physics-Guided Synthetic Aperture Radar Image Generation and Target Detection Enhancement Framework</t>
  </si>
  <si>
    <t>Shang Y.; Chen H.; Li Y.; Chen Z.; Sun J.; Zhao Y.</t>
  </si>
  <si>
    <t>10.1109/JSEN.2025.3610886</t>
  </si>
  <si>
    <t>2-s2.0-105017382616</t>
  </si>
  <si>
    <t>Attribute scattering center (ASC) loss; cross-angle target detection; physics-guided; synthetic aperture radar (SAR) image generation</t>
  </si>
  <si>
    <t>Benchmarking; Fusion reactions; Radar imaging; Radar target recognition; Synthetic aperture radar; Target tracking; Attribute scattering center loss; Cross-angle target detection; Cross-angles; Data augmentation; Image generations; Physic-guided; Scattering centers; Synthetic aperture radar image generation; Synthetic aperture radar images; Targets detection; Image enhancement</t>
  </si>
  <si>
    <t>R0187</t>
  </si>
  <si>
    <t>Low-Light Salient Object Detection by Learning to Highlight the Foreground Objects</t>
  </si>
  <si>
    <t>Lu X.; Yuan Y.; Liu X.; Wang L.; Zhou X.; Yang Y.</t>
  </si>
  <si>
    <t>10.1109/TCSVT.2024.3377108</t>
  </si>
  <si>
    <t>2-s2.0-85188439086</t>
  </si>
  <si>
    <t>datasets; deep convolutional neural networks; image enhancement; low-light images; Salient object detection</t>
  </si>
  <si>
    <t>Deep neural networks; Image enhancement; Job analysis; Object detection; Object recognition; Convolutional neural network; Dataset; Deep convolutional neural network; Dynamic range; Features extraction; Low-light images; Objects detection; Salient object detection; Subnetworks; Task analysis; Feature extraction</t>
  </si>
  <si>
    <t>R0188</t>
  </si>
  <si>
    <t>Semantic-guided disentanglement model for style-diverse image synthesis in generalized underwater crack detection</t>
  </si>
  <si>
    <t>Song Y.; Wu Z.; Xu J.; Zuo S.; Zhai G.; Xu G.</t>
  </si>
  <si>
    <t>10.1016/j.autcon.2026.106927</t>
  </si>
  <si>
    <t>2-s2.0-105034835789</t>
  </si>
  <si>
    <t>Crack-MUNIT; Data synthesis; Generative disentanglement; Semantic segmentation generalization; Underwater crack inspection</t>
  </si>
  <si>
    <t>Codes (symbols); Data mining; Geometry; Labeled data; Semantic Segmentation; Semantics; Underwater imaging; Crack inspection; Crack-MUNIT; Data synthesis; Fine tuning; Generalisation; Generative disentanglement; Pre-training; Semantic segmentation; Semantic segmentation generalization; Underwater crack inspection; Crack detection</t>
  </si>
  <si>
    <t>R0189</t>
  </si>
  <si>
    <t>Evaluating the FLUX.1 Synthetic Data on YOLOv9 for AI-Powered Poultry Farming</t>
  </si>
  <si>
    <t>Cakic S.; Popovic T.; Krco S.; Jovovic I.; Babic D.</t>
  </si>
  <si>
    <t>10.3390/app15073663</t>
  </si>
  <si>
    <t>2-s2.0-105002279092</t>
  </si>
  <si>
    <t>computer vision; deep learning; digital farm management; generative artificial intelligence; smart farms; synthetic data</t>
  </si>
  <si>
    <t>Deep learning; Digital farm management; Farm management; Generative artificial intelligence; Learning models; Poultry farms; Real images; Smart farm; Synthetic data; Synthetic images; Data accuracy</t>
  </si>
  <si>
    <t>R0190</t>
  </si>
  <si>
    <t>Are Human Judgments of Real and Fake Faces Quantum-like Contextual?</t>
  </si>
  <si>
    <t>Bruza P.; Lee A.; Hoyte P.</t>
  </si>
  <si>
    <t>Entropy</t>
  </si>
  <si>
    <t>10.3390/e27080868</t>
  </si>
  <si>
    <t>2-s2.0-105014252401</t>
  </si>
  <si>
    <t>AI; contextuality; quantum cognition</t>
  </si>
  <si>
    <t>R0191</t>
  </si>
  <si>
    <t>Heterogeneous Face Recognition via Face Synthesis With Identity-Attribute Disentanglement</t>
  </si>
  <si>
    <t>Yang Z.; Liang J.; Fu C.; Luo M.; Zhang X.-Y.</t>
  </si>
  <si>
    <t>10.1109/TIFS.2022.3160595</t>
  </si>
  <si>
    <t>2-s2.0-85126719356</t>
  </si>
  <si>
    <t>Cross-domain; Face augmentation; Face disentanglement; Heterogeneous face recognition</t>
  </si>
  <si>
    <t>Image enhancement; Image reconstruction; Infrared devices; Infrared imaging; Stochastic systems; Cross-domain; Face; Face augmentation; Face disentanglement; Face synthesis; Facial feature; Features extraction; Heterogeneous face recognition; Images reconstruction; Images synthesis; Face recognition</t>
  </si>
  <si>
    <t>R0192</t>
  </si>
  <si>
    <t>ISMDNet: Multi-Material Decomposition Using Deep Learning and Inverse Transform Sampling in Spectral Photon Counting CT</t>
  </si>
  <si>
    <t>Behouch A.; Maalej N.; Werghi N.; Kherra N.; Ilyas N.; Azizi H.; Terchi Y.; Younis Raja A.</t>
  </si>
  <si>
    <t>10.1109/ACCESS.2025.3639971</t>
  </si>
  <si>
    <t>2-s2.0-105023909896</t>
  </si>
  <si>
    <t>deep learning; Material decomposition; spectral CT; spectral photon counting CT</t>
  </si>
  <si>
    <t>Biological materials; Computerized tomography; Electromagnetic wave attenuation; Inverse problems; Inverse transforms; Mean square error; Photons; Decomposition methods; Decomposition networks; Deep learning; Learning models; Material decomposition; Performance; Photon counting; Sampling materials; Spectral CT; Spectral photon counting CT; Deep learning</t>
  </si>
  <si>
    <t>R0193</t>
  </si>
  <si>
    <t>Reconstructing Snow-Free Sentinel-2 Satellite Imagery: A Generative Adversarial Network (GAN) Approach</t>
  </si>
  <si>
    <t>Oluwadare T.S.; Chen D.; Oluwafemi O.; Babadi M.; Hossain M.; Ibukun O.</t>
  </si>
  <si>
    <t>Remote Sensing</t>
  </si>
  <si>
    <t>10.3390/rs16132352</t>
  </si>
  <si>
    <t>2-s2.0-85198337265</t>
  </si>
  <si>
    <t>deep learning; GAN; remote sensing; satellite imagery; Sentinel-2; snow remover</t>
  </si>
  <si>
    <t>Climate change; Deep learning; Earth (planet); Geometrical optics; Image analysis; Image reconstruction; Optical data processing; Optical remote sensing; Quality control; Satellite imagery; Semantics; Signal to noise ratio; Deep learning; Remote sensing technology; Remote-sensing; Removal models; Satellite images; Sentinel-2; Similarity indices; Snow covers; Snow remover; Structural similarity; Generative adversarial networks</t>
  </si>
  <si>
    <t>R0194</t>
  </si>
  <si>
    <t>Expanding New Covid-19 Data with Conditional Generative Adversarial Networks</t>
  </si>
  <si>
    <t>Majid H.; Ali K.H.</t>
  </si>
  <si>
    <t>Iraqi Journal for Electrical and Electronic Engineering</t>
  </si>
  <si>
    <t>10.37917/ijeee.18.1.12</t>
  </si>
  <si>
    <t>2-s2.0-85167424063</t>
  </si>
  <si>
    <t>Augmentation; Conditional Generative Adversarial Network; COVID-19; deep learning; Generative Adversarial Network; image synthetic</t>
  </si>
  <si>
    <t>R0195</t>
  </si>
  <si>
    <t>Amalgamation of GAN and ResNet methods in accurate detection of Breast Cancer with Histopathological Images</t>
  </si>
  <si>
    <t>Zion G.D.; Tripathy B.K.</t>
  </si>
  <si>
    <t>International Journal of Advances in Soft Computing and its Applications</t>
  </si>
  <si>
    <t>10.15849/IJASCA.240730.20</t>
  </si>
  <si>
    <t>2-s2.0-85203048844</t>
  </si>
  <si>
    <t>Breast cancer detection; Convolutional Neural Networks; GAN; Machine Learning; Residual Neural Networks</t>
  </si>
  <si>
    <t>R0196</t>
  </si>
  <si>
    <t>Enhancing Thyroid Cancer Detection in Ultrasound Images Using Augmentation-Driven Deep Learning Framework</t>
  </si>
  <si>
    <t>Indhumathi R.; Dar S.A.; Rather A.A.; Osman A.F.; Ruhela S.; Yasika G.; Arul Mozhiselvi S.</t>
  </si>
  <si>
    <t>International Journal of Statistics in Medical Research</t>
  </si>
  <si>
    <t>10.6000/1929-6029.2026.15.13</t>
  </si>
  <si>
    <t>2-s2.0-105036689698</t>
  </si>
  <si>
    <t>Classification; Deep learning; Image augmentation; Segmentation; Thyroid cancer; Transformers; Ultrasound images</t>
  </si>
  <si>
    <t>Article; augmentation driven deep learning framework; cancer classification; cancer diagnosis; contrast enhancement; convolutional neural network; decision tree; deep learning; diagnostic test accuracy study; domain specific augmentation; feature extraction; GAN based synthetic image generation; generative model; geometric transformation; geometry; histogram; human; machine learning; mathematical model; measurement accuracy; measurement precision; noise reduction; photometric augmentation; photometry; qualitative analysis; quantitative analysis; radiologist; random forest; support vector machine; thyroid cancer; thyroid imaging reporting and data system; thyroid nodule; ultrasound</t>
  </si>
  <si>
    <t>R0197</t>
  </si>
  <si>
    <t>An Efficient Hybrid Framework for Weld Defect Detection Using GAN, CNN and XGBoost †</t>
  </si>
  <si>
    <t>Pattabiraman K.; Patil A.; Gulavani Y.; Malik R.; Gai A.</t>
  </si>
  <si>
    <t>Engineering Proceedings</t>
  </si>
  <si>
    <t>10.3390/engproc2026130009</t>
  </si>
  <si>
    <t>2-s2.0-105043024947</t>
  </si>
  <si>
    <t>Convolutional Neural Network (CNN); feature fusion; Generative Adversarial Network (GAN); hybrid model; LIME (Local Interpretable Model-agnostic Explanations); SHAP (SHapley Additive exPlanations); weld defect classification; XGBoost</t>
  </si>
  <si>
    <t>R0198</t>
  </si>
  <si>
    <t>Salient Object Subitizing</t>
  </si>
  <si>
    <t>Zhang J.; Ma S.; Sameki M.; Sclaroff S.; Betke M.; Lin Z.; Shen X.; Price B.; Měch R.</t>
  </si>
  <si>
    <t>International Journal of Computer Vision</t>
  </si>
  <si>
    <t>10.1007/s11263-017-1011-0</t>
  </si>
  <si>
    <t>2-s2.0-85017461468</t>
  </si>
  <si>
    <t>Convolutional neural network; Deep learning; Salient object; Subitizing</t>
  </si>
  <si>
    <t>Convolution; Deep learning; Image retrieval; Neural networks; Object detection; Convolutional neural network; Convolutional Neural Networks (CNN); Human performance; Prediction accuracy; Salient object detection; Salient objects; Subitizing; Synthetic images; Image enhancement</t>
  </si>
  <si>
    <t>R0199</t>
  </si>
  <si>
    <t>Universal Robust Vehicle Identification System for Monitoring Using YOLOv12 and DeepSORT</t>
  </si>
  <si>
    <t>Ambata L.; Dadios E.J.</t>
  </si>
  <si>
    <t>Smart Cities</t>
  </si>
  <si>
    <t>10.3390/smartcities9050085</t>
  </si>
  <si>
    <t>2-s2.0-105040002192</t>
  </si>
  <si>
    <t>DeepSORT; image processing; machine learning; Python; YOLOv12</t>
  </si>
  <si>
    <t>R0200</t>
  </si>
  <si>
    <t>SynthEye: Investigating the Impact of Synthetic Data on Artificial Intelligence-assisted Gene Diagnosis of Inherited Retinal Disease</t>
  </si>
  <si>
    <t>Veturi Y.A.; Woof W.; Lazebnik T.; Moghul I.; Woodward-Court P.; Wagner S.K.; Cabral de Guimarães T.A.; Daich Varela M.; Liefers B.; Patel P.J.; Beck S.; Webster A.R.; Mahroo O.; Keane P.A.; Michaelides M.; Balaskas K.; Pontikos N.</t>
  </si>
  <si>
    <t>Ophthalmology Science</t>
  </si>
  <si>
    <t>10.1016/j.xops.2022.100258</t>
  </si>
  <si>
    <t>2-s2.0-85149606870</t>
  </si>
  <si>
    <t>Class imbalance; Clinical Decision-Support Model; Deep Learning; Generative Adversarial Networks; Inherited Retinal Diseases; Synthetic data</t>
  </si>
  <si>
    <t>Article; artificial intelligence; autofluorescence imaging; classification; classifier; cohort analysis; controlled study; convolutional neural network; data quality; deep learning; diagnostic test accuracy study; diagnostic value; eye fundus; genetic disorder; genetic screening; human; image analysis; image quality; major clinical study; medical expert; molecular diagnosis; ophthalmologist; optical coherence tomography; quality control; receiver operating characteristic; reliability; retina disease; retrospective study</t>
  </si>
  <si>
    <t>R0201</t>
  </si>
  <si>
    <t>Enhancing IoT Network Security: Unveiling the Power of Self-Supervised Learning against DDoS Attacks</t>
  </si>
  <si>
    <t>Almaraz-Rivera J.G.; Cantoral-Ceballos J.A.; Botero J.F.</t>
  </si>
  <si>
    <t>Sensors (Basel, Switzerland)</t>
  </si>
  <si>
    <t>10.3390/s23218701</t>
  </si>
  <si>
    <t>2-s2.0-85176882148</t>
  </si>
  <si>
    <t>computer vision; contrastive learning; DDoS attacks; deep learning; Intrusion Detection System; IoT networks; self-supervised learning</t>
  </si>
  <si>
    <t>article; computer security; computer vision; confidential information; deep learning; denial of service attack; human; internet of things; learning; network security; theft</t>
  </si>
  <si>
    <t>R0202</t>
  </si>
  <si>
    <t>Synthetic short-wave infrared images generated by pixel-to-perceptual multilevel constraint-based GAN architecture for marine object detection</t>
  </si>
  <si>
    <t>Wang L.; Dong Y.; Fei C.; Liu J.; Fan S.; Liu Y.; Liu Z.; Zhao X.; Li Y.</t>
  </si>
  <si>
    <t>10.1016/j.neucom.2025.131100</t>
  </si>
  <si>
    <t>2-s2.0-105012461670</t>
  </si>
  <si>
    <t>GANs; Image-to-image translation; Marine object detection; Short-wave infrared (SWIR)</t>
  </si>
  <si>
    <t>Data handling; Deep learning; Error detection; Extraction; Feature extraction; Infrared devices; Infrared imaging; Infrared radiation; Labeled data; Large datasets; Learning systems; Object recognition; Pixels; Semantics; Ships; GAN; Image translation; Image-to-image translation; Marine object detection; Marine objects; Multilevels; Objects detection; Ship detection; Short wave infrared; Short-wave infrared; Article; comparative study; computer analysis; conceptual framework; cross validation; deep learning; deep neural network; detection algorithm; discriminant analysis; evaluation study; feature extraction; generative adversarial network; graphics processing unit; grey value distribution; image analysis; image processing; image quality; image to image translation task; inception score; information processing; infrared radiation; marine environment; marine ship detection; mathematical analysis; mathematical parameters; measurement precision; patch wise loss; perceptual loss; pixel to perceptual multilevel constraint; probability; quantitative analysis; recall bias; semi supervised machine learning; short wave diathermy; structural similarity; unsupervised machine learning; Object detection</t>
  </si>
  <si>
    <t>R0203</t>
  </si>
  <si>
    <t>A Method to Automatic Create Dataset for Training Object Detection Neural Networks</t>
  </si>
  <si>
    <t>Zhou S.; Yang Z.; Zhu M.; Li He.; Serikawa S.; Mizumachi M.; Zhang L.</t>
  </si>
  <si>
    <t>10.1109/ACCESS.2022.3195490</t>
  </si>
  <si>
    <t>2-s2.0-85135766558</t>
  </si>
  <si>
    <t>artificial intelligence; computer vision; dataset creation; deep learning; Object detection</t>
  </si>
  <si>
    <t>Deep learning; Edge detection; Job analysis; Object detection; Object recognition; Annotation; Dataset creation; Deep learning; Detection tasks; Image edge detection; Neural-networks; Objects detection; Synthetic images; Task analysis; Computer vision</t>
  </si>
  <si>
    <t>R0204</t>
  </si>
  <si>
    <t>Analysis of Classifier Training on Synthetic Data for Cross-Domain Datasets</t>
  </si>
  <si>
    <t>Cortés A.; Rodríguez C.; Vélez G.; Barandiarán J.; Nieto M.</t>
  </si>
  <si>
    <t>IEEE Transactions on Intelligent Transportation Systems</t>
  </si>
  <si>
    <t>10.1109/TITS.2020.3009186</t>
  </si>
  <si>
    <t>2-s2.0-85122381463</t>
  </si>
  <si>
    <t>deep learning; Synthetic datasets; traffic sign recognition</t>
  </si>
  <si>
    <t>Automobile drivers; Classification (of information); Deep learning; Image enhancement; Intelligent systems; Large dataset; Statistical tests; Classifier training; Cross-domain; Deep learning; Image-based; Real images; Synthetic data; Synthetic datasets; Synthetic images; Traffic sign recognition; Training data; Advanced driver assistance systems</t>
  </si>
  <si>
    <t>R0205</t>
  </si>
  <si>
    <t>Improving Classification Accuracy of Breast Ultrasound Images Using Wasserstein GAN for Synthetic Data Augmentation</t>
  </si>
  <si>
    <t>Diyasa I.G.S.M.; Humairah S.; Puspaningrum E.Y.; Durry F.D.; Lestari W.D.; Caesarendra W.; Dewi D.A.; Aryananda R.L.</t>
  </si>
  <si>
    <t>Journal of Robotics and Control (JRC)</t>
  </si>
  <si>
    <t>10.18196/jrc.v6i4.25075</t>
  </si>
  <si>
    <t>2-s2.0-105014172659</t>
  </si>
  <si>
    <t>Augmentation; Breast Cancer; Cancer; Process Innovation; Ultrasound Image; Wasserstein GAN</t>
  </si>
  <si>
    <t>R0206</t>
  </si>
  <si>
    <t>AUBADE-syn: a novel deep learning ensemble method for glaucoma detection using synthetic fundus images on imbalanced datasets</t>
  </si>
  <si>
    <t>Wu F.; Xue Y.; Yuhas P.T.; Gao X.R.</t>
  </si>
  <si>
    <t>npj Digital Medicine</t>
  </si>
  <si>
    <t>10.1038/s41746-026-02752-w</t>
  </si>
  <si>
    <t>2-s2.0-105046115504</t>
  </si>
  <si>
    <t>Classification (of information); Deep learning; Eye protection; Image classification; Large datasets; Learning systems; Medical imaging; Ophthalmology; Class imbalance; Classifier performance; Ensemble methods; Fundus image; Glaucoma detection; Imbalanced dataset; Learning approach; Medical data sets; Public dataset; Synthetic image generation; Article; convolutional neural network; deep learning; diagnostic imaging; diffusion; ensemble learning; entropy; eye fundus; glaucoma; human; image analysis; image processing; kernel method; optic disk; optic disk cup; prediction; predictive value; receiver operating characteristic; residual neural network; Image enhancement</t>
  </si>
  <si>
    <t>R0207</t>
  </si>
  <si>
    <t>Training-Free Defect Image Generation with Multi-Domain Consistency and Geometric-Semantic Constraints for Industrial Visual Sensing Inspection</t>
  </si>
  <si>
    <t>Wang Y.; Jiang D.; Wang Y.; Zhu K.; Yao G.</t>
  </si>
  <si>
    <t>10.3390/s26134216</t>
  </si>
  <si>
    <t>2-s2.0-105045226619</t>
  </si>
  <si>
    <t>anomaly sample augmentation; geometric semantic constraints; industrial defect generation; multi-domain consistency; training-free diffusion model</t>
  </si>
  <si>
    <t>Blending; Defects; Frequency domain analysis; Image quality; Inspection; Morphology; Semantics; Textures; glass; Anomaly sample augmentation; Defect generation; Diffusion model; Domain consistency; Free diffusion; Geometric semantic constraint; Geometric semantics; Industrial defect generation; Multi-domain consistency; Multi-domains; Semantic constraints; Training-free diffusion model; article; container; controlled study; diffusion; image quality; morphology; training; Image enhancement</t>
  </si>
  <si>
    <t>R0208</t>
  </si>
  <si>
    <t>Neural Network-Based Pose Estimation for Noncooperative Spacecraft Rendezvous</t>
  </si>
  <si>
    <t>Sharma S.; D'Amico S.</t>
  </si>
  <si>
    <t>IEEE Transactions on Aerospace and Electronic Systems</t>
  </si>
  <si>
    <t>10.1109/TAES.2020.2999148</t>
  </si>
  <si>
    <t>2-s2.0-85097033529</t>
  </si>
  <si>
    <t>Application programming interfaces (API); Cameras; Convolutional neural networks; Degrees of freedom (mechanics); Image segmentation; Mockups; Object detection; Space applications; Uncertainty analysis; Different distributions; Navigation filters; Object detection algorithms; Relative position and attitude; Relative positions; Spaceborne applications; Target spacecraft; Vision-based sensors; Space rendezvous</t>
  </si>
  <si>
    <t>R0209</t>
  </si>
  <si>
    <t>Pattern Recognition in Images by Symmetries and Coordinate Transformations</t>
  </si>
  <si>
    <t>Bigün J.</t>
  </si>
  <si>
    <t>10.1006/cviu.1997.0556</t>
  </si>
  <si>
    <t>2-s2.0-0031335972</t>
  </si>
  <si>
    <t>Chirality; Continuous symmetry; Coordinate transformation; Deformation; Generalized Hough transform; Image analysis; Lie groups; Lie operators; Pattern recognition; Symmetry</t>
  </si>
  <si>
    <t>Curve fitting; Feature extraction; Harmonic analysis; Image analysis; Least squares approximations; Mathematical operators; Mathematical transformations; Parameter estimation; Generalized Hough transforms (GHT); Harmonic function pair (HFP); Lie groups; Symmetry measurements; Edge detection</t>
  </si>
  <si>
    <t>R0210</t>
  </si>
  <si>
    <t>Synthetic image data generation using BIM and computer graphics for building scene understanding</t>
  </si>
  <si>
    <t>Ying H.; Sacks R.; Degani A.</t>
  </si>
  <si>
    <t>10.1016/j.autcon.2023.105016</t>
  </si>
  <si>
    <t>2-s2.0-85165234389</t>
  </si>
  <si>
    <t>Automatic annotation; Building information modeling (BIM); Building scene understanding; Deep learning; Synthetic image generation</t>
  </si>
  <si>
    <t>Architectural design; Deep learning; Image annotation; Indoor positioning systems; Large dataset; Learning systems; Object detection; Object recognition; Semantic Segmentation; Trees (mathematics); Automatic annotation; Building information modeling; Building Information Modelling; Building scene understanding; Data generation; Deep learning; Image data; Scene understanding; Synthetic image generation; Synthetic images; Semantics</t>
  </si>
  <si>
    <t>R0211</t>
  </si>
  <si>
    <t>A fast and reliable three-dimensional centerline tracing: Application to virtual cochlear implant surgery</t>
  </si>
  <si>
    <t>Zamani M.; Salkim E.; Saeed S.R.; Demosthenous A.</t>
  </si>
  <si>
    <t>10.1109/ACCESS.2020.3020247</t>
  </si>
  <si>
    <t>2-s2.0-85102830743</t>
  </si>
  <si>
    <t>Automated insertion; Cochlea; Cross-section calibration; Directional convolution; Minimally invasive surgery; Real-time systems; Robust centerline tracing; Tubular structures; Virtual surgery</t>
  </si>
  <si>
    <t>3D modeling; Cochlear implants; Computational efficiency; Cost benefit analysis; Cost engineering; Decision making; Pixels; Surgery; Virtual reality; Design considerations; Discrete convolution; Electrode insertion; Exploratory search; Geometrical changes; Regions of interest; Structural complexity; Threedimensional (3-d); Three dimensional computer graphics</t>
  </si>
  <si>
    <t>R0212</t>
  </si>
  <si>
    <t>A new nonparametric statistical approach to detect lumen and Media-Adventitia borders in intravascular ultrasound frames</t>
  </si>
  <si>
    <t>Kermani A.; Ayatollahi A.</t>
  </si>
  <si>
    <t>10.1016/j.compbiomed.2018.10.024</t>
  </si>
  <si>
    <t>2-s2.0-85056210588</t>
  </si>
  <si>
    <t>Border detection; Cubic spline; Intravascular image; Nonparametric statistics; Ultrasound</t>
  </si>
  <si>
    <t>Adventitia; Algorithms; Coronary Artery Disease; Coronary Vessels; Humans; Image Processing, Computer-Assisted; Models, Cardiovascular; Ultrasonography, Interventional; Statistics; Ultrasonic applications; Ultrasonics; Border detection; Cubic spline; Interventional imaging; Intravascular; Intravascular ultrasound; Non-parametric statistics; Statistical approach; Three-step process; adventitia; article; controlled study; coronary artery; DNA probe; extraction; human; intravascular ultrasound; nonparametric test; theoretical study; adventitia; algorithm; biological model; coronary artery disease; coronary blood vessel; diagnostic imaging; image processing; interventional ultrasonography; Image processing</t>
  </si>
  <si>
    <t>R0213</t>
  </si>
  <si>
    <t>From visible imagery to synthetic short-wave infrared for maritime ship detection</t>
  </si>
  <si>
    <t>Nita C.; Rennotte S.; Vandewal M.</t>
  </si>
  <si>
    <t>10.1016/j.imavis.2026.106013</t>
  </si>
  <si>
    <t>2-s2.0-105037662327</t>
  </si>
  <si>
    <t>Electro-optical sensors; Maritime surveillance; Ship detection; SWIR imaging; Synthetic image generation</t>
  </si>
  <si>
    <t>Deep learning; Error detection; Interactive computer systems; Detection system; Electrooptical sensors; Maritime-surveillance; Ship detection; Short wave infrared; Short-wave infrared imaging; Similarity indices; Structural similarity; Synthetic image generation; Visible imagery; Ships</t>
  </si>
  <si>
    <t>R0214</t>
  </si>
  <si>
    <t>Automatic detection of multiple defects in deteriorated concrete sewer pipelines: A method based on StyleGAN and MCFN-YOLO</t>
  </si>
  <si>
    <t>Zhang J.; Yang J.; Niu X.; Song E.; Cao H.; Wang Y.; Gao F.</t>
  </si>
  <si>
    <t>Journal of Water Process Engineering</t>
  </si>
  <si>
    <t>10.1016/j.jwpe.2026.109476</t>
  </si>
  <si>
    <t>2-s2.0-105027552912</t>
  </si>
  <si>
    <t>Concrete pipe; Data augmentation; Defect detection; Sewer infrastructure; YOLO algorithm</t>
  </si>
  <si>
    <t>R0215</t>
  </si>
  <si>
    <t>Unityship: A large-scale synthetic dataset for ship recognition in aerial images</t>
  </si>
  <si>
    <t>He B.; Li X.; Huang B.; Gu E.; Guo W.; Wu L.</t>
  </si>
  <si>
    <t>10.3390/rs13244999</t>
  </si>
  <si>
    <t>2-s2.0-85121371546</t>
  </si>
  <si>
    <t>Aerial imagery; Deep learning; Ship recognition; Synthetic data</t>
  </si>
  <si>
    <t>Aerial photography; Antennas; Deep learning; Image enhancement; Image recognition; Large dataset; Numerical models; Object detection; Aerial imagery; Aerial images; Data augmentation; Deep learning; Image datasets; Large amounts; Large-scales; Pre-training; Ship recognition; Synthetic data; Object recognition</t>
  </si>
  <si>
    <t>R0216</t>
  </si>
  <si>
    <t>COVID-19 Along with Other Chest Infection Diagnoses Using Faster R-CNN and Generative Adversarial Network</t>
  </si>
  <si>
    <t>Mostafiz R.; Uddin M.S.; Uddin K.M.M.; Rahman M.M.</t>
  </si>
  <si>
    <t>ACM Transactions on Spatial Algorithms and Systems</t>
  </si>
  <si>
    <t>10.1145/3520125</t>
  </si>
  <si>
    <t>2-s2.0-85148003231</t>
  </si>
  <si>
    <t>chest X-ray (CXR); convolutional neural network (CNN); COVID-19; faster R-CNN; generative adversarial network (GAN)</t>
  </si>
  <si>
    <t>Convolution; Convolutional neural networks; Deep learning; Diagnosis; Generative adversarial networks; Medical imaging; Automatic diagnosis; Chest X-ray; Convolutional neural network; Coronaviruses; Disease detection; Fast R-convolutional neural network; Generative adversarial network; Medical imaging technology; accuracy assessment; artificial neural network; COVID-19; image analysis; infectious disease; network analysis; X-ray; COVID-19</t>
  </si>
  <si>
    <t>R0217</t>
  </si>
  <si>
    <t>Deepfake Video Forensics: A Hybrid Deep Learning Model for Detecting Deepfake Faces in Videos</t>
  </si>
  <si>
    <t>Ansar H.; Kumar R M.S.</t>
  </si>
  <si>
    <t>10.22266/ijies2025.0731.21</t>
  </si>
  <si>
    <t>2-s2.0-105015353364</t>
  </si>
  <si>
    <t>Artificial intelligence; Cyber security; Deep fake technology; Deep learning; Image forgeries; Long short-term memory; MobileNet v2</t>
  </si>
  <si>
    <t>FT-EC14</t>
  </si>
  <si>
    <t>R0218</t>
  </si>
  <si>
    <t>CONDITIONAL MALWARE IMAGE GENERATION USING WGAN-GP FOR DATA AUGMENTATION</t>
  </si>
  <si>
    <t>CUONG N.H.; VINH T.T.; QUY N.N.</t>
  </si>
  <si>
    <t>Journal of Theoretical and Applied Information Technology</t>
  </si>
  <si>
    <t>10.5281/zenodo.20253357</t>
  </si>
  <si>
    <t>2-s2.0-105040348793</t>
  </si>
  <si>
    <t>CWGAN-GP; Data Augmentation; Deep Learning; Generative Adversarial Networks; Malware Detection; Vision-based Classification</t>
  </si>
  <si>
    <t>R0219</t>
  </si>
  <si>
    <t>GAN-Enhanced Hybrid Deep Learning with Explainable AI for Automated Cataract Diagnosis</t>
  </si>
  <si>
    <t>Satapathy S.M.; Paul M.G.; Garg A.; Bhatnagar S.</t>
  </si>
  <si>
    <t>Journal of Medical Systems</t>
  </si>
  <si>
    <t>10.1007/s10916-025-02249-1</t>
  </si>
  <si>
    <t>2-s2.0-105017579551</t>
  </si>
  <si>
    <t>Artificial intelligence; Cataract; Deep learning; GANs; Transfer learning; XAI</t>
  </si>
  <si>
    <t>Cataract; Deep Learning; Humans; Neural Networks, Computer; Reproducibility of Results; Article; binary classification; cataract; clinical decision making; clinical outcome; cohort analysis; contrast enhancement; controlled study; convolutional neural network; cross validation; deep learning; diagnostic accuracy; diagnostic imaging; explainable artificial intelligence; feature extraction; generative adversarial network; generative artificial intelligence; human; image analysis; image enhancement; image quality; k fold cross validation; low vision; major clinical study; ophthalmoscopy; prediction; qualitative analysis; quantitative analysis; recurrent neural network; retina image; sensitivity and specificity; sigmoid; artificial neural network; diagnosis; reproducibility</t>
  </si>
  <si>
    <t>R0220</t>
  </si>
  <si>
    <t>A data-centric multi-source augmentation framework for deployable traffic sign recognition using YOLOv8-n</t>
  </si>
  <si>
    <t>Mortazavinasab H.; Celli S.; Di Carlo A.</t>
  </si>
  <si>
    <t>Neural Computing and Applications</t>
  </si>
  <si>
    <t>10.1007/s00521-026-12087-y</t>
  </si>
  <si>
    <t>2-s2.0-105039513736</t>
  </si>
  <si>
    <t>Data augmentation; Lightweight object detection; Synthetic data generation; Traffic sign recognition</t>
  </si>
  <si>
    <t>Advanced traffic management systems; Computational efficiency; Highway administration; Highway planning; Highway traffic control; Intelligent systems; Motor transportation; Object recognition; Roads and streets; Security systems; Street traffic control; Traffic signs; Condition; Data augmentation; Data centric; Fundamental component; Lightweight object detection; Multi-Sources; Objects detection; Synthetic data generations; Traffic sign detection; Traffic sign recognition; Cost effectiveness</t>
  </si>
  <si>
    <t>R0221</t>
  </si>
  <si>
    <t>An effective ship detection approach combining lightweight networks with supervised simulation-to-reality domain adaptation</t>
  </si>
  <si>
    <t>Liao R.; Zhang Y.; Wang H.; Lu L.; Chen Z.; Wang X.; Zuo W.</t>
  </si>
  <si>
    <t>Computer-Aided Civil and Infrastructure Engineering</t>
  </si>
  <si>
    <t>10.1111/mice.13501</t>
  </si>
  <si>
    <t>2-s2.0-105005541821</t>
  </si>
  <si>
    <t>Digital arithmetic; Ship models; Transfer learning; Data collection; Detection approach; Domain adaptation; Labeled images; Labor time; Labour-intensive; Maritime-surveillance; Multi level fusion; Ship detection; Vision based; computer simulation; computer vision; detection method; supervised learning; vessel; Deep neural networks</t>
  </si>
  <si>
    <t>R0222</t>
  </si>
  <si>
    <t>FD-GAN: Generalizable and Robust Forgery Detection via Generative Adversarial Networks</t>
  </si>
  <si>
    <t>Xu N.; Feng W.; Zhang T.; Zhang Y.</t>
  </si>
  <si>
    <t>10.1007/s11263-024-02136-1</t>
  </si>
  <si>
    <t>2-s2.0-85197283407</t>
  </si>
  <si>
    <t>Face forgery; Forgery detection; Generative adversarial networks</t>
  </si>
  <si>
    <t>Benchmarking; Crime; Face recognition; Finite difference method; Frequency estimation; Generative adversarial networks; Data augmentation; Estimation algorithm; Face forgery; Flexible strategies; Forgery detections; Generalisation; Performance; Pressung; Rank estimations; Synthetic images; Image enhancement</t>
  </si>
  <si>
    <t>R0223</t>
  </si>
  <si>
    <t>Railway Side Slope Hazard Detection System Based on Generative Models</t>
  </si>
  <si>
    <t>Zheng X.; He Y.; Luo Y.; Zhang L.; Wang J.; Shi T.; Bai Y.</t>
  </si>
  <si>
    <t>10.1109/JSEN.2025.3538529</t>
  </si>
  <si>
    <t>2-s2.0-85217813975</t>
  </si>
  <si>
    <t>Contrastive learning; diffusion models; generative learning; large language models (LLMs). object detection; railway safety; slope failure detection</t>
  </si>
  <si>
    <t>Aerial photography; Aircraft detection; Data encapsulation; Generative adversarial networks; Problem oriented languages; Railroad accidents; Railroad transportation; Risk analysis; Risk perception; Diffusion model; Failure detection; Generative learning; Language model; Large language model; Objects detection; Railway safety; Side slope; Slope failure; Slope failure detection; Risk assessment</t>
  </si>
  <si>
    <t>R0224</t>
  </si>
  <si>
    <t>Unpaired image-to-image translation of structural damage</t>
  </si>
  <si>
    <t>Varghese S.; Hoskere V.</t>
  </si>
  <si>
    <t>Advanced Engineering Informatics</t>
  </si>
  <si>
    <t>10.1016/j.aei.2023.101940</t>
  </si>
  <si>
    <t>2-s2.0-85153232504</t>
  </si>
  <si>
    <t>Cycle consistent adversarial networks; Data augmentation; Deep learning; Generative adversarial networks; Post-earthquake damage assessment; Synthetic dataset; Unpaired image to image translation; Unsupervised learning</t>
  </si>
  <si>
    <t>Damage detection; Deep neural networks; Earthquakes; Generative adversarial networks; Image enhancement; Large dataset; Structural analysis; Adversarial networks; Cycle consistent adversarial network; Damage assessments; Data augmentation; Deep learning; Earthquake damages; Image translation; Post-earthquake damage assessment; Synthetic datasets; Unpaired image to image translation; Network architecture</t>
  </si>
  <si>
    <t>R0225</t>
  </si>
  <si>
    <t>A Multi-Category Anomaly Editing Network With Correlation Exploration and Voxel-Level Attention for Unsupervised Surface Anomaly Detection</t>
  </si>
  <si>
    <t>Zhang R.; Hu H.-M.</t>
  </si>
  <si>
    <t>10.1109/TIP.2025.3607638</t>
  </si>
  <si>
    <t>2-s2.0-105016640677</t>
  </si>
  <si>
    <t>adaptive thresholding; feature clustering; feature editing; Surface anomaly detection; voxel level attention</t>
  </si>
  <si>
    <t>Deep learning; Feature extraction; Image coding; Image reconstruction; Image segmentation; Signal encoding; Supervised learning; Surface defects; Textures; Adaptive thresholding; Anomaly detection; Auto encoders; Feature clustering; Feature editing; Image Inpainting; Images reconstruction; Surface anomalies; Surface anomaly detection; Voxel level attention; article; autoencoder; entropy; human; image reconstruction; outlier detection; prediction; Anomaly detection</t>
  </si>
  <si>
    <t>R0226</t>
  </si>
  <si>
    <t>Synthetic Data with Global-Local Level for Adversarial-based Domain Adaptation</t>
  </si>
  <si>
    <t>Jiang N.; Fang J.; Shao Y.</t>
  </si>
  <si>
    <t>Journal of Experimental and Theoretical Artificial Intelligence</t>
  </si>
  <si>
    <t>10.1080/0952813X.2022.2115143</t>
  </si>
  <si>
    <t>2-s2.0-85138235591</t>
  </si>
  <si>
    <t>adversarial-based; Domain adaptation; domain discriminator; feature alignment; synthetic data</t>
  </si>
  <si>
    <t>Classification (of information); Object detection; Adversarial-based; Domain adaptation; Domain adaptions; Domain discriminator; Feature alignment; Global-local; Objects detection; Performance; Synthetic data; Two domains; Discriminators</t>
  </si>
  <si>
    <t>R0227</t>
  </si>
  <si>
    <t>A comparative analysis of deep learning architectures on high variation malaria parasite classification dataset</t>
  </si>
  <si>
    <t>Rahman A.; Zunair H.; Reme T.R.; Rahman M.S.; Mahdy M.R.C.</t>
  </si>
  <si>
    <t>Tissue and Cell</t>
  </si>
  <si>
    <t>10.1016/j.tice.2020.101473</t>
  </si>
  <si>
    <t>2-s2.0-85099595931</t>
  </si>
  <si>
    <t>Adversarial training; Malaria detection; Microscopy data; Transfer learning</t>
  </si>
  <si>
    <t>Algorithms; Animals; Databases as Topic; Deep Learning; Humans; Malaria; Parasites; Plasmodium; article; deep learning; deep neural network; human; microscopy; nonhuman; Plasmodium; qualitative analysis; transfer of learning; algorithm; animal; classification; comparative study; data base; malaria; parasite; parasitology; physiology; Plasmodium</t>
  </si>
  <si>
    <t>R0228</t>
  </si>
  <si>
    <t>Proto-LeakNet: Towards signal-leak aware attribution in synthetic human face imagery</t>
  </si>
  <si>
    <t>Giusti C.; Guarnera L.; Battiato S.</t>
  </si>
  <si>
    <t>10.1016/j.cviu.2026.104848</t>
  </si>
  <si>
    <t>2-s2.0-105042419341</t>
  </si>
  <si>
    <t>Deepfake attribution; Explainable AI; Latent signal-leak bias; Synthetic media forensics</t>
  </si>
  <si>
    <t>Computer vision; Embeddings; Signal analysis; Authenticity verification; Deepfake attribution; Embeddings; Explainable AI; Human faces; Latent signal-leak bias; Source attribution; Synthetic images; Synthetic media; Synthetic medium forensic; Diffusion</t>
  </si>
  <si>
    <t>R0229</t>
  </si>
  <si>
    <t>Unknown Low-Earth-Orbital Satellite Detection by Learning-Based Methods</t>
  </si>
  <si>
    <t>Huang Y.; Zhang Z.; Cui H.</t>
  </si>
  <si>
    <t>10.1109/TAES.2022.3228228</t>
  </si>
  <si>
    <t>2-s2.0-85144796088</t>
  </si>
  <si>
    <t>Low-Earth-orbital scene; single-class detection; synthetic dataset; unknown satellite</t>
  </si>
  <si>
    <t>Job analysis; Neural networks; Object detection; Object recognition; Orbits; Personnel training; Satellites; Low-Earth orbitals; Low-earth-orbital scene; Objects detection; Predictive models; Rendering (computer graphic); Satellite detection; Single-class detection; Synthetic datasets; Task analysis; Unknown satellite; Rendering (computer graphics)</t>
  </si>
  <si>
    <t>R0230</t>
  </si>
  <si>
    <t>Deep learning for pediatric synovial recess distension detection in hemophilia: synthetic image augmentation with styleGAN2-ADA</t>
  </si>
  <si>
    <t>Jafarpisheh N.; Roth J.; Hugle B.; Mendez M.; Chahal K.; Nagao A.; Tyrrell P.N.</t>
  </si>
  <si>
    <t>International Journal of Computer Assisted Radiology and Surgery</t>
  </si>
  <si>
    <t>10.1007/s11548-026-03638-8</t>
  </si>
  <si>
    <t>2-s2.0-105035795927</t>
  </si>
  <si>
    <t>Age-stratified analysis; Conditional styleGAN2-ADA; Data scarcity; Hemophilia; Pediatric musculoskeletal ultrasound (MSKUS); Synovial recess distension (SRD)</t>
  </si>
  <si>
    <t>R0231</t>
  </si>
  <si>
    <t>Improving Watermelon Disease Classification with Stable Diffusion-Generated Images and EfficientNetV2-L-Based Architecture</t>
  </si>
  <si>
    <t>Rai N.; Boyd N.S.; Vallad G.E.; Schumann A.W.</t>
  </si>
  <si>
    <t>AgriEngineering</t>
  </si>
  <si>
    <t>10.3390/agriengineering8030096</t>
  </si>
  <si>
    <t>2-s2.0-105034123227</t>
  </si>
  <si>
    <t>classification; convolutional neural network; generative AI; precision agriculture; synthetic data; watermelon diseases</t>
  </si>
  <si>
    <t>R0232</t>
  </si>
  <si>
    <t>Image compression based on centipede model</t>
  </si>
  <si>
    <t>Kurt B.; Gökmen M.</t>
  </si>
  <si>
    <t>ARI Bulletin of the Istanbul Technical University</t>
  </si>
  <si>
    <t>2-s2.0-33747464704</t>
  </si>
  <si>
    <t>Edge detection; Image compression; Image representation; Scale space; Surface reconstruction</t>
  </si>
  <si>
    <t>R0233</t>
  </si>
  <si>
    <t>Leveraging synthetic mammograms to enhance deep-learning performance for breast cancer classification using EfficientNetV2L architecture</t>
  </si>
  <si>
    <t>Sutjiadi R.; Sendari S.; Herwanto H.W.; Kristian Y.</t>
  </si>
  <si>
    <t>EAI Endorsed Transactions on AI and Robotics</t>
  </si>
  <si>
    <t>10.4108/airo.9749</t>
  </si>
  <si>
    <t>2-s2.0-105015328614</t>
  </si>
  <si>
    <t>breast cancer detection; deep learning in medical imaging; denoising diffusion probabilistic models; efficientnetv2l; synthetic mammograms</t>
  </si>
  <si>
    <t>R0234</t>
  </si>
  <si>
    <t>A scalable UAV-based structural health monitoring framework using augmented deep learning for multilevel damage classification</t>
  </si>
  <si>
    <t>Wang J.; Yang Y.; Wang Z.; Lv L.; Ueda T.</t>
  </si>
  <si>
    <t>Journal of Civil Structural Health Monitoring</t>
  </si>
  <si>
    <t>10.1007/s13349-025-01050-5</t>
  </si>
  <si>
    <t>2-s2.0-105028916667</t>
  </si>
  <si>
    <t>Damage classification; Data augmentation; Deep learning; Generative adversarial networks (GANs); Reinforced concrete; Structural health monitoring (SHM); UAV inspection</t>
  </si>
  <si>
    <t>Aircraft detection; Antennas; Classification (of information); Damage detection; Deep learning; Large datasets; Learning algorithms; Learning systems; Structural health monitoring; Unmanned aerial vehicles (UAV); Adversarial networks; Aerial vehicle; Damage classification; Data augmentation; Deep learning; Generative adversarial network; Health monitoring; Structural health; Structural health monitoring; Unmanned aerial vehicle inspection; Vehicle inspections; Reinforced concrete</t>
  </si>
  <si>
    <t>R0235</t>
  </si>
  <si>
    <t>Improved Weakly Supervised Logo Detection Using Semantic Domain Adaptation and Regularization</t>
  </si>
  <si>
    <t>Jain R.K.; Sato T.; Ruan X.; Chen Y.-W.</t>
  </si>
  <si>
    <t>IEEE Transactions on Emerging Topics in Computational Intelligence</t>
  </si>
  <si>
    <t>10.1109/TETCI.2026.3670694</t>
  </si>
  <si>
    <t>2-s2.0-105033377566</t>
  </si>
  <si>
    <t>anchorless object detectors; domain adaptation; entropy minimization; KL divergence; Logo detection; maximum square loss; synthesized images; unsupervised learning; weakly supervised learning</t>
  </si>
  <si>
    <t>Computer vision; Discriminators; Image annotation; Labeled data; Object detection; Object recognition; Probability distributions; Semantic Web; Semantics; Supervised learning; Trademarks; Unsupervised learning; Anchorless; Anchorless object detector; Domain adaptation; Entropy minimization; KL-divergence; Logo detections; Maximum square loss; Object detectors; Synthesized images; Weakly supervised learning; Image enhancement</t>
  </si>
  <si>
    <t>R0236</t>
  </si>
  <si>
    <t>Chirality Detection in Scanning Tunneling Microscopy Data Using Artificial Intelligence</t>
  </si>
  <si>
    <t>Seifert T.J.; Stritzke M.; Kasten P.; Möller B.; Fingscheidt T.; Etzkorn M.; de Wolff T.; Schlickum U.</t>
  </si>
  <si>
    <t>Small Methods</t>
  </si>
  <si>
    <t>10.1002/smtd.202400549</t>
  </si>
  <si>
    <t>2-s2.0-85203371298</t>
  </si>
  <si>
    <t>chiral networks; machine learning; molecular self-assembly; object detection; scanning probe microscopy; synthetic training data</t>
  </si>
  <si>
    <t>Chirality; Conformal mapping; Image acquisition; Image analysis; Probes; Scanning tunneling microscopy; Chiral networks; Enantiospecific; Machine-learning; Molecular networks; Molecular self assembly; Objects detection; Scanning-probe microscopy; Synthetic data; Synthetic training data; Technical applications; article; artificial intelligence; chirality; controlled study; diagnosis; drug development; human; image analysis; machine learning; manual labor; noise; scanning probe microscopy; scanning tunneling microscopy; topography; training; Scanning probe microscopy</t>
  </si>
  <si>
    <t>R0237</t>
  </si>
  <si>
    <t>Variable Precision Fuzzy Hit-or-Miss Transformation Models to Object Identification in Grey-Scale Images</t>
  </si>
  <si>
    <t>Xie W.; Deng T.; Li Q.; Ma M.</t>
  </si>
  <si>
    <t>Journal of Mathematical Imaging and Vision</t>
  </si>
  <si>
    <t>10.1007/s10851-014-0552-x</t>
  </si>
  <si>
    <t>2-s2.0-84934435336</t>
  </si>
  <si>
    <t>Fuzzy morphology; Fuzzy translation; Hit-or-miss transformation; Object detection; Rank operator; Variable precision</t>
  </si>
  <si>
    <t>Fuzzy logic; Fuzzy sets; Image processing; Pattern recognition; Hit-or-miss transformations; Image transformations; Morphological image operator; Object Detection; Object identification; Rank operator; Structuring element; Variable precision; Fuzzy set theory</t>
  </si>
  <si>
    <t>R0238</t>
  </si>
  <si>
    <t>Microscopy cell counting and detection with fully convolutional regression networks</t>
  </si>
  <si>
    <t>Xie W.; Noble J.A.; Zisserman A.</t>
  </si>
  <si>
    <t>Computer Methods in Biomechanics and Biomedical Engineering: Imaging and Visualization</t>
  </si>
  <si>
    <t>10.1080/21681163.2016.1149104</t>
  </si>
  <si>
    <t>2-s2.0-85006215434</t>
  </si>
  <si>
    <t>cell counting; cell detection; fully convolutional regression networks; inverting feature representations; Microscopy image analysis</t>
  </si>
  <si>
    <t>Benchmarking; Cells; Convolution; Cytology; Image enhancement; Neural networks; Cell counting; Cell detection; Density maps; Feature representation; Fully convolutional regression network; Input image; Inverting feature representation; Microscopy image analysis; Microscopy images; Synthetic data; algorithm; analytical parameters; Article; artificial neural network; cell counting; convolutional regression network; embryonic stem cell; field size; fluorescence microscopy; human; image analysis; lymphocyte; mathematical computing; patch size; plasma cell; priority journal; retinal pigment epithelium; T cell lymphoblastic leukemia cell; validation process; Regression analysis</t>
  </si>
  <si>
    <t>R0239</t>
  </si>
  <si>
    <t>Mitigating risk in medical AI: balancing X-ray datasets for reliable detection</t>
  </si>
  <si>
    <t>Ansari M.A.; Ahmad S.; Mewada A.</t>
  </si>
  <si>
    <t>Life Cycle Reliability and Safety Engineering</t>
  </si>
  <si>
    <t>10.1007/s41872-025-00316-7</t>
  </si>
  <si>
    <t>2-s2.0-105005600711</t>
  </si>
  <si>
    <t>Data augmentation; Deep convolutional GAN (DCGAN); Image synthesis; Medical data scarcity; Medical imaging</t>
  </si>
  <si>
    <t>R0240</t>
  </si>
  <si>
    <t>CervixFormer: A Multi-scale swin transformer-Based cervical pap-Smear WSI classification framework</t>
  </si>
  <si>
    <t>Khan A.; Han S.; Ilyas N.; Lee Y.-M.; Lee B.</t>
  </si>
  <si>
    <t>Computer Methods and Programs in Biomedicine</t>
  </si>
  <si>
    <t>10.1016/j.cmpb.2023.107718</t>
  </si>
  <si>
    <t>2-s2.0-85164675420</t>
  </si>
  <si>
    <t>Cervical cancer; Image classification; Medical data augmentation; Swin transformer; WSI Analysis</t>
  </si>
  <si>
    <t>Cervix Uteri; Diagnosis, Computer-Assisted; Early Detection of Cancer; Female; Humans; Papanicolaou Test; Uterine Cervical Neoplasms; Cells; Classification (of information); Computer aided diagnosis; Cytology; Diseases; Generative adversarial networks; Image analysis; Learning systems; Medical imaging; Cervical cancers; Data augmentation; Image-analysis; Images classification; Medical data; Medical data augmentation; Multi-scales; Swin transformer; Whole slide images; Whole-slide image analyse; adult; Article; atypical squamous cells of the cervix; biomedicine; cell nucleus; cervixformer; computer vision; controlled study; convolutional neural network; cytopathology; depth of field; digital pathology; disease classification; female; human; machine learning; major clinical study; multilayer perceptron; Papanicolaou test; reproducibility; self concept; uterine cervix cancer; computer assisted diagnosis; diagnostic imaging; early cancer diagnosis; pathology; procedures; uterine cervix; uterine cervix tumor; Image classification</t>
  </si>
  <si>
    <t>R0241</t>
  </si>
  <si>
    <t>Enhanced Detection of Diabetic Retinopathy using GAI-Net: Deep Learning Model based on GAN with Autoencoder</t>
  </si>
  <si>
    <t>Rajitha C.; Praveen P.; Rajchandar K.</t>
  </si>
  <si>
    <t>Ain Shams Engineering Journal</t>
  </si>
  <si>
    <t>10.1016/j.asej.2026.104050</t>
  </si>
  <si>
    <t>2-s2.0-105035777028</t>
  </si>
  <si>
    <t>Attention Mechanism; AutoEncoder; DeepLearning; Diabetic Retinopathy (DR); FeatureExtraction; Generative Adversarial Network (GAN); InceptionV3; MedicalImaging</t>
  </si>
  <si>
    <t>Computer aided diagnosis; Damage detection; Deep learning; Generative adversarial networks; Image analysis; Image enhancement; Information systems; Learning systems; Medical computing; Medical imaging; Adversarial networks; Attention mechanisms; Auto encoders; Deeplearning; Diabetic retinopathy; Featureextraction; Generative adversarial network; Inceptionv3; Medicalimaging; Eye protection</t>
  </si>
  <si>
    <t>R0242</t>
  </si>
  <si>
    <t>The PRISM benchmark: PhotoRealistic Image Synthesis and Manipulation to detect generated images</t>
  </si>
  <si>
    <t>Bartolucci F.; Salti S.; Lisanti G.</t>
  </si>
  <si>
    <t>10.1016/j.cviu.2026.104826</t>
  </si>
  <si>
    <t>2-s2.0-105041033112</t>
  </si>
  <si>
    <t>Benchmark; Bias; Diffusion; Energy-based models; Generative-ai detection</t>
  </si>
  <si>
    <t>Image compression; Prisms; AI detection; Benchmark; Bias; Energy-based models; Generative model; Generative-ai detection; Image manipulation; Images synthesis; Photo-realistic; Photorealistic images; Benchmarking</t>
  </si>
  <si>
    <t>R0243</t>
  </si>
  <si>
    <t>Edge-Embedded Multi-Feature Fusion Network for Automatic Checkout</t>
  </si>
  <si>
    <t>Li J.; Zhu M.; Ren H.</t>
  </si>
  <si>
    <t>10.3390/jimaging11100337</t>
  </si>
  <si>
    <t>2-s2.0-105020167643</t>
  </si>
  <si>
    <t>automatic checkout; edge enhancement; multi-feature fusion; object detection</t>
  </si>
  <si>
    <t>Image fusion; Masks; Object recognition; Semantics; Automatic checkout; Detection models; Edge enhancements; High demand; Model generalization; Model robustness; Multi-feature fusion; Objects detection; Shopping lists; Synthetic image generation; Object detection</t>
  </si>
  <si>
    <t>R0244</t>
  </si>
  <si>
    <t>Fast edge detection approach based on global optimization convex model and split bregman algorithm</t>
  </si>
  <si>
    <t>Jing Y.; Liu J.; Liu Z.; Cao H.</t>
  </si>
  <si>
    <t>Diagnostyka</t>
  </si>
  <si>
    <t>10.29354/diag/85429</t>
  </si>
  <si>
    <t>2-s2.0-85048257517</t>
  </si>
  <si>
    <t>Active contour; Edge detection; Global optimization; Numerical minimization; Split Bregman algorithm</t>
  </si>
  <si>
    <t>Functions; Global optimization; Image processing; Iterative methods; Remote sensing; Sea ice; Synthetic aperture radar; Active contours; Edge detection algorithms; Edge detection methods; Global optimal solutions; Intensity inhomogeneity; Numerical minimization; Remote sensing image processing; Split bregman algorithms; Edge detection</t>
  </si>
  <si>
    <t>R0245</t>
  </si>
  <si>
    <t>Target Detection in Urban Clutter</t>
  </si>
  <si>
    <t>Cathcart J.M.; Schmieder D.E.</t>
  </si>
  <si>
    <t>IEEE Transactions on Systems, Man and Cybernetics</t>
  </si>
  <si>
    <t>10.1109/21.44043</t>
  </si>
  <si>
    <t>2-s2.0-0024735485</t>
  </si>
  <si>
    <t>Human Engineering--Subjective Tests; Probability; Detection Probability; False Alarm Probability; Observer Target Detection; Urban Clutter; Visual Detection; Vision</t>
  </si>
  <si>
    <t>R0246</t>
  </si>
  <si>
    <t>ConstrID: a hybrid benchmark of real and synthetic images for construction worker re-identification</t>
  </si>
  <si>
    <t>Chen Z.; Li J.; Li Z.; Zhang H.; Kong L.</t>
  </si>
  <si>
    <t>10.1016/j.asej.2026.104299</t>
  </si>
  <si>
    <t>2-s2.0-105042494984</t>
  </si>
  <si>
    <t>Computer vision; Construction safety management; Deep learning; Hybrid dataset; Person re-identification</t>
  </si>
  <si>
    <t>Accident prevention; Benchmarking; Deep learning; Human resource management; Industrial management; Information management; Occupational risks; Project management; Construction safety; Construction safety management; Construction workers; Deep learning; Hybrid dataset; Person re identifications; Re identifications; Real images; Safety management; Synthetic images; Computer vision</t>
  </si>
  <si>
    <t>R0247</t>
  </si>
  <si>
    <t>DR-DDPM: Synthetic image generation for diabetic retinopathy using denoising diffusion probabilistic models for enhanced detection</t>
  </si>
  <si>
    <t>Shashank; Kar B.; Padhy S.; Dey Sarkar M.</t>
  </si>
  <si>
    <t>10.1016/j.eswa.2026.131227</t>
  </si>
  <si>
    <t>2-s2.0-105034491265</t>
  </si>
  <si>
    <t>Diabetic retinopathy; Diffusion models; Image synthesis; Imbalanced dataset; Medical diagnostics</t>
  </si>
  <si>
    <t>Data accuracy; Data mining; Data reduction; Deep learning; Diagnosis; Image classification; Image denoising; Image resolution; Labeled data; Medical image processing; Class imbalance; Data augmentation; De-noising; Diabetic retinopathy; Diffusion model; Generative model; Images synthesis; Imbalanced dataset; Medical diagnostics; Probabilistic models; Image enhancement</t>
  </si>
  <si>
    <t>R0248</t>
  </si>
  <si>
    <t>Can Generative AI-Generated Images Effectively Support and Enhance Real-World Construction Helmet Detection?</t>
  </si>
  <si>
    <t>Li J.; Miao Q.; Li Z.; Zhang H.; Zou Z.; Kong L.</t>
  </si>
  <si>
    <t>Buildings</t>
  </si>
  <si>
    <t>10.3390/buildings15224080</t>
  </si>
  <si>
    <t>2-s2.0-105023466368</t>
  </si>
  <si>
    <t>construction safety; dataset; deep learning; generative AI; helmet detection; object detection</t>
  </si>
  <si>
    <t>Classification (of information); Computer vision; Data mining; Large datasets; Object detection; Object recognition; Safety devices; Safety engineering; Wages; Construction safety; Dataset; Deep learning; Generative AI; Helmet detection; Large-scales; Objects detection; Performance; Real-world; Real-world image; Deep learning</t>
  </si>
  <si>
    <t>R0249</t>
  </si>
  <si>
    <t>Evaluating the substitutability of generative AI-generated faces in biometric applications: From a lens of age, gender, ethnicity detection</t>
  </si>
  <si>
    <t>Ghosh T.; Seth B.; Kar S.; Naskar R.</t>
  </si>
  <si>
    <t>10.1016/j.patrec.2025.08.013</t>
  </si>
  <si>
    <t>2-s2.0-105014098061</t>
  </si>
  <si>
    <t>Biometrics; Balanced datasets; Biometric applications; Biometrics model; Biometrics technology; Face images; Image generations; Sensitive application; State of the art; Synthetic datasets; Synthetic faces; Image enhancement</t>
  </si>
  <si>
    <t>R0250</t>
  </si>
  <si>
    <t>Thermal image segmentation in weedy fields via synthetic RGB-trained models and GAN-based cross-modality alignment</t>
  </si>
  <si>
    <t>Ranario E.; Mayanja I.; Yun H.; Bailey B.N.; Mason Earles J.</t>
  </si>
  <si>
    <t>Plant Phenomics</t>
  </si>
  <si>
    <t>10.1016/j.plaphe.2026.100214</t>
  </si>
  <si>
    <t>2-s2.0-105042611577</t>
  </si>
  <si>
    <t>Cross-modality alignment; Domain adaptation; Synthetic RGB images; Thermal image segmentation; Weed detection</t>
  </si>
  <si>
    <t>Alignment; Crops; Image annotation; Infrared imaging; Invasive weed optimization; Semantic Segmentation; Semantics; Weed control; Cross modality; Cross-modality alignment; Domain adaptation; Images segmentations; RGB images; Synthetic images; Synthetic RGB image; Thermal image segmentation; Thermal images; Weed detection; Image enhancement</t>
  </si>
  <si>
    <t>R0251</t>
  </si>
  <si>
    <t>Realistic infrared image generation based on physics-guided latent diffusion</t>
  </si>
  <si>
    <t>Yang H.; Tian M.; Wang J.; Bo Y.; Wang J.; Han H.; Zhu P.; Fortino G.</t>
  </si>
  <si>
    <t>10.1016/j.engappai.2026.113752</t>
  </si>
  <si>
    <t>2-s2.0-105027941066</t>
  </si>
  <si>
    <t>Cross-modality image translation; Infrared image generation; Latent diffusion; Physics-guided modeling</t>
  </si>
  <si>
    <t>Diffusion; Electromagnetic wave emission; Image enhancement; Image reconstruction; Semantics; Thermography (imaging); Cross modality; Cross-modality image translation; Image generations; Image translation; Infrared image generation; Infrared physics; Latent diffusion; Low illuminations; MAP estimation; Physic-guided modeling; Signal to noise ratio</t>
  </si>
  <si>
    <t>R0252</t>
  </si>
  <si>
    <t>Beyond Familiar Domains: A Study of the Generalization Ability of Machine-Generated Image Detectors</t>
  </si>
  <si>
    <t>Varlamova K.D.; Dorin D.D.; Grabovoy A.V.</t>
  </si>
  <si>
    <t>Doklady Mathematics</t>
  </si>
  <si>
    <t>10.1134/S1064562425700516</t>
  </si>
  <si>
    <t>2-s2.0-105033820842</t>
  </si>
  <si>
    <t>classification; detection of machine-generated images; generalization ability; generative models; image domain</t>
  </si>
  <si>
    <t>R0253</t>
  </si>
  <si>
    <t>Synthetic data at scale: a development model to efficiently leverage machine learning in agriculture</t>
  </si>
  <si>
    <t>Klein J.; Waller R.; Pirk S.; Pałubicki W.; Tester M.; Michels D.L.</t>
  </si>
  <si>
    <t>Frontiers in Plant Science</t>
  </si>
  <si>
    <t>10.3389/fpls.2024.1360113</t>
  </si>
  <si>
    <t>2-s2.0-85205395230</t>
  </si>
  <si>
    <t>artificial intelligence; data generation and annotation; disease detection; greenhouse farming; machine learning; synthetic data; tomato plants</t>
  </si>
  <si>
    <t>R0254</t>
  </si>
  <si>
    <t>A multi camera unsupervised domain adaptation pipeline for object detection in cultural sites through adversarial learning and self-training</t>
  </si>
  <si>
    <t>Pasqualino G.; Furnari A.; Farinella G.M.</t>
  </si>
  <si>
    <t>10.1016/j.cviu.2022.103487</t>
  </si>
  <si>
    <t>2-s2.0-85133233572</t>
  </si>
  <si>
    <t>Cultural heritage; Domain adaptation; Multi-camera domain adaptation; Object detection</t>
  </si>
  <si>
    <t>3D modeling; Augmented reality; Cameras; HTTP; Object recognition; Signal detection; Wearable technology; Adversarial learning; Cultural heritages; Domain adaptation; Multi-camera domain adaptation; Multi-cameras; Object detection algorithms; Objects detection; Self-training; Wearable devices; Object detection</t>
  </si>
  <si>
    <t>R0255</t>
  </si>
  <si>
    <t>A hybrid deep learning and fuzzy logic framework for robust tomato disease detection and classification</t>
  </si>
  <si>
    <t>Kumar S.; Sharma Y.K.; Kumar M.; Lilhore U.K.; Aldossary S.M.A.; Simaiya S.; Khan M.M.; Hussien S.A.; Ghith E.S.</t>
  </si>
  <si>
    <t>Scientific reports</t>
  </si>
  <si>
    <t>10.1038/s41598-026-36524-z</t>
  </si>
  <si>
    <t>2-s2.0-105030774122</t>
  </si>
  <si>
    <t>Agricultural Image Analysis; Conditional GAN (C-GAN); Deep Convolutional Neural Networks (CNNs); Fuzzy Logic; Hybrid Ensemble Learning; Tomato Disease Classification</t>
  </si>
  <si>
    <t>Classification Algorithms; Convolutional Neural Networks; Deep Learning; Ensemble Learning; Fuzzy Logic; Generative Adversarial Networks; Image Processing, Computer-Assisted; Plant Diseases; Soft Computing; Solanum lycopersicum; classification; classification algorithm; convolutional neural network; deep learning; ensemble learning; fuzzy logic; generative adversarial network; image processing; microbiology; plant disease; soft computing; tomato</t>
  </si>
  <si>
    <t>R0256</t>
  </si>
  <si>
    <t>Foreground and background image quality optimization for improved sim2real transfer in synthetic vision systems</t>
  </si>
  <si>
    <t>Mardikes M.A.; Evans J.T.; Sprague N.C.</t>
  </si>
  <si>
    <t>Visual Computer</t>
  </si>
  <si>
    <t>10.1007/s00371-025-04230-y</t>
  </si>
  <si>
    <t>2-s2.0-105028066050</t>
  </si>
  <si>
    <t>Digital twin fidelity; Genetic algorithm; Image quality assessment; Object detection; Sim2real; Synthetic data</t>
  </si>
  <si>
    <t>Computer software; Computer vision; Data communication systems; Digital twin; Image enhancement; Image quality; Object recognition; Quality control; Background image; Digital twin fidelity; Foreground images; Image quality assessment; Objects detection; Post process; Sim2real; Synthetic data; Synthetic images; Synthetic Vision Systems; Genetic algorithms; Object detection</t>
  </si>
  <si>
    <t>R0257</t>
  </si>
  <si>
    <t>Training-free spectrum sampling strategy in Fourier single-pixel imaging via Deep Image Prior</t>
  </si>
  <si>
    <t>Tey W.L.; Tham M.-L.; Phua Y.-N.; Liu L.; Chua S.Y.</t>
  </si>
  <si>
    <t>Optics Communications</t>
  </si>
  <si>
    <t>10.1016/j.optcom.2025.132502</t>
  </si>
  <si>
    <t>2-s2.0-105017602279</t>
  </si>
  <si>
    <t>Adaptive sampling; Compressed sensing; Deep Image Prior; Fourier imaging; Single-pixel imaging</t>
  </si>
  <si>
    <t>Fourier transforms; Frequency domain analysis; Image compression; Image reconstruction; Image sampling; Pixels; Spectrum analysis; Adaptive sampling; Compressed-Sensing; Deep image prior; Fourier; Fourier imaging; Image priors; Sampling strategies; Single pixel; Single-pixel imaging; Spectrum sampling; Compressed sensing</t>
  </si>
  <si>
    <t>R0258</t>
  </si>
  <si>
    <t>Addressing Dataset Imbalance with Modified Generative Adversarial Networks; [ةجلاعملالتخانزاوتلايفتاعومجمتانايبلامادختسابتاكبشلاةيسفانتلاةيديلوتلا]</t>
  </si>
  <si>
    <t>Razaq R.; Alshemmary E.N.; Lu Z.</t>
  </si>
  <si>
    <t>Iraqi Journal of Science</t>
  </si>
  <si>
    <t>10.24996/ijs.2026.67.7.32</t>
  </si>
  <si>
    <t>2-s2.0-105046536165</t>
  </si>
  <si>
    <t>Class imbalance; Classifier performance; Generative Adversarial Networks (GANs); High-resolution images; Synthetic data generation</t>
  </si>
  <si>
    <t>R0259</t>
  </si>
  <si>
    <t>How Much is the Source Mismatch an Important Problem for Deepfake Detection?</t>
  </si>
  <si>
    <t>Mallet A.; Cogranne R.; Kuribayashi M.; Méreur A.</t>
  </si>
  <si>
    <t>10.1561/116.20240090</t>
  </si>
  <si>
    <t>2-s2.0-105009097766</t>
  </si>
  <si>
    <t>Deepfake; detection; diffusion model; distribution-shift; empirical evaluation; experimental methods; generative AI; source mismatch</t>
  </si>
  <si>
    <t>Statistical tests; Statistics; Deepfake; Detection; Detection methods; Diffusion model; Distribution-shift; Empirical evaluations; Experimental methods; Generative AI; Hyper-parameter; Source mismatch; Error detection</t>
  </si>
  <si>
    <t>R0260</t>
  </si>
  <si>
    <t>Facial Expression Manipulation for Personalized Facial Action Estimation</t>
  </si>
  <si>
    <t>Niinuma K.; Onal Ertugrul I.; Cohn J.F.; Jeni L.A.</t>
  </si>
  <si>
    <t>10.3389/frsip.2022.861641</t>
  </si>
  <si>
    <t>2-s2.0-85153703663</t>
  </si>
  <si>
    <t>3D face registration; facial action unit detection; facial action unit intensity estimation; facial expression recognition; facial expression synthesis; generative adversarial network; model personalization; synthetic data augmentation</t>
  </si>
  <si>
    <t>R0261</t>
  </si>
  <si>
    <t>Cross-Domain Object Detection for Autonomous Driving: A Stepwise Domain Adaptative YOLO Approach</t>
  </si>
  <si>
    <t>Li G.; Ji Z.; Qu X.; Zhou R.; Cao D.</t>
  </si>
  <si>
    <t>IEEE Transactions on Intelligent Vehicles</t>
  </si>
  <si>
    <t>10.1109/TIV.2022.3165353</t>
  </si>
  <si>
    <t>2-s2.0-85127798769</t>
  </si>
  <si>
    <t>adversarial learning; Autonomous vehicles; deep learning; domain adaptation; object detection</t>
  </si>
  <si>
    <t>Autonomous vehicles; Computer vision; Deep learning; Job analysis; Knowledge management; Object detection; Object recognition; Adaptation models; Adversarial learning; Autonomous Vehicles; Cross-domain; Deep learning; Domain adaptation; Features extraction; Objects detection; Task analysis; Feature extraction</t>
  </si>
  <si>
    <t>R0262</t>
  </si>
  <si>
    <t>Galio: Defending ownership of AI-generated images against content-preserving tampering</t>
  </si>
  <si>
    <t>Yang J.; Tian Y.; Chen S.; Yang K.</t>
  </si>
  <si>
    <t>10.1016/j.knosys.2026.115714</t>
  </si>
  <si>
    <t>2-s2.0-105032365820</t>
  </si>
  <si>
    <t>AI-generated content(AIGC); Image hashing; Image processing; Similarity detection</t>
  </si>
  <si>
    <t>Digital image storage; Textures; AI-generated content; Fusion strategies; Hashing algorithms; Hashing method; Image hashing; Image tampering; Images processing; Multi-scales; Perceptual hashing; Similarity detection; Image processing</t>
  </si>
  <si>
    <t>R0263</t>
  </si>
  <si>
    <t>A novel and ultralight convolutional neural network model for real-time detection of infectious lung diseases</t>
  </si>
  <si>
    <t>Alqaissi E.</t>
  </si>
  <si>
    <t>Digital Health</t>
  </si>
  <si>
    <t>10.1177/20552076251318155</t>
  </si>
  <si>
    <t>2-s2.0-105000768834</t>
  </si>
  <si>
    <t>convolutional neural network; CT scan images; detection; generative adversarial network; Infectious lung diseases; x-ray images</t>
  </si>
  <si>
    <t>R0264</t>
  </si>
  <si>
    <t>Optimizing data collection requirements for machine learning models in wild blueberry automation through the application of DALL-E 2</t>
  </si>
  <si>
    <t>Mullins C.C.; Esau T.J.; Zaman Q.U.; Hennessy P.J.</t>
  </si>
  <si>
    <t>Smart Agricultural Technology</t>
  </si>
  <si>
    <t>10.1016/j.atech.2024.100764</t>
  </si>
  <si>
    <t>2-s2.0-85213548201</t>
  </si>
  <si>
    <t>AI; AI in agriculture; AI-generated imagery; Computer vision; Data augmentation; Precision agriculture; YOLO</t>
  </si>
  <si>
    <t>R0265</t>
  </si>
  <si>
    <t>RealDTT: Towards A Comprehensive Real-World Dataset for Tampered Text Detection</t>
  </si>
  <si>
    <t>Duan J.; Sun H.; Ji F.; Zhou K.; Wang Z.; Huang H.; Jin L.</t>
  </si>
  <si>
    <t>10.1007/s11263-025-02515-2</t>
  </si>
  <si>
    <t>2-s2.0-105009996277</t>
  </si>
  <si>
    <t>Forgery Text Image; Manual Tampered; Natual Scene Image; State Space Model; Text Tampering Detection</t>
  </si>
  <si>
    <t>Character recognition; Electric current measurement; Error detection; Human computer interaction; Image processing; Information retrieval systems; Large datasets; Semantics; Text processing; Forgery text image; Manual tampered; Natual scene image; Scene image; State-space models; Tampering detection; Text detection; Text images; Text manipulation; Text tampering detection; State space methods</t>
  </si>
  <si>
    <t>R0266</t>
  </si>
  <si>
    <t>Improving losses &amp; accuracy through design of deep convolutional generative adversarial network (DCGAN) for plant disease detection tasks</t>
  </si>
  <si>
    <t>Sharma P.; Khunteta A.</t>
  </si>
  <si>
    <t>Edelweiss Applied Science and Technology</t>
  </si>
  <si>
    <t>10.55214/25768484.v8i6.2372</t>
  </si>
  <si>
    <t>2-s2.0-85215146303</t>
  </si>
  <si>
    <t>Automated diagnosis; Classification; CNN; Computer vision; Deep Learning; Generative adversarial networks; Plant diseases; Rice leaf diseases; Smart farming; Synthetic images</t>
  </si>
  <si>
    <t>R0267</t>
  </si>
  <si>
    <t>Automated annotation and optimization of multitask dataset for spacecraft</t>
  </si>
  <si>
    <t>Zhao S.; Cui L.; Zhong R.</t>
  </si>
  <si>
    <t>Advances in Space Research</t>
  </si>
  <si>
    <t>10.1016/j.asr.2025.10.069</t>
  </si>
  <si>
    <t>2-s2.0-105023876422</t>
  </si>
  <si>
    <t>Core-set; Spacecraft datasets; Variational autoencoder; Visual perception</t>
  </si>
  <si>
    <t>Data mining; Dimensionality reduction; Large datasets; Learning systems; Multitasking; Object detection; Object recognition; Semantics; Spacecraft; Variational techniques; Auto encoders; Core set; Optimisations; Perception and recognition; Performance; Recognition methods; Spacecraft dataset; Variational autoencoder; Vision-based perception; Visual perception; Orbits; Vision</t>
  </si>
  <si>
    <t>R0268</t>
  </si>
  <si>
    <t>Patch-based latent fingerprint recognition: A novel approach for reliable identification of partial prints</t>
  </si>
  <si>
    <t>Dhaneshwar R.; Kaur M.; Kaur M.; Gupta V.</t>
  </si>
  <si>
    <t>10.1111/1556-4029.70204</t>
  </si>
  <si>
    <t>2-s2.0-105019952793</t>
  </si>
  <si>
    <t>convolution neural network; deep learning; fingerprint recognition; generative adversarial networks; latent fingerprints; synthetic images</t>
  </si>
  <si>
    <t>algorithm; article; benchmarking; classifier; controlled study; convolutional neural network; crime; criminalistics; deep learning; diagnosis; diagnostic test accuracy study; feature extraction; generative adversarial network; human; imaging system; multiclass support vector machine; normal human; simulation; ultraviolet radiation</t>
  </si>
  <si>
    <t>R0269</t>
  </si>
  <si>
    <t>ClGanNet: A novel method for maize leaf disease identification using ClGan and deep CNN</t>
  </si>
  <si>
    <t>Sharma V.; Tripathi A.K.; Daga P.; Nidhi M.; Mittal H.</t>
  </si>
  <si>
    <t>Signal Processing: Image Communication</t>
  </si>
  <si>
    <t>10.1016/j.image.2023.117074</t>
  </si>
  <si>
    <t>2-s2.0-85176348043</t>
  </si>
  <si>
    <t>Crop leaf generative adversarial network net; Data augmentation; Deep CNN; Deep learning; Lesion differentiation; Plant disease identification</t>
  </si>
  <si>
    <t>Classification (of information); Crops; Deep learning; Learning systems; Crop leaf generative adversarial network net; Crop leaves; Data augmentation; Deep CNN; Deep learning; Lesion differentiation; Loss functions; Plant disease; Plant disease identification; State-of-the-art methods; Generative adversarial networks</t>
  </si>
  <si>
    <t>R0270</t>
  </si>
  <si>
    <t>Object Detector Differences when Using Synthetic and Real Training Data</t>
  </si>
  <si>
    <t>Ljungqvist M.G.; Nordander O.; Skans M.; Mildner A.; Liu T.; Nugues P.</t>
  </si>
  <si>
    <t>SN Computer Science</t>
  </si>
  <si>
    <t>10.1007/s42979-023-01704-5</t>
  </si>
  <si>
    <t>2-s2.0-85151427115</t>
  </si>
  <si>
    <t>Centered Kernel Alignment; Layer Similarity; Object Detection</t>
  </si>
  <si>
    <t>R0271</t>
  </si>
  <si>
    <t>GAN-BASED SYNTHETIC MEDICAL IMAGE AUGMENTATION FOR CLASS IMBALANCED DERMOSCOPIC IMAGE ANALYSIS</t>
  </si>
  <si>
    <t>Alshardan A.; Alahmari S.; Alghamdi M.; Sadig M.A.L.; Mohamed A.; Mohammed G.P.</t>
  </si>
  <si>
    <t>Fractals</t>
  </si>
  <si>
    <t>10.1142/S0218348X25400390</t>
  </si>
  <si>
    <t>2-s2.0-86000162116</t>
  </si>
  <si>
    <t>Complex Systems; Deep Learning; Dermoscopic Image Analysis; Feature Fusion; Generative Adversarial Networks; Social Network Search</t>
  </si>
  <si>
    <t>Adversarial machine learning; Deep neural networks; Dermatology; Diseases; Electroencephalography; Generative adversarial networks; Image fusion; Long short-term memory; Medical image processing; Oncology; Sensory feedback; Vision aids; Adversarial networks; Deep learning; Dermoscopic image analyze; Dermoscopic images; Features fusions; Image analysis techniques; Image analyze; Image-analysis; Network-based; Social network searches; Convolutional neural networks</t>
  </si>
  <si>
    <t>R0272</t>
  </si>
  <si>
    <t>Closing the domain gap: Blended synthetic imagery for climate object detection</t>
  </si>
  <si>
    <t>Kornfein C.; Willard F.; Tang C.; Long Y.; Jain S.; Malof J.; Ren S.; Bradbury K.</t>
  </si>
  <si>
    <t>Environmental Data Science</t>
  </si>
  <si>
    <t>10.1017/eds.2023.33</t>
  </si>
  <si>
    <t>2-s2.0-86000357458</t>
  </si>
  <si>
    <t>climate change; domain adaptation; energy infrastructure; object detection; remote sensing</t>
  </si>
  <si>
    <t>R0273</t>
  </si>
  <si>
    <t>BS-McL: Bilevel Segmentation Framework with Metacognitive Learning for Detection of the Power Lines in UAV Imagery</t>
  </si>
  <si>
    <t>Senthilnath J.; Kumar A.; Jain A.; Harikumar K.; Thapa M.; Suresh S.; Anand G.; Benediktsson J.A.</t>
  </si>
  <si>
    <t>10.1109/TGRS.2021.3076099</t>
  </si>
  <si>
    <t>2-s2.0-85105892563</t>
  </si>
  <si>
    <t>Metacognitive learning; metacognitive radial basis function network; spatial segmentation; spectral classifier; unmanned aerial vehicle</t>
  </si>
  <si>
    <t>Antennas; E-learning; Mathematical morphology; Network architecture; Pixels; Unmanned aerial vehicles (UAV); Adaptive architecture; Experimental set up; Generalization ability; Meta-cognitive learning; Morphological operations; Spatial segmentation; Spectral classification; Spectral intensity; algorithm; detection method; segmentation; unmanned vehicle; Aircraft detection</t>
  </si>
  <si>
    <t>R0274</t>
  </si>
  <si>
    <t>Domain Stylization: A Fast Covariance Matching Framework towards Domain Adaptation</t>
  </si>
  <si>
    <t>Dundar A.; Liu M.-Y.; Yu Z.; Wang T.-C.; Zedlewski J.; Kautz J.</t>
  </si>
  <si>
    <t>10.1109/TPAMI.2020.2969421</t>
  </si>
  <si>
    <t>2-s2.0-85108029781</t>
  </si>
  <si>
    <t>Domain adaptation; image stylization; object detection; semantic segmentation</t>
  </si>
  <si>
    <t>Iterative methods; Semantics; Covariance matching; Current limitation; Domain adaptation; Effective domains; Semantic segmentation; Simulation environment; State of the art; Synthetic images; article; covariance; embedding; quantitative analysis; Rendering (computer graphics)</t>
  </si>
  <si>
    <t>R0275</t>
  </si>
  <si>
    <t>FD2Foremer: Thinking Face Forgery Detection in Midfrequency Geometry Details</t>
  </si>
  <si>
    <t>Li W.; Shen Z.</t>
  </si>
  <si>
    <t>Security and Communication Networks</t>
  </si>
  <si>
    <t>10.1155/2022/9278715</t>
  </si>
  <si>
    <t>2-s2.0-85139762710</t>
  </si>
  <si>
    <t>Face recognition; Geometry; Mammals; Competitive performance; Displacement maps; Face images; Facial geometry; Forgery detections; Mid-frequency; Real images; RGB space; Synthesised; Synthetic images; Distillation</t>
  </si>
  <si>
    <t>R0276</t>
  </si>
  <si>
    <t>Investigation of the impact of synthetic training data in the industrial application of terminal strip object detection</t>
  </si>
  <si>
    <t>Baumgart N.; Lange-Hegermann M.; Mücke M.</t>
  </si>
  <si>
    <t>Machine Vision and Applications</t>
  </si>
  <si>
    <t>10.1007/s00138-025-01770-0</t>
  </si>
  <si>
    <t>2-s2.0-105023475101</t>
  </si>
  <si>
    <t>Domain gap; Domain randomization; Image synthesis; Object detection; Terminal strip</t>
  </si>
  <si>
    <t>Computer aided design; Deep learning; Error detection; Image annotation; Large datasets; Learning systems; Object recognition; Random processes; Domain gap; Domain randomization; Generalization performance; Images synthesis; Object detectors; Objects detection; Randomisation; Synthetic training data; Terminal strip; Training dataset; Object detection</t>
  </si>
  <si>
    <t>R0277</t>
  </si>
  <si>
    <t>Diffusion-Based Image Synthesis or Traditional Augmentation for Enriching Musculoskeletal Ultrasound Datasets</t>
  </si>
  <si>
    <t>Balla B.; Hibi A.; Tyrrell P.N.</t>
  </si>
  <si>
    <t>BioMedInformatics</t>
  </si>
  <si>
    <t>10.3390/biomedinformatics4030106</t>
  </si>
  <si>
    <t>2-s2.0-85205108239</t>
  </si>
  <si>
    <t>augmentation; convolutional neural network; diffusion model; joint recess distension; musculoskeletal ultrasound; thickened synovium</t>
  </si>
  <si>
    <t>R0278</t>
  </si>
  <si>
    <t>FeatureMatch: A general ANNF estimation technique and its applications</t>
  </si>
  <si>
    <t>Ramakanth S.A.; Babu R.V.</t>
  </si>
  <si>
    <t>10.1109/TIP.2014.2309436</t>
  </si>
  <si>
    <t>2-s2.0-84901049464</t>
  </si>
  <si>
    <t>Approximate nearest neighbour field; optic disk detection; patchbased image synthesis; PatchMatch; super resolution</t>
  </si>
  <si>
    <t>Image processing; Mathematical models; Image synthesis; Nearest neighbour; Optic disk detections; PatchMatch; Super resolution; Medical imaging</t>
  </si>
  <si>
    <t>R0279</t>
  </si>
  <si>
    <t>Frequency-Aware and Residual-Attention CGAN with Two-Stage Training for Imbalanced Potato Leaf Disease Detection in Crop Management</t>
  </si>
  <si>
    <t>Zhang A.; Wu C.; Li G.; Chen S.</t>
  </si>
  <si>
    <t>Potato Research</t>
  </si>
  <si>
    <t>10.1007/s11540-025-09979-2</t>
  </si>
  <si>
    <t>2-s2.0-105029509666</t>
  </si>
  <si>
    <t>Class imbalance; Focal Frequency Loss; Generative adversarial networks; Potato disease recognition</t>
  </si>
  <si>
    <t>R0280</t>
  </si>
  <si>
    <t>Deep Convolutional Generative Adversarial Network for Improved Cardiac Image Classification in Heart Disease Diagnosis</t>
  </si>
  <si>
    <t>S G.; B L.</t>
  </si>
  <si>
    <t>Journal of Imaging Informatics in Medicine</t>
  </si>
  <si>
    <t>10.1007/s10278-024-01343-z</t>
  </si>
  <si>
    <t>2-s2.0-105007762376</t>
  </si>
  <si>
    <t>Artificial intelligence; Binary classification decision; Data augmentation; Discriminator; Generative adversarial network; Generator; Heart disease diagnosis; Random noise vector; Real cardiac image; Synthetic cardiac image</t>
  </si>
  <si>
    <t>Binary images; Cardiology; Diseases; Electrocardiography; Generative adversarial networks; Mean square error; Photointerpretation; Adversarial networks; Binary classification; Binary classification decision; Cardiac images; Classification decision; Data augmentation; Generator; Heart disease diagnosis; Noise vectors; Random noise; Random noise vector; Real cardiac image; Synthetic cardiac image; Image enhancement</t>
  </si>
  <si>
    <t>R0281</t>
  </si>
  <si>
    <t>Unified generative adversarial networks for multidomain fingerprint presentation attack detection</t>
  </si>
  <si>
    <t>Sandouka S.B.; Bazi Y.; Alhichri H.; Alajlan N.</t>
  </si>
  <si>
    <t>10.3390/e23081089</t>
  </si>
  <si>
    <t>2-s2.0-85113647607</t>
  </si>
  <si>
    <t>Compound scaling network; Fingerprint; Liveness detection; Multitarget domain; Unified generative adversarial network (UGAN)</t>
  </si>
  <si>
    <t>R0282</t>
  </si>
  <si>
    <t>Enhancing satellite-based detection of marine fauna using synthetic data</t>
  </si>
  <si>
    <t>Duporge I.; Wu Z.; Black M.E.; Wolf S.; Albi A.; Watt C.A.; Lin X.</t>
  </si>
  <si>
    <t>Ecological Informatics</t>
  </si>
  <si>
    <t>10.1016/j.ecoinf.2026.103767</t>
  </si>
  <si>
    <t>2-s2.0-105044448284</t>
  </si>
  <si>
    <t>Deep learning for ecological monitoring; Marine megafauna; Satellite-based cetacean detection; Synthetic remote sensing imagery; Training data augmentation; Very high-resolution satellite imagery</t>
  </si>
  <si>
    <t>Canada; Canadian Arctic; cetacean; coastal water; data assimilation; data set; ecological modeling; machine learning; remote sensing; satellite imagery; whale</t>
  </si>
  <si>
    <t>R0283</t>
  </si>
  <si>
    <t>Adaptive deep Q-GAN framework for enhanced breast cancer detection in medical imaging</t>
  </si>
  <si>
    <t>Basith M.D.; Praveen P.; Shaker Reddy P.C.</t>
  </si>
  <si>
    <t>10.1016/j.bspc.2025.108638</t>
  </si>
  <si>
    <t>2-s2.0-105015393177</t>
  </si>
  <si>
    <t>Breast cancer; Convolutional neural networks; Cuckoo search; Deep generative adversarial networks; Mammogram; Synthetic images</t>
  </si>
  <si>
    <t>Classification (of information); Computational complexity; Computer aided diagnosis; Convolutional neural networks; Deep neural networks; Diseases; Feature extraction; Image segmentation; Median filters; Medical image processing; Reinforcement learning; Tumors; X ray screens; Adversarial networks; Breast Cancer; Breast cancer detection; Convolutional neural network; Cuckoo searches; Data scarcity; Deep generative adversarial network; Learning approach; Mammogram; Synthetic images; adaptive deep q gan framework; Article; breast cancer; cancer diagnosis; controlled study; deep learning; diagnostic accuracy; diagnostic imaging; feature selection; generative adversarial network; histogram; image segmentation; mammography; Q learning; reinforcement (psychology); tumor classification; Mammography</t>
  </si>
  <si>
    <t>R0284</t>
  </si>
  <si>
    <t>3-D intracoronary ultrasound surface detection using the "thin-plate" model</t>
  </si>
  <si>
    <t>Van Horn M.H.; Snyder W.E.; Braden G.A.; Herrington D.M.</t>
  </si>
  <si>
    <t>Computers in Cardiology</t>
  </si>
  <si>
    <t>2-s2.0-0030382916</t>
  </si>
  <si>
    <t>Computational methods; Differentiation (calculus); Dynamic programming; Edge detection; Mathematical models; Mathematical transformations; Three dimensional; Ultrasonic imaging; Calculus of variations; Coronary anatomy; Generalized Hough transform; Image sequence; Image processing</t>
  </si>
  <si>
    <t>R0285</t>
  </si>
  <si>
    <t>A fault detection method for transmission line components based on synthetic dataset and improved YOLOv5</t>
  </si>
  <si>
    <t>Song J.; Qin X.; Lei J.; Zhang J.; Wang Y.; Zeng Y.</t>
  </si>
  <si>
    <t>International Journal of Electrical Power and Energy Systems</t>
  </si>
  <si>
    <t>10.1016/j.ijepes.2024.109852</t>
  </si>
  <si>
    <t>2-s2.0-85184831632</t>
  </si>
  <si>
    <t>Deep learning; Fault detection; Synthetic dataset; Transfer learning; Transmission line component</t>
  </si>
  <si>
    <t>Aircraft detection; Antennas; Deep learning; Electric power transmission; Electric power transmission networks; Fault detection; Image enhancement; Inspection; Learning systems; Object detection; Power transmission; Statistical tests; Unmanned aerial vehicles (UAV); Component based; Deep learning; Detection accuracy; Detection methods; Fault component; Faults detection; Synthetic datasets; Transfer learning; Transmission line component; Transmission-line; Electric lines</t>
  </si>
  <si>
    <t>R0286</t>
  </si>
  <si>
    <t>Performance Enhancement of Drowning Detection Using Synthetic Data</t>
  </si>
  <si>
    <t>Kim M.; Koh J.</t>
  </si>
  <si>
    <t>10.1109/ACCESS.2026.3686401</t>
  </si>
  <si>
    <t>2-s2.0-105036631529</t>
  </si>
  <si>
    <t>Artificial intelligence; convolutional neural networks; deep learning; drowning detection; generative adversarial network; synthetic data</t>
  </si>
  <si>
    <t>Convolutional neural networks; Generative adversarial networks; Statistical tests; Adversarial networks; Convolutional neural network; Deep learning; Drowning detection; Global safety; Learning approach; Performance enhancements; Safety issues; Synthetic data; Vision based; Deep neural networks</t>
  </si>
  <si>
    <t>R0287</t>
  </si>
  <si>
    <t>Synthetic Insulator Broken Defect Data Generation With Causal and Foggy Augmentation for Defect Detection</t>
  </si>
  <si>
    <t>Liu Q.; Liu Y.; Du Y.; Yan Y.; Jiang X.</t>
  </si>
  <si>
    <t>10.1109/JSEN.2025.3552822</t>
  </si>
  <si>
    <t>2-s2.0-105001819008</t>
  </si>
  <si>
    <t>Causal augmentation; foggy augmentation; insulator defect data generation</t>
  </si>
  <si>
    <t>Insulator contamination; Causal augmentation; Data generation; Defect detection; Defect identification; Early defects; Foggy augmentation; Insulator defect data generation; Power transmission systems; Random generation; Reliability and safeties; Digital elevation model</t>
  </si>
  <si>
    <t>R0288</t>
  </si>
  <si>
    <t>Robust Polyp Detection and Diagnosis Through Compositional Prompt-Guided Diffusion Models</t>
  </si>
  <si>
    <t>Yu J.; Zhu Y.; Fu P.; Chen T.; Huang J.; Li Q.; Zhou P.; Wang Z.; Wu F.; Wang S.; Yang X.</t>
  </si>
  <si>
    <t>10.1109/TMI.2025.3589456</t>
  </si>
  <si>
    <t>2-s2.0-105012283241</t>
  </si>
  <si>
    <t>compositional prompts; Diffusion models; medical image generation; polyp detection and diagnosis</t>
  </si>
  <si>
    <t>Algorithms; Colonic Polyps; Colonoscopy; Colorectal Neoplasms; Deep Learning; Humans; Image Interpretation, Computer-Assisted; Classification (of information); Computer aided diagnosis; Deep learning; Diffusion; Diseases; Image enhancement; Medical image processing; Compositional prompt; Detection and diagnosis; Diffusion model; Generalisation; Image generations; Medical image generation; Polyp detection; Polyp detection and diagnose; Polyp segmentation; Spectra's; Article; colorectal polyp; image segmentation; information processing; model; Progressive Spectrum Diffusion Model; algorithm; colon polyp; colonoscopy; colorectal tumor; computer assisted diagnosis; deep learning; diagnostic imaging; human; procedures; Image segmentation</t>
  </si>
  <si>
    <t>R0289</t>
  </si>
  <si>
    <t>Deep-learning-based instrument detection for intra-operative robotic assistance</t>
  </si>
  <si>
    <t>Badilla-Solórzano J.; Spindeldreier S.; Ihler S.; Gellrich N.-C.; Spalthoff S.</t>
  </si>
  <si>
    <t>10.1007/s11548-022-02715-y</t>
  </si>
  <si>
    <t>2-s2.0-85137956787</t>
  </si>
  <si>
    <t>Data augmentation; Dataset; Mask R-CNN; Mask-based object insertion; Robot-assisted surgery; Robotic scrub nurse</t>
  </si>
  <si>
    <t>Algorithms; Deep Learning; Humans; Robotic Surgical Procedures; Article; controlled study; deep learning; detection algorithm; human; intraoperative period; machine learning; nurse; performance; preservation; robot assisted surgery; third molar; tooth extraction; algorithm; procedures</t>
  </si>
  <si>
    <t>R0290</t>
  </si>
  <si>
    <t>Improved YOLOv10 Underwater Laser Illumination Imaging Target Recognition Method Based on Style Transfer; [基于风格迁移的改进YOLOv10水下激光照明成像目标识别方法]</t>
  </si>
  <si>
    <t>Ye W.; Chen Y.; Jiang Z.; Dai Z.; Liu S.; Wei Z.; Zhang X.; Guo J.</t>
  </si>
  <si>
    <t>Guangxue Xuebao/Acta Optica Sinica</t>
  </si>
  <si>
    <t>10.3788/AOS260587</t>
  </si>
  <si>
    <t>2-s2.0-105044276623</t>
  </si>
  <si>
    <t>style transfer; target recognition; underwater laser illumination imaging; YOLOv10</t>
  </si>
  <si>
    <t>Adaptive optics; Computer vision; Deep learning; Equalizers; Lighting; Optical image storage; Target tracking; Visibility; Attention mechanisms; Data augmentation; Histogram equalizations; Laser illumination; Multi-scales; Style transfer; Target recognition; Underwater laser illumination imaging; Underwater target detection; YOLOv10; Underwater imaging</t>
  </si>
  <si>
    <t>R0291</t>
  </si>
  <si>
    <t>Open-Set: ID Card Presentation Attack Detection Using Neural Style Transfer</t>
  </si>
  <si>
    <t>Markham R.P.; Lopez J.M.E.; Nieto-Hidalgo M.; Tapia J.E.</t>
  </si>
  <si>
    <t>10.1109/ACCESS.2024.3397190</t>
  </si>
  <si>
    <t>2-s2.0-85193018911</t>
  </si>
  <si>
    <t>Biometrics; ID card; presentation attack detection; remote verification; synthetic images</t>
  </si>
  <si>
    <t>Authentication; Biometrics; Classification (of information); Crime; Cryptography; Generative adversarial networks; Image enhancement; Job analysis; Neural networks; Attack detection; Biometric (access control); Features extraction; Generator; ID cards; Identity Based Encryption; Neural-networks; Presentation attack detection; Remote verification; Synthetic images; Task analysis; Feature extraction</t>
  </si>
  <si>
    <t>R0292</t>
  </si>
  <si>
    <t>Learning invariant representation using synthetic imagery for object detection</t>
  </si>
  <si>
    <t>AI Communications</t>
  </si>
  <si>
    <t>10.3233/AIC-220039</t>
  </si>
  <si>
    <t>2-s2.0-85150055263</t>
  </si>
  <si>
    <t>distractor-invariant; domain discriminator; feature alignment; Invariant representation; synthetic data</t>
  </si>
  <si>
    <t>Deep learning; Image representation; Object detection; Distractor-invariant; Domain adaptation; Domain discriminator; Feature alignment; Invariant representation; Learning network; Objects detection; Synthetic data; Synthetic imagery; Training and testing; Discriminators</t>
  </si>
  <si>
    <t>R0293</t>
  </si>
  <si>
    <t>Synthetic data generation with deep convolutional generative adversarial network for solar photovoltaic fault detection using resource-constrained framework</t>
  </si>
  <si>
    <t>Jashwanth A.; Sai N.K.S.; Raj R.D.A.; Yanamala R.M.R.; Pallakonda A.</t>
  </si>
  <si>
    <t>Journal of Real-Time Image Processing</t>
  </si>
  <si>
    <t>10.1007/s11554-026-01924-x</t>
  </si>
  <si>
    <t>2-s2.0-105044069638</t>
  </si>
  <si>
    <t>Deep convolutional generative adversarial network; Latent vector sampling; Photovoltaic defect localization; Synthetic data generation; YOLOv12n</t>
  </si>
  <si>
    <t>Convolution; Defects; Photovoltaics; Solar energy; Solar power generation; Adversarial networks; Deep convolutional generative adversarial network; Defect localizations; Latent vector sampling; Latent vectors; Photovoltaic defect localization; Photovoltaics; Synthetic data generations; Vector sampling; Yolov12n; Image enhancement</t>
  </si>
  <si>
    <t>R0294</t>
  </si>
  <si>
    <t>Generalized symmetry transformation with Gaussian phase weight function</t>
  </si>
  <si>
    <t>Lee H.-Y.; Kim T.-H.; Jeon J.-H.; Choi I.; Park K.-H.</t>
  </si>
  <si>
    <t>Optical Review</t>
  </si>
  <si>
    <t>10.1007/s10043-012-0013-y</t>
  </si>
  <si>
    <t>2-s2.0-84859349912</t>
  </si>
  <si>
    <t>cosine PWF; Gaussian PWF; GST; object detection</t>
  </si>
  <si>
    <t>R0295</t>
  </si>
  <si>
    <t>BreasTransNeXt: An Enhanced Multi-Module Vision Transformer For Early Breast Cancer Diagnosis</t>
  </si>
  <si>
    <t>Acikgoz H.; Aytekin A.; Gezici S.</t>
  </si>
  <si>
    <t>10.1007/s10278-026-01863-w</t>
  </si>
  <si>
    <t>2-s2.0-105030620879</t>
  </si>
  <si>
    <t>Breast cancer; Deep learning; Hybrid attention; Vision transformer; Wasserstein Generative Adversarial Network</t>
  </si>
  <si>
    <t>Arts computing; Computer aided diagnosis; Convolution; Convolutional neural networks; Diseases; Image enhancement; Learning systems; Lung cancer; Medical imaging; Adversarial networks; Attention mechanisms; Breast Cancer; Deep learning; Early breast cancer; Feature representation; Hybrid attention; Multimodule; Vision transformer; Wasserstein generative adversarial network; Deep learning</t>
  </si>
  <si>
    <t>R0296</t>
  </si>
  <si>
    <t>LEyes: A lightweight framework for deep learning-based eye tracking using synthetic eye images</t>
  </si>
  <si>
    <t>Byrne S.A.; Maquiling V.; Nyström M.; Kasneci E.; Niehorster D.C.</t>
  </si>
  <si>
    <t>Behavior Research Methods</t>
  </si>
  <si>
    <t>10.3758/s13428-025-02645-y</t>
  </si>
  <si>
    <t>2-s2.0-105001724204</t>
  </si>
  <si>
    <t>Algorithms; Deep Learning; Eye Movements; Eye-Tracking Technology; Fixation, Ocular; Humans; Image Processing, Computer-Assisted; Neural Networks, Computer; algorithm; artificial neural network; deep learning; eye fixation; eye movement; eye-tracking technology; human; image processing; physiology; procedures</t>
  </si>
  <si>
    <t>R0297</t>
  </si>
  <si>
    <t>YOLO-based crater detection for cislunar autonomous optical navigation: Characterization and parametric analysis of angular and area measurement errors</t>
  </si>
  <si>
    <t>Kilduff T.; Machuca P.; Rosengren A.</t>
  </si>
  <si>
    <t>10.1016/j.actaastro.2025.11.074</t>
  </si>
  <si>
    <t>2-s2.0-105025108765</t>
  </si>
  <si>
    <t>Computer vision; Convolutional neural networks; Deep learning; Feature extraction; Image processing; Lunar terrain mapping; Object detection; POV-ray; Ray-tracing; Real-time; State estimation; Synthetic image generation</t>
  </si>
  <si>
    <t>Convolution; Convolutional neural networks; Error detection; Lunar surface analysis; Measurement errors; Navigation; Optical data processing; Orbits; Spacecraft; Surveying; Convolutional neural network; Deep learning; Features extraction; Images processing; Lunar terrain mapping; Objects detection; POV-ray; Real- time; Synthetic image generation; Terrain mapping; Computer vision; Deep learning</t>
  </si>
  <si>
    <t>R0298</t>
  </si>
  <si>
    <t>SyntAR: Synthetic data generation using multiscale attention generator-discriminator framework (SinGAN-MSA) for improved aircraft recognition in remote sensing images</t>
  </si>
  <si>
    <t>Nasir F.A.; Khurshid K.</t>
  </si>
  <si>
    <t>10.1007/s11042-025-20825-y</t>
  </si>
  <si>
    <t>2-s2.0-105003272077</t>
  </si>
  <si>
    <t>Adversarial training; Aircraft detection &amp; recognition; Class imbalance; Classification accuracy; Domain adaptability; Generalization ability; Generator-Discriminator framework; Hybrid dataset; Remote sensing (RS); Satellite imagery; Small aircraft; Style transfer techniques; Synthetic aircraft; Wide-body aircraft; YOLO model</t>
  </si>
  <si>
    <t>Aircraft detection; Image enhancement; Network security; Remote sensing; Small satellites; Steganography; Training aircraft; Weather satellites; Aircraft detection &amp; recognition; Class imbalance; Classification accuracy; Domain adaptability; Generalization ability; Generator-discriminator framework; Hybrid dataset; Remote sensing; Remote-sensing; Small aircraft; Style transfer technique; Synthetic aircraft; Transfer technique; Wide body aircrafts; YOLO model; Satellite imagery</t>
  </si>
  <si>
    <t>R0299</t>
  </si>
  <si>
    <t>DESIGN OF AN ITERATIVE METHOD FOR PLANT NUTRIENT DEFICIENCY DETECTION USING GRAPH CONVOLUTIONAL NETWORKS &amp; ENSEMBLE LEARNING</t>
  </si>
  <si>
    <t>Pawade P.P.; Alvi A.S.</t>
  </si>
  <si>
    <t>2-s2.0-85205525981</t>
  </si>
  <si>
    <t>Data Augmentation; Ensemble Learning; Graph Convolutional Networks; Interpretability Techniques; Plant Nutrient Deficiency</t>
  </si>
  <si>
    <t>R0300</t>
  </si>
  <si>
    <t>Image Augmentation for Passionfruit Disease Classification Using Conditional Generative Adversarial Networks (cGANs)</t>
  </si>
  <si>
    <t>Al-Dulaimi K.; Banks J.</t>
  </si>
  <si>
    <t>Al-Nahrain Journal of Science</t>
  </si>
  <si>
    <t>10.22401/ANJS.29.1.12</t>
  </si>
  <si>
    <t>2-s2.0-105035166572</t>
  </si>
  <si>
    <t>Agricultural AI; Conditional GAN (cGAN); Deep learning; Image augmentation; Passionfruit disease classification</t>
  </si>
  <si>
    <t>R0301</t>
  </si>
  <si>
    <t>Exploring Bi-Level Inconsistency via Blended Images for Generalizable Face Forgery Detection</t>
  </si>
  <si>
    <t>Jiang P.; Xie H.; Yu L.; Jin G.; Zhang Y.</t>
  </si>
  <si>
    <t>10.1109/TIFS.2024.3417266</t>
  </si>
  <si>
    <t>2-s2.0-85196757991</t>
  </si>
  <si>
    <t>consistency learning; Deepfake detection; vision transformer</t>
  </si>
  <si>
    <t>Deep learning; Consistency learning; Deepfake; Deepfake detection; Face; Forgery; Forgery detections; Generator; Training data; Transformer; Vision transformer; Face recognition</t>
  </si>
  <si>
    <t>R0302</t>
  </si>
  <si>
    <t>Toward Generalizable Forgery Detection and Reasoning</t>
  </si>
  <si>
    <t>Gao Y.; Chang D.; Yu B.; Qin H.; Diao M.; Chen L.; Liang K.; Ma Z.</t>
  </si>
  <si>
    <t>10.1109/TIP.2026.3673967</t>
  </si>
  <si>
    <t>2-s2.0-105034420308</t>
  </si>
  <si>
    <t>attention mechanism; Forgery detection; multi-modal large language model; visual reasoning</t>
  </si>
  <si>
    <t>Classification (of information); Fake detection; Feature extraction; Large datasets; Semantics; Visual languages; Attention mechanisms; Detection tasks; Forgery detections; Generative model; Language model; Mitigating risk; Multi-modal; Multi-modal large language model; Reasoning tasks; Visual reasoning; article; controlled study; diagnosis; drug analysis; forgery; generative model; human; large language model; major clinical study; probability; reasoning; semantics; Modeling languages</t>
  </si>
  <si>
    <t>R0303</t>
  </si>
  <si>
    <t>FetalFlex: Anatomy-guided diffusion model for flexible control on fetal ultrasound image synthesis</t>
  </si>
  <si>
    <t>Duan Y.; Tan T.; Zhu Z.; Huang Y.; Zhang Y.; Gao R.; Pang P.C.-I.; Gao X.; Tao G.; Cong X.; Li Z.; Liang L.; He G.; Yin L.; Deng X.; Yang X.; Ni D.</t>
  </si>
  <si>
    <t>Medical Image Analysis</t>
  </si>
  <si>
    <t>10.1016/j.media.2025.103725</t>
  </si>
  <si>
    <t>2-s2.0-105011714439</t>
  </si>
  <si>
    <t>Anatomical structural guidance; Controllable synthesis; Diffusion model; Fetal ultrasound image</t>
  </si>
  <si>
    <t>Algorithms; Female; Humans; Image Interpretation, Computer-Assisted; Pregnancy; Ultrasonography, Prenatal; Anomaly detection; Fetal monitoring; Image quality; Neonatal monitoring; Textures; Anatomical structural guidance; Controllable synthesis; Diagnostics informations; Diffusion model; Fetal development; Fetal ultrasound; Fetal ultrasound images; Flexible control; Images synthesis; Ultrasound examination; anatomical concepts; Article; classification algorithm; deep learning; diagnostic value; FetalFlex model; fetus; fetus echography; fetus malformation; human; image analysis; image quality; mathematical model; outlier detection; quantitative analysis; retrospective study; algorithm; computer assisted diagnosis; female; pregnancy; procedures; Image enhancement</t>
  </si>
  <si>
    <t>R0304</t>
  </si>
  <si>
    <t>LAC-GAN: Lesion attention conditional GAN for Ultra-widefield image synthesis</t>
  </si>
  <si>
    <t>Lei H.; Tian Z.; Xie H.; Zhao B.; Zeng X.; Cao J.; Liu W.; Wang J.; Zhang G.; Wang S.; Lei B.</t>
  </si>
  <si>
    <t>10.1016/j.neunet.2022.11.005</t>
  </si>
  <si>
    <t>2-s2.0-85142736760</t>
  </si>
  <si>
    <t>Conditional GAN; Disease detection; Lesion attention; Ultra-widefield image</t>
  </si>
  <si>
    <t>Generalization, Psychological; Image Processing, Computer-Assisted; Decision trees; Deep learning; Gaussian noise (electronic); Image enhancement; Ophthalmology; Automatic Detection; Conditional GAN; Detection models; Disease detection; Images synthesis; Lesion attention; Performance; Retinal image; Ultra-widefield image; Wide-field; accuracy; affine transform; algorithm; Article; artificial neural network; attention; computer assisted tomography; computer simulation; eye fundus; fluorescence angiography; functional magnetic resonance imaging; gene mapping; glaucoma; human; image reconstruction; image segmentation; imaging; information processing; learning algorithm; lesion attention conditional generative adversarial network; machine learning; mathematical model; mathematical parameters; network analysis; noise; ophthalmologist; optic disk; optical coherence tomography; qualitative analysis; random forest; retina disease; retina image; synthesis; training; ultra widefield image; visual acuity; visual stimulation; image processing; procedures; Generative adversarial networks</t>
  </si>
  <si>
    <t>R0305</t>
  </si>
  <si>
    <t>Fusion-driven semi-supervised learning-based lung nodules classification with dual-discriminator and dual-generator generative adversarial network</t>
  </si>
  <si>
    <t>Saihood A.; Abdulhussien W.R.; Alzubaid L.; Manoufali M.; Gu Y.</t>
  </si>
  <si>
    <t>BMC Medical Informatics and Decision Making</t>
  </si>
  <si>
    <t>10.1186/s12911-024-02820-9</t>
  </si>
  <si>
    <t>2-s2.0-85212784178</t>
  </si>
  <si>
    <t>Deep learning; Generative Adversarial Network; Lung Nodules Classification; Medical imaging; Semi-supervised learning</t>
  </si>
  <si>
    <t>Humans; Lung Neoplasms; Neural Networks, Computer; Solitary Pulmonary Nodule; Supervised Machine Learning; Tomography, X-Ray Computed; artificial neural network; diagnostic imaging; human; lung nodule; lung tumor; supervised machine learning; x-ray computed tomography</t>
  </si>
  <si>
    <t>R0306</t>
  </si>
  <si>
    <t>Boosting microscopic object detection via feature activation map guided poisson blending</t>
  </si>
  <si>
    <t>Yang H.; Zhu Y.; Yu J.; Jin L.; Guo Z.; Zheng C.; Fu J.; Xu Y.</t>
  </si>
  <si>
    <t>Mathematical Biosciences and Engineering</t>
  </si>
  <si>
    <t>10.3934/MBE.2023813</t>
  </si>
  <si>
    <t>2-s2.0-85174813948</t>
  </si>
  <si>
    <t>Deep learning; Microscopic examination; Object detection; Synthetic images</t>
  </si>
  <si>
    <t>Biomedical Research; Microscopy; Rivers; Clinical research; Decision support systems; Deep learning; Diagnosis; Efficiency; Extraction; Feature extraction; Image enhancement; Intelligent systems; Large dataset; Medical applications; Object recognition; Plants (botany); Activation maps; Boosting mechanism; Component based; Deep learning; Detection models; Elements detection; Gold standards; Microscopic objects; Objects detection; Synthetic images; medical research; microscopy; river; Object detection</t>
  </si>
  <si>
    <t>R0307</t>
  </si>
  <si>
    <t>Enhancing pavement distress segmentation model with diffusion-based generative AI: a digital twin perspective</t>
  </si>
  <si>
    <t>Talaghat M.A.; Golroo A.; Shahhosseini V.; Rasti M.</t>
  </si>
  <si>
    <t>International Journal of Pavement Engineering</t>
  </si>
  <si>
    <t>10.1080/10298436.2025.2540076</t>
  </si>
  <si>
    <t>2-s2.0-105012761449</t>
  </si>
  <si>
    <t>data scarcity; Diffusion model; digital twin; generative AI; segmentation</t>
  </si>
  <si>
    <t>Artificial intelligence; Diffusion; Digital twin; Highway administration; Highway planning; Image enhancement; Labeled data; Pavements; Condition; Data scarcity; Diffusion model; Generative AI; Modeling performance; Pavement distress; Robust detection; Robust segmentation; Segmentation; Segmentation models; Image segmentation</t>
  </si>
  <si>
    <t>R0308</t>
  </si>
  <si>
    <t>Evaluation of vision transformers for the detection of fullness of garbage bins for efficient waste management</t>
  </si>
  <si>
    <t>Tanwer P.S.; Maheshwari S.; Behera S.; Chauhan A.; Sunil Kumar T.</t>
  </si>
  <si>
    <t>10.3389/frai.2025.1612080</t>
  </si>
  <si>
    <t>2-s2.0-105016790698</t>
  </si>
  <si>
    <t>garbage classification; garbage fullness detection; pyramid vision transformer; shifted window (Swin); vision transformer</t>
  </si>
  <si>
    <t>R0309</t>
  </si>
  <si>
    <t>Detection of real-time deep fakes and face forgery in video conferencing employing generative adversarial networks</t>
  </si>
  <si>
    <t>Sharma S.K.; AlEnizi A.; Kumar M.; Alfarraj O.; Alowaidi M.</t>
  </si>
  <si>
    <t>10.1016/j.heliyon.2024.e37163</t>
  </si>
  <si>
    <t>2-s2.0-85202836310</t>
  </si>
  <si>
    <t>Deep conditional generative adversarial networks; Deep fake detection; Ensemble discriminators</t>
  </si>
  <si>
    <t>R0310</t>
  </si>
  <si>
    <t>Sim-to-Real Transfer for Object Detection in Aerial Inspections of Transmission Towers</t>
  </si>
  <si>
    <t>Peterlevitz A.J.; Chinelatto M.A.; Menezes A.G.; Motta C.A.M.; Pereira G.A.B.; Lopes G.L.; Souza G.D.M.; Rodrigues J.; Godoy L.C.; Koller M.A.F.F.; Cabral M.O.; Alves N.E.; Silva P.H.; Cherobin R.; Yamamoto R.A.O.; Silva R.D.D.</t>
  </si>
  <si>
    <t>10.1109/ACCESS.2023.3322374</t>
  </si>
  <si>
    <t>2-s2.0-85174842900</t>
  </si>
  <si>
    <t>Aerial inspection; domain adaptation; domain adaptation; image-to-image translation; object detection; sim-to-real transfer</t>
  </si>
  <si>
    <t>Aerial photography; Antennas; Deep learning; Image enhancement; Inspection; Job analysis; Object recognition; Aerial inspection; Computational modelling; Domain adaptation; Image translation; Image-to-image translation; Objects detection; Pole and tower; Sim-to-real transfer; Synthetic data; Task analysis; Object detection</t>
  </si>
  <si>
    <t>R0311</t>
  </si>
  <si>
    <t>Synthetic-to-Real Domain Adaptation Joint Spatial Feature Transform for Stereo Matching</t>
  </si>
  <si>
    <t>Li X.; Fan Y.; Rao Z.; Lv G.; Liu S.</t>
  </si>
  <si>
    <t>10.1109/LSP.2021.3125264</t>
  </si>
  <si>
    <t>2-s2.0-85118599540</t>
  </si>
  <si>
    <t>Domain adaptation; edge cues; spatial feature transform; stereo matching</t>
  </si>
  <si>
    <t>Computer vision; Deep learning; Edge detection; Job analysis; Stereo image processing; Domain adaptation; Edge cue; Feature transform; Generator; Image edge detection; Images reconstruction; Spatial feature transform; Spatial features; Stereo-matching; Task analysis; Image reconstruction</t>
  </si>
  <si>
    <t>R0312</t>
  </si>
  <si>
    <t>Latent diffusion meets semi-supervised learning: Enhancing plant disease detection with minimal labels</t>
  </si>
  <si>
    <t>Eguskiza I.; Picón A.; Benito-Del-Valle L.; Bereciartua-Pérez A.; Gómez-Zamanillo L.; Elola A.; Aramendi E.; Espejo R.; Klukas C.; Navarra-Mestre R.</t>
  </si>
  <si>
    <t>Computers and Electronics in Agriculture</t>
  </si>
  <si>
    <t>10.1016/j.compag.2026.111840</t>
  </si>
  <si>
    <t>2-s2.0-105037186124</t>
  </si>
  <si>
    <t>Deep learning (DL); Denoising diffusion probabilistic models (DDPMs); Plant disease; Regression conditioned generative models; Semi-supervised learning</t>
  </si>
  <si>
    <t>Agriculture; Cost effectiveness; Deep learning; Diffusion; Disease control; Image enhancement; Labeled data; Large datasets; Learning algorithms; Plant diseases; Plants (botany); Regression analysis; Semi-supervised learning; De-noising; Deep learning; Denoising diffusion probabilistic model; Disease severity; Generative model; Plant disease; Probabilistic models; Regression conditioned generative model; Semi-supervised; Semi-supervised learning; Image segmentation</t>
  </si>
  <si>
    <t>R0313</t>
  </si>
  <si>
    <t>Fractal dimension-based generalized box-counting technique with application to grayscale images</t>
  </si>
  <si>
    <t>Nayak S.R.; Mishra J.</t>
  </si>
  <si>
    <t>10.1142/S0218348X21500559</t>
  </si>
  <si>
    <t>2-s2.0-85103453579</t>
  </si>
  <si>
    <t>Box-Counting; Box-Height; DBC; Fractal Dimension; Self-Similarity</t>
  </si>
  <si>
    <t>Finite difference method; Surface roughness; Textures; Active area; Box height; Box-counting; Counting techniques; Differential box-counting; Digital image analysis; Fractal dimension estimation; Gray-scale images; Self-similarities; Fractal dimension</t>
  </si>
  <si>
    <t>R0314</t>
  </si>
  <si>
    <t>Use of semi-synthetic data for catheter segmentation improvement</t>
  </si>
  <si>
    <t>Danilov V.V.; Kolpashchikov D.Y.; Gerget O.M.; Laptev N.V.; Proutski A.; Hernández Gómez L.A.; Alvarez F.; Ledesma-Carbayo M.J.</t>
  </si>
  <si>
    <t>Computerized Medical Imaging and Graphics</t>
  </si>
  <si>
    <t>10.1016/j.compmedimag.2023.102188</t>
  </si>
  <si>
    <t>2-s2.0-85149388208</t>
  </si>
  <si>
    <t>Catheter segmentation; Continuum robots; Echocardiography; Forward kinematics; Semi-synthetic images; Ultrasound</t>
  </si>
  <si>
    <t>Algorithms; Catheters; Image Processing, Computer-Assisted; Machine Learning; Neural Networks, Computer; Catheters; Deep neural networks; Image enhancement; Image segmentation; Kinematics; Kinetics; Large dataset; Learning algorithms; Catheter segmentation; Continuum robot; Data driven; Forward kinematics; Heart cavities; Machine learning algorithms; Semi-synthetic image; Similarity coefficients; Synthetic data; Synthetic images; anatomical concepts; Article; comparative study; controlled study; convolutional neural network; deep learning; deep neural network; detection algorithm; health care industry; human; image quality; image segmentation; learning algorithm; minimally invasive surgery; three dimensional echocardiography; algorithm; catheter; image processing; machine learning; procedures; Echocardiography</t>
  </si>
  <si>
    <t>R0315</t>
  </si>
  <si>
    <t>Generation of synthetic tympanic membrane images: Development, human validation, and clinical implications of synthetic data</t>
  </si>
  <si>
    <t>Suresh K.; Cohen M.S.; Hartnick C.J.; Bartholomew R.A.; Lee D.J.; Crowson M.G.</t>
  </si>
  <si>
    <t>PLOS Digital Health</t>
  </si>
  <si>
    <t>10.1371/journal.pdig.0000202</t>
  </si>
  <si>
    <t>2-s2.0-85161988438</t>
  </si>
  <si>
    <t>R0316</t>
  </si>
  <si>
    <t>Data Augmentation for Deep-Learning-Based Multiclass Structural Damage Detection Using Limited Information</t>
  </si>
  <si>
    <t>Dunphy K.; Fekri M.N.; Grolinger K.; Sadhu A.</t>
  </si>
  <si>
    <t>10.3390/s22166193</t>
  </si>
  <si>
    <t>2-s2.0-85136703353</t>
  </si>
  <si>
    <t>damage detection; data augmentation; deep learning; Generative Adversarial Networks; Structural Health Monitoring</t>
  </si>
  <si>
    <t>Aging; Data Collection; Databases, Factual; Deep Learning; Humans; Neural Networks, Computer; Classification (of information); Deep learning; Deterioration; Disasters; Generative adversarial networks; Losses; Network architecture; Structural health monitoring; Ageing infrastructures; Data augmentation; Deep learning; Global scale; Limited information; Natural disasters; Performance; Real samples; Structural damage detection; Synthetic data; aging; factual database; human; information processing; Damage detection</t>
  </si>
  <si>
    <t>R0317</t>
  </si>
  <si>
    <t>Impact of Synthetic Data on Deep Learning Models for Earth Observation: Photovoltaic Panel Detection Case Study</t>
  </si>
  <si>
    <t>Hisam E.; Gimeno J.; Miraut D.; Pérez-Aixendri M.; Fernández M.; Gini R.; Rodríguez R.; Meoni G.; Seker D.Z.</t>
  </si>
  <si>
    <t>ISPRS International Journal of Geo-Information</t>
  </si>
  <si>
    <t>10.3390/ijgi14120481</t>
  </si>
  <si>
    <t>2-s2.0-105026808277</t>
  </si>
  <si>
    <t>AI-generated data; deep learning; diffusion model; earth observation; physically-based simulation; synthetic data</t>
  </si>
  <si>
    <t>R0318</t>
  </si>
  <si>
    <t>Weed image classification with generative AI using latent denoising diffusion probabilistic model and Wiener filtering approach</t>
  </si>
  <si>
    <t>Ambuj; Machavaram R.</t>
  </si>
  <si>
    <t>Franklin Open</t>
  </si>
  <si>
    <t>10.1016/j.fraope.2025.100369</t>
  </si>
  <si>
    <t>2-s2.0-105017964877</t>
  </si>
  <si>
    <t>Agricultural imagery; Latent diffusion model; Plant anomaly detection; Realistic plant visuals; Synthetic image generation; Weed classification</t>
  </si>
  <si>
    <t>Anomaly detection; Convolutional neural networks; Diffusion; Frequency domain analysis; Image classification; Image denoising; Image enhancement; Invasive weed optimization; Labeled data; Plants (botany); Agricultural imagery; Anomaly detection; De-noising; Diffusion model; Images classification; Latent diffusion model; Plant anomaly detection; Realistic plant visual; Synthetic image generation; Weed classification; Cotton; Gaussian noise (electronic)</t>
  </si>
  <si>
    <t>R0319</t>
  </si>
  <si>
    <t>Enforcing Traffic Safety: A Deep Learning Approach for Detecting Motorcyclists’ Helmet Violations Using YOLOv8 and Deep Convolutional Generative Adversarial Network-Generated Images</t>
  </si>
  <si>
    <t>Shoman M.; Ghoul T.; Lanzaro G.; Alsharif T.; Gargoum S.; Sayed T.</t>
  </si>
  <si>
    <t>10.3390/a17050202</t>
  </si>
  <si>
    <t>2-s2.0-85194286062</t>
  </si>
  <si>
    <t>DCGANs; deep learning; helmet detection; imbalanced classes; YOLOv8</t>
  </si>
  <si>
    <t>Accident prevention; Convolution; Deep learning; Motorcycles; Object detection; Photodetectors; Safety devices; Confidence levels; Deep convolutional generative adversarial network; Deep learning; F1 scores; Helmet detection; Imbalanced class; Synthetic images; Traffic safety; Violation detections; YOLOv8; Generative adversarial networks</t>
  </si>
  <si>
    <t>R0320</t>
  </si>
  <si>
    <t>U-Net-Based Fetal Head Circumference Segmentation With Synthetic-Driven Generation Data Augmentation</t>
  </si>
  <si>
    <t>El Joudi N.A.; Lazaar M.; Delmotte F.; Allaoui H.; Mahboub O.</t>
  </si>
  <si>
    <t>International Journal of Imaging Systems and Technology</t>
  </si>
  <si>
    <t>10.1002/ima.70244</t>
  </si>
  <si>
    <t>2-s2.0-105020580917</t>
  </si>
  <si>
    <t>deep learning; fetal head segmentation; fetal health monitoring; generative adversarial networks; medical image analysis; synthetic data generation</t>
  </si>
  <si>
    <t>Diagnosis; Fetal monitoring; Image analysis; Image enhancement; Image segmentation; Large datasets; Learning systems; Medical image processing; Neonatal monitoring; Statistical tests; Adversarial networks; Data augmentation; Deep learning; Fetal head; Fetal head segmentation; Fetal health monitoring; Head circumferences; Health monitoring; Medical image analysis; Synthetic data generations; Deep learning</t>
  </si>
  <si>
    <t>R0321</t>
  </si>
  <si>
    <t>DeepFeatureX-SN: Generalization of deepfake detection via contrastive learning</t>
  </si>
  <si>
    <t>Pontorno O.; Guarnera L.; Battiato S.</t>
  </si>
  <si>
    <t>10.1007/s11042-025-21060-1</t>
  </si>
  <si>
    <t>2-s2.0-105012193366</t>
  </si>
  <si>
    <t>Cybersecurity; Deepfakes Detection; Generative Artificial Intelligence; Multimedia Forensics</t>
  </si>
  <si>
    <t>Computer forensics; Contrastive Learning; Crime; Cybersecurity; Deep learning; Electronic crime countermeasures; Generative adversarial networks; Image processing; Learning systems; Multimedia systems; Adversarial networks; Cyber security; Deepfake detection; Diffusion model; Feature extractor; Generalisation; Generative artificial intelligence; Multimedia forensics; Network models; Synthetic images; Network architecture</t>
  </si>
  <si>
    <t>R0322</t>
  </si>
  <si>
    <t>Enhancing robustness and generalization in microbiological few-shot detection through synthetic data generation and contrastive learning</t>
  </si>
  <si>
    <t>Ebert N.; Stricker D.; Wasenmüller O.</t>
  </si>
  <si>
    <t>10.1016/j.compbiomed.2025.110141</t>
  </si>
  <si>
    <t>2-s2.0-105002842203</t>
  </si>
  <si>
    <t>Colony detection; Few-shot; Medical image analysis; Robustness detection; Synthetic images</t>
  </si>
  <si>
    <t>Bacteria; Deep Learning; Humans; Labeled data; agar; Colony detection; Data augmentation; Few-shot; Generalisation; Medical image analysis; Robustness detection; Shot detection; Synthetic data generations; Synthetic images; Training data; Article; Bacillus subtilis; bacterium colony; Candida albicans; controlled study; data corruption; Escherichia coli; feature extraction; feed forward neural network; few shot learning; nonhuman; Pseudomonas aeruginosa; Staphylococcus aureus; bacterium; deep learning; human; isolation and purification; Algae</t>
  </si>
  <si>
    <t>R0323</t>
  </si>
  <si>
    <t>Deep Learning Model for Static Ocular Torsion Detection Using Synthetically Generated Fundus Images</t>
  </si>
  <si>
    <t>Wang C.; Bai Y.; Tsang A.; Bian Y.; Gou Y.; Lin Y.X.; Zhao M.; Wei T.Y.; Desman J.M.; Taylor C.O.; Greenstein J.L.; Otero-Millan J.; Liu T.Y.A.; Kheradmand A.; Zee D.S.; Green K.E.</t>
  </si>
  <si>
    <t>Translational Vision Science and Technology</t>
  </si>
  <si>
    <t>10.1167/tvst.12.1.17</t>
  </si>
  <si>
    <t>2-s2.0-85146193646</t>
  </si>
  <si>
    <t>artificial intelligence; deep learning; diplopia; dizziness; fourth nerve palsy; fundus photography; ocular motility; ocular torsion; skew deviation</t>
  </si>
  <si>
    <t>Deep Learning; Fundus Oculi; ROC Curve; area under the curve; Article; controlled study; convolutional neural network; deep learning; diagnostic test accuracy study; extraocular muscle; eye fundus; eye photography; human; major clinical study; optic disk; receiver operating characteristic; residual neural network; sensitivity and specificity; static ocular torsion; superior oblique muscle; torsion; training; transfer of learning; eye fundus</t>
  </si>
  <si>
    <t>R0324</t>
  </si>
  <si>
    <t>Novel local information kernelized fuzzy C-means algorithm for image segmentation</t>
  </si>
  <si>
    <t>Li S.; Lu J.; Cheng L.; Li X.</t>
  </si>
  <si>
    <t>10.1002/ima.22491</t>
  </si>
  <si>
    <t>2-s2.0-85091727106</t>
  </si>
  <si>
    <t>contextual information; fuzzy C-means algorithm; image segmentation; novel dissimilarity metric</t>
  </si>
  <si>
    <t>Clustering algorithms; Copying; Fuzzy clustering; Fuzzy systems; Magnetic resonance imaging; Particle swarm optimization (PSO); Textures; Contextual information; Dissimilarity measures; Kernelized fuzzy c means; Mahalanobis distances; Neighboring information; Noise estimation algorithm; Segmentation accuracy; Visual interpretation; Image segmentation</t>
  </si>
  <si>
    <t>R0325</t>
  </si>
  <si>
    <t>DeepfakeCLIP: Semantic-Opposite prompt learning for generalizable deepfake detection</t>
  </si>
  <si>
    <t>Chen X.; Huang T.; Liu W.; Wang Z.; Li W.; Huang W.; Chen R.; Luo H.</t>
  </si>
  <si>
    <t>10.1016/j.knosys.2025.114681</t>
  </si>
  <si>
    <t>2-s2.0-105020009616</t>
  </si>
  <si>
    <t>Contrastive learning; Deepfake detection; Multi-modal learning; Prompt learning; Vision-Language models</t>
  </si>
  <si>
    <t>Contrastive Learning; Deep learning; Error detection; Generative adversarial networks; Learning systems; Semantics; Adversarial networks; Deepfake detection; Detection mechanism; Diffusion model; Language model; Multi-modal learning; Network models; Prompt learning; Realistic images; Vision-language model; Image enhancement</t>
  </si>
  <si>
    <t>R0326</t>
  </si>
  <si>
    <t>Detection of Ergonomic Sitting Postures in Office Environments</t>
  </si>
  <si>
    <t>Pawitra T.A.; Sitania F.D.; Burhandenny A.E.; Wijaya M.F.; Septiarini A.; Hamdani H.; Fareez V.S.E.</t>
  </si>
  <si>
    <t>Journal of Image and Graphics (United Kingdom)</t>
  </si>
  <si>
    <t>10.18178/JOIG.13.6.686-701</t>
  </si>
  <si>
    <t>2-s2.0-105028400682</t>
  </si>
  <si>
    <t>computer vision; ergonomic sitting posture; machine learning; MoveNet; musculoskeletal disorder</t>
  </si>
  <si>
    <t>R0327</t>
  </si>
  <si>
    <t>Assessing the Efficacy of Synthetic Optic Disc Images for Detecting Glaucomatous Optic Neuropathy Using Deep Learning</t>
  </si>
  <si>
    <t>Chaurasia A.K.; Macgregor S.; Craig J.E.; Mackey D.A.; Hewitt A.W.</t>
  </si>
  <si>
    <t>10.1167/tvst.13.6.1</t>
  </si>
  <si>
    <t>2-s2.0-85195011237</t>
  </si>
  <si>
    <t>deep convolutional generative adversarial networks; deep learning; glaucomatous optic neuropathy; optic nerve head; synthetic disc images</t>
  </si>
  <si>
    <t>Algorithms; Deep Learning; Female; Glaucoma; Humans; Male; Middle Aged; Optic Disk; Optic Nerve Diseases; ROC Curve; Article; clinical feature; clinical practice; controlled study; cup-to-disc ratio; decision making; deep convolutional generative adversarial network; deep learning; deep neural network; glaucoma; glaucomatous optic neuropathy; gradient weighted class activation mapping; human; image processing; image quality; imaging; receiver operating characteristic; sensitivity and specificity; synthetic optic disc image; validation study; algorithm; diagnosis; diagnostic imaging; female; glaucoma; male; middle aged; optic disk; optic nerve disease; pathology; receiver operating characteristic</t>
  </si>
  <si>
    <t>R0328</t>
  </si>
  <si>
    <t>Multi-step differential approaches for the localization of 3D point landmarks in medical images</t>
  </si>
  <si>
    <t>Frantz S.; Rohr K.; Siegfried Stiehl H.</t>
  </si>
  <si>
    <t>Journal of Computing and Information Technology</t>
  </si>
  <si>
    <t>2-s2.0-0037771574</t>
  </si>
  <si>
    <t>3D anatomical point landmarks; 3D differential edge intersection approach; 3D differential operators; Subvoxel localization</t>
  </si>
  <si>
    <t>Differential equations; Magnetic resonance imaging; Mathematical operators; 3D differential edge intersection approach; Anatomical point landmarks; Differential operators; Landmark localization; Localization accuracy; Localization performance; Subpixel localization; Subvoxel localization; Medical imaging</t>
  </si>
  <si>
    <t>R0329</t>
  </si>
  <si>
    <t>An efficient deepfake video detection using robust deep learning</t>
  </si>
  <si>
    <t>Qadir A.; Mahum R.; El-Meligy M.A.; Ragab A.E.; AlSalman A.; Awais M.</t>
  </si>
  <si>
    <t>10.1016/j.heliyon.2024.e25757</t>
  </si>
  <si>
    <t>2-s2.0-85186458273</t>
  </si>
  <si>
    <t>Multimedia forensics; Swish; Video deepfakes; Visual manipulation</t>
  </si>
  <si>
    <t>R0330</t>
  </si>
  <si>
    <t>SSGNet: A single-source generalization model for ship detection in UAV imagery under challenging maritime environments</t>
  </si>
  <si>
    <t>Yasir M.; Liu S.; Xu M.; Sheng H.; Aguilar F.J.; do Lago Rocha R.; de Figueiredo F.A.P.; Isiacik Colak A.T.; Hossain M.S.</t>
  </si>
  <si>
    <t>Ocean Engineering</t>
  </si>
  <si>
    <t>10.1016/j.oceaneng.2025.124120</t>
  </si>
  <si>
    <t>2-s2.0-105027266698</t>
  </si>
  <si>
    <t>Generalizable features; Geometric feature learning; Maritime environments; Ship detection; Synthetic imagery; UAV imagery</t>
  </si>
  <si>
    <t>3D modeling; Color computer graphics; Contrastive Learning; Data mining; Deep neural networks; Feature extraction; Image processing; Learning systems; Mathematical morphology; Morphology; Ships; Textures; Three dimensional computer graphics; Unmanned aerial vehicles (UAV); Feature learning; Generalisation; Generalizable feature; Geometric feature; Geometric feature learning; Maritime environment; Ship detection; Single source; Synthetic imagery; UAV imagery; imagery; machine learning; marine environment; three-dimensional modeling; unmanned vehicle; Aircraft detection</t>
  </si>
  <si>
    <t>R0331</t>
  </si>
  <si>
    <t>Data generation for asphalt pavement evaluation: Deep learning-based insights from generative models</t>
  </si>
  <si>
    <t>Sedighian-Fard M.; Golroo A.; Javanmardi M.; Alahi A.; Rasti M.</t>
  </si>
  <si>
    <t>Case Studies in Construction Materials</t>
  </si>
  <si>
    <t>10.1016/j.cscm.2025.e05116</t>
  </si>
  <si>
    <t>2-s2.0-105012926415</t>
  </si>
  <si>
    <t>Gradient penalty; Pavement crack segmentation; Synthetic data generation; U-Net model; Wasserstein generative adversarial network</t>
  </si>
  <si>
    <t>Asphalt pavements; Automation; Crack detection; Deep learning; Information management; Adversarial networks; Crack segmentations; Gradient penalty; Net model; Pavement crack segmentation; Pavement cracks; Pavement evaluation; Synthetic data generations; U-net model; Wasserstein generative adversarial network; Image segmentation</t>
  </si>
  <si>
    <t>R0332</t>
  </si>
  <si>
    <t>SORDI.ai: large-scale synthetic object recognition dataset generation for industries</t>
  </si>
  <si>
    <t>Abou Akar C.; Tekli J.; Khalil J.; Yaghi A.; Haddad Y.; Makhoul A.; Kamradt M.</t>
  </si>
  <si>
    <t>10.1007/s11042-024-19731-6</t>
  </si>
  <si>
    <t>2-s2.0-85197797176</t>
  </si>
  <si>
    <t>Industry 4.0; Object detection; Reality gap; Simulation; Synthetic data</t>
  </si>
  <si>
    <t>Deep learning; Digital storage; Industry 4.0; Large datasets; Object recognition; Pipelines; Rendering (computer graphics); Computer vision applications; Large-scales; Learning models; Objects detection; Objects recognition; Randomisation; Reality gaps; Simulation; Synthetic data; Synthetic data generations; Object detection</t>
  </si>
  <si>
    <t>R0333</t>
  </si>
  <si>
    <t>DUALATT-VITRESNET WITH FENNEC FOX OPTIMIZED HYPER PARAMETERS FOR AUTOMATED OSTEOPOROSIS CLASSIFICATION USING MEDICAL IMAGING</t>
  </si>
  <si>
    <t>Venkatachalam V.; Subash N.; Devi P.A.; Saranya S.; Kumar R.T.; Priyadharshini C.</t>
  </si>
  <si>
    <t>Journal of Engineering and Technology for Industrial Applications</t>
  </si>
  <si>
    <t>10.5935/jetia.v12i59.3478</t>
  </si>
  <si>
    <t>2-s2.0-105040263272</t>
  </si>
  <si>
    <t>DenseNet121; DualAtt-ViTResNet; FFOA; Gaussian filter; Style GAN</t>
  </si>
  <si>
    <t>R0334</t>
  </si>
  <si>
    <t>Critical Assessment of DCGAN-Based Data Balancing in Deep Learning for Keratitis Identification: Trade-Off Between Fidelity, Fairness, and Performance</t>
  </si>
  <si>
    <t>Syahrir M.; Hammad R.; Imran B.; Hidayat M.S.</t>
  </si>
  <si>
    <t>10.18280/isi.310313</t>
  </si>
  <si>
    <t>2-s2.0-105039418247</t>
  </si>
  <si>
    <t>convolutional neural network; data balancing; deep learning; generative adversarial networks; keratitis identification</t>
  </si>
  <si>
    <t>R0335</t>
  </si>
  <si>
    <t>Generating real-world-like labelled synthetic datasets for construction site applications</t>
  </si>
  <si>
    <t>Barrera-Animas A.Y.; Davila Delgado J.M.</t>
  </si>
  <si>
    <t>10.1016/j.autcon.2023.104850</t>
  </si>
  <si>
    <t>2-s2.0-85152146783</t>
  </si>
  <si>
    <t>Auto-annotation; Construction field; Object detection; Synthetic dataset</t>
  </si>
  <si>
    <t>Large dataset; Object recognition; Auto-annotation; Automatic labelling; Construction fields; Construction sites; Evaluation metrics; Objects detection; Real-world; Site application; Synthetic datasets; Synthetic image generation; Object detection</t>
  </si>
  <si>
    <t>R0336</t>
  </si>
  <si>
    <t>SAAEffNet: A Synthetic-Augmented Attention EfficientNet Model for Mango Disease Classification</t>
  </si>
  <si>
    <t>Sandhi A.; Kumar R.; Bhardwaj R.; Kumar D.</t>
  </si>
  <si>
    <t>Applied Fruit Science</t>
  </si>
  <si>
    <t>10.1007/s10341-026-01801-8</t>
  </si>
  <si>
    <t>2-s2.0-105033840189</t>
  </si>
  <si>
    <t>CBAM; CycleGAN; Deep learning; EfficientNetB3; Mango diseases</t>
  </si>
  <si>
    <t>R0337</t>
  </si>
  <si>
    <t>High-resolution synthesis of high-density breast mammograms: Application to improved fairness in deep learning based mass detection</t>
  </si>
  <si>
    <t>Garrucho L.; Kushibar K.; Osuala R.; Diaz O.; Catanese A.; del Riego J.; Bobowicz M.; Strand F.; Igual L.; Lekadir K.</t>
  </si>
  <si>
    <t>Frontiers in Oncology</t>
  </si>
  <si>
    <t>10.3389/fonc.2022.1044496</t>
  </si>
  <si>
    <t>2-s2.0-85147418278</t>
  </si>
  <si>
    <t>breast cancer; data augmentation (DA); data synthesis; full-field digital mammograms; generative adversarial networks (GANs); mass detection; reader study</t>
  </si>
  <si>
    <t>Article; artifact; breast augmentation; breast cancer; breast density; breast imaging reporting and data system; computer aided design/computer aided manufacturing; controlled study; cycle generative adversarial network model; deep learning; diagnostic test accuracy study; fairness; feature learning (machine learning); female; full field digital mammogram; gland tissue; high resolution melting analysis; high resolution synthesis; human; mammography; qualitative analysis; radiologist; receiver operating characteristic; surgical oncologist</t>
  </si>
  <si>
    <t>R0338</t>
  </si>
  <si>
    <t>Edge-Detection Method for Image Processing Based on Generalized Type-2 Fuzzy Logic</t>
  </si>
  <si>
    <t>Melin P.; Gonzalez C.I.; Castro J.R.; Mendoza O.; Castillo O.</t>
  </si>
  <si>
    <t>IEEE Transactions on Fuzzy Systems</t>
  </si>
  <si>
    <t>10.1109/TFUZZ.2013.2297159</t>
  </si>
  <si>
    <t>2-s2.0-84937757896</t>
  </si>
  <si>
    <t>Alpha planes representation; edge detection; generalized type-2 fuzzy logic; image processing</t>
  </si>
  <si>
    <t>Approximation theory; Computer circuits; Edge detection; Fuzzy inference; Fuzzy systems; Image processing; Reconfigurable hardware; Alpha plane; Approximation methods; Defuzzifications; Edge detection methods; Fuzzy inference systems; Interval type-2 fuzzy; Morphological gradient; Type-2 fuzzy logic; Fuzzy logic</t>
  </si>
  <si>
    <t>R0339</t>
  </si>
  <si>
    <t>Enhancing Deepfake Detection: Leveraging StyleGAN3 for Robust AI-Generated Forgery Identification</t>
  </si>
  <si>
    <t>Hafezi M.; Shahra E.Q.; Basurra S.; Aneiba A.; Devey J.</t>
  </si>
  <si>
    <t>10.1109/ACCESS.2026.3680327</t>
  </si>
  <si>
    <t>2-s2.0-105034861093</t>
  </si>
  <si>
    <t>AI generation; deep learning; Deepfake; StyleGAN3</t>
  </si>
  <si>
    <t>Computer forensics; Convolutional neural networks; Deep neural networks; Digital storage; Fake detection; Forensic engineering; Identification (control systems); Image enhancement; Textures; AI generation; Deep learning; Deepfake; Detection system; Forensic analysis; Forgery identifications; Generative model; Integrity analysis; Stylegan3; Synthetic images; Economic and social effects</t>
  </si>
  <si>
    <t>R0340</t>
  </si>
  <si>
    <t>RTDRNet-lite: A lightweight real-time detection framework for robotic waste sorting</t>
  </si>
  <si>
    <t>Karim M.J.; Munir S.; Khandakar A.; Ahsan M.; Haider J.</t>
  </si>
  <si>
    <t>Waste Management</t>
  </si>
  <si>
    <t>10.1016/j.wasman.2025.115164</t>
  </si>
  <si>
    <t>2-s2.0-105017973403</t>
  </si>
  <si>
    <t>Graphical user interface; GUI; Inverse kinematics; Robotic arm 4 DoF; Stable diffusion model C2F block; Waste detection</t>
  </si>
  <si>
    <t>Artificial Intelligence; Recycling; Robotics; Waste Management; Degrees of freedom (mechanics); Intelligent robots; Inverse kinematics; Inverse problems; Object detection; Object recognition; Robotic arms; Screening; Sorting; Visualization; Waste management; 4 degrees of freedom; Detection framework; Diffusion model; Real- time; Real-time detection; Real-world; Robotic arm 4 4-degree-of-freedom; Stable diffusion model C2F block; Waste detection; Waste sorting; artificial intelligence; detection method; kinematics; real time; robotics; waste management; accuracy; algorithm; Article; artificial intelligence; computer model; conceptual framework; convolutional neural network; data visualization; decision making; diffusion; kinematics; machine learning; robotics; urbanization; validation study; waste management; procedures; recycling; Graphical user interfaces</t>
  </si>
  <si>
    <t>R0341</t>
  </si>
  <si>
    <t>Domain-specific face synthesis for video face recognition from a single sample per person</t>
  </si>
  <si>
    <t>Mokhayeri F.; Granger E.; Bilodeau G.-A.</t>
  </si>
  <si>
    <t>10.1109/TIFS.2018.2866295</t>
  </si>
  <si>
    <t>2-s2.0-85044377615</t>
  </si>
  <si>
    <t>3D face reconstruction; Face recognition; face synthesis; illumination transferring; single sample per person; sparse representation-based classification; video surveillance</t>
  </si>
  <si>
    <t>Cameras; Complex networks; Glossaries; Image reconstruction; Lighting; Personnel training; Robustness (control systems); Security systems; Three dimensional computer graphics; Video cameras; 3D face reconstruction; Face; Face synthesis; Single sample; Sparse representation based classifications; Video surveillance; Face recognition</t>
  </si>
  <si>
    <t>R0342</t>
  </si>
  <si>
    <t>LeafNST: an improved data augmentation method for classification of plant disease using object-based neural style transfer</t>
  </si>
  <si>
    <t>Khare O.; Mane S.; Kulkarni H.; Barve N.</t>
  </si>
  <si>
    <t>Discover Artificial Intelligence</t>
  </si>
  <si>
    <t>10.1007/s44163-024-00150-3</t>
  </si>
  <si>
    <t>2-s2.0-85199421072</t>
  </si>
  <si>
    <t>Convolutional neural networks; Data augmentation; Image processing; Neural style transfer; Object detection; Plant disease</t>
  </si>
  <si>
    <t>Classification (of information); Convolutional neural networks; Crops; Data handling; Deep learning; Food supply; Generative adversarial networks; Image enhancement; Augmentation methods; Convolutional neural network; Data augmentation; Data imbalance; Images processing; Neural style transfer; Object based; Objects detection; Objects-based; Plant disease; Object detection</t>
  </si>
  <si>
    <t>R0343</t>
  </si>
  <si>
    <t>An improved sobel edge detection method based on generalized type-2 fuzzy logic</t>
  </si>
  <si>
    <t>Gonzalez C.I.; Melin P.; Castro J.R.; Mendoza O.; Castillo O.</t>
  </si>
  <si>
    <t>Soft Computing</t>
  </si>
  <si>
    <t>10.1007/s00500-014-1541-0</t>
  </si>
  <si>
    <t>2-s2.0-84955718933</t>
  </si>
  <si>
    <t>Edge detection; General type-2 fuzzy logic system; Generalized type-2 fuzzy logic system; Image processing; Interval type-2 fuzzy logic system; α-planes</t>
  </si>
  <si>
    <t>Computer vision; Edge detection; Image processing; Computer vision system; Edge detection methods; Fuzzy logic system; General type-2 fuzzy; Interval type-2 fuzzy logic systems; Sobel edge detection; Type-2 fuzzy logic; Type-2 fuzzy logic system; Fuzzy logic</t>
  </si>
  <si>
    <t>R0344</t>
  </si>
  <si>
    <t>Enhancing Plant Disease Detection Using Attention-Augmented Residual Networks and Faster Region-Convolutional Networks</t>
  </si>
  <si>
    <t>Sathya K.; Balakrishnan A.; Baskaran P.; Kumar Ramamoorthy A.</t>
  </si>
  <si>
    <t>10.1109/ACCESS.2025.3551242</t>
  </si>
  <si>
    <t>2-s2.0-105001207938</t>
  </si>
  <si>
    <t>Attention-augmented residual networks (AARN); data augmentation; faster region-convolutional neural network (Faster-RCNN); generative adversarial networks (GANs); plant disease detection</t>
  </si>
  <si>
    <t>Convolutional neural networks; Adversarial networks; Attention-augmented residual network; Convolutional networks; Convolutional neural network; Data augmentation; Disease detection; Fast region-convolutional neural network; Generative adversarial network; Plant disease; Plant disease detection; Generative adversarial networks</t>
  </si>
  <si>
    <t>R0345</t>
  </si>
  <si>
    <t>Parameter agnostic stacked wavelet transformer for detecting singularities</t>
  </si>
  <si>
    <t>Agarwal A.; Vatsa M.; Singh R.; Ratha N.</t>
  </si>
  <si>
    <t>Information Fusion</t>
  </si>
  <si>
    <t>10.1016/j.inffus.2023.01.022</t>
  </si>
  <si>
    <t>2-s2.0-85149656471</t>
  </si>
  <si>
    <t>Adversarial robustness; Attack detection; Parameter agnostic classifier; Presentation attacks; Singularities</t>
  </si>
  <si>
    <t>Deep neural networks; Learning algorithms; Learning systems; Network architecture; Object recognition; Optical character recognition; Zero-day attack; Adversarial robustness; Attack detection; Machine learning algorithms; Parameter agnostic classifier; Performance; Presentation attack; Proposed architectures; Real world deployment; Singularity; Singularity detection; Face recognition</t>
  </si>
  <si>
    <t>R0346</t>
  </si>
  <si>
    <t>C2IDTL: Novel Click to Image Conversion Approach for Deep Transfer Learning in Click Fraud Detection on Digital Platforms</t>
  </si>
  <si>
    <t>Fernando C.; Walgampaya C.; Alawatugoda J.</t>
  </si>
  <si>
    <t>10.1109/ACCESS.2025.3571187</t>
  </si>
  <si>
    <t>2-s2.0-105005777895</t>
  </si>
  <si>
    <t>C2IDTL; click fraud; CNN; deep transfer learning (DTL); machine learning (ML)</t>
  </si>
  <si>
    <t>Deep learning; Electronic money; Feature Selection; Mobile commerce; Optical character recognition; Optical flows; Photointerpretation; Sales; Transfer learning; C2IDTL; Click fraud; Deep transfer learning; Fraud detection; Image conversion; Learning models; Machine-learning; Performance; Synthetic images; Transfer learning; Marketplaces</t>
  </si>
  <si>
    <t>R0347</t>
  </si>
  <si>
    <t>Pedestrian-Crossing Detection Enhanced by CyclicGAN-Based Loop Learning and Automatic Labeling</t>
  </si>
  <si>
    <t>Wang K.-C.; Meng C.-L.; Dow C.-R.; Lu B.</t>
  </si>
  <si>
    <t>10.3390/app15126459</t>
  </si>
  <si>
    <t>2-s2.0-105008888153</t>
  </si>
  <si>
    <t>automatic labeling; computer vision; loop learning; pedestrian; recognition; zebra crossing</t>
  </si>
  <si>
    <t>Automatic identification; Behavioral research; Crosswalks; Footbridges; Highway accidents; Image enhancement; Iterative methods; Labeling; Learning systems; Motor transportation; Pedestrian safety; Traffic control; Automatic labelling; Driver's behavior; F1 scores; Limited visibility; Loop learning; Pedestrian; Pedestrian crossing detection; Recognition; Synthetic images; Zebra crossing; Computer vision</t>
  </si>
  <si>
    <t>R0348</t>
  </si>
  <si>
    <t>High-resolution density assessment assisted by deep learning of Dendrophyllia cornigera (Lamarck, 1816) and Phakellia ventilabrum (Linnaeus, 1767) in rocky circalittoral shelf of Bay of Biscay</t>
  </si>
  <si>
    <t>Gayá-Vilar A.; Cobo A.; Abad-Uribarren A.; Rodríguez A.; Sierra S.; Clemente S.; Prado E.</t>
  </si>
  <si>
    <t>PeerJ</t>
  </si>
  <si>
    <t>10.7717/PEERJ.17080</t>
  </si>
  <si>
    <t>2-s2.0-85193794524</t>
  </si>
  <si>
    <t>Artificial intelligence; Habitat mapping; Natura 2000 network; Object detection model; Vulnerable marine ecosystem</t>
  </si>
  <si>
    <t>animal experiment; article; artificial intelligence; Bay of Biscay; benchmarking; controlled study; deep learning; density; female; habitat; marine environment; non invasive procedure; nonhuman; Spain</t>
  </si>
  <si>
    <t>R0349</t>
  </si>
  <si>
    <t>Preservative pixel-to-joint regression network for 3D hand pose estimation</t>
  </si>
  <si>
    <t>Tewolde T.T.; Manjotho A.A.; Niu Z.</t>
  </si>
  <si>
    <t>Applied Soft Computing</t>
  </si>
  <si>
    <t>10.1016/j.asoc.2026.115900</t>
  </si>
  <si>
    <t>2-s2.0-105046304900</t>
  </si>
  <si>
    <t>3D hand pose estimation; Human-computer interaction; Multiscale vision transformer; Virtual reality</t>
  </si>
  <si>
    <t>Human computer interaction; Image enhancement; Location; Palmprint recognition; Pixels; Regression analysis; 3D hand pose estimations; Computer interaction; Estimation models; Generalization capacity; Hand pose estimations; Heatmaps; Joint locations; Multiscale vision transformer; Post-processing; Spatial informations; Virtual reality</t>
  </si>
  <si>
    <t>R0350</t>
  </si>
  <si>
    <t>Paincontrol: identity-preserving pain expression transfer with generative diffusion models</t>
  </si>
  <si>
    <t>Zarghami Y.; Muzammil M.; Adeli V.; Reimer H.; Hadjistavropoulos T.; Taati B.</t>
  </si>
  <si>
    <t>BioMedical Engineering Online</t>
  </si>
  <si>
    <t>10.1186/s12938-026-01561-2</t>
  </si>
  <si>
    <t>2-s2.0-105040351578</t>
  </si>
  <si>
    <t>Diffusion; Facial Expression; Generative Artificial Intelligence; Humans; Image Processing, Computer-Assisted; Pain; Data accuracy; Large datasets; Privacy-preserving techniques; Action Unit; Automated pain detections; ControlNet; Detection models; Diffusion model; Expression data; Expression transfers; Facial Expressions; Facial landmark; Transfer method; diagnosis; diffusion; facial expression; generative artificial intelligence; human; image processing; pain; procedures; Population statistics</t>
  </si>
  <si>
    <t>R0351</t>
  </si>
  <si>
    <t>A test of three optical flow techniques-LCT, DAVE, and NAVE</t>
  </si>
  <si>
    <t>Chae J.; Sakurai T.</t>
  </si>
  <si>
    <t>Astrophysical Journal</t>
  </si>
  <si>
    <t>10.1086/592761</t>
  </si>
  <si>
    <t>2-s2.0-58149114892</t>
  </si>
  <si>
    <t>Atmospheric motions; Data analysis; Image processing; Methods; Subject headings; Sun; Techniques</t>
  </si>
  <si>
    <t>R0352</t>
  </si>
  <si>
    <t>A Hybrid Model for Alzheimer’s Disease Classification Based on Neural Network Architectures Enhanced by GAN Model</t>
  </si>
  <si>
    <t>Zine-Dine I.; Riffi J.; Fazazy K.E.; Batteoui I.E.; Mahraz M.A.; Tairi H.</t>
  </si>
  <si>
    <t>International Journal of Online and Biomedical Engineering</t>
  </si>
  <si>
    <t>10.3991/ijoe.v21i08.54363</t>
  </si>
  <si>
    <t>2-s2.0-105009901886</t>
  </si>
  <si>
    <t>Alzheimer’s disease (AD); generative adversarial networks (GANs); resnet50; VGG-16; vision transformers (ViTs)</t>
  </si>
  <si>
    <t>R0353</t>
  </si>
  <si>
    <t>VitiForge: a new procedural pipeline approach for grapevine disease identification under data scarcity</t>
  </si>
  <si>
    <t>Farinati Leite E.; Brizola Fontoura L.; de Freitas A.; Disconzi Dallegrave G.; Volpe de Freitas R.; Mello V.S.; Valiati J.F.</t>
  </si>
  <si>
    <t>10.3389/fpls.2025.1706973</t>
  </si>
  <si>
    <t>2-s2.0-105023664084</t>
  </si>
  <si>
    <t>convolutional neural network; deep learning; plant disease recognition; precision agriculture; synthetic data</t>
  </si>
  <si>
    <t>R0354</t>
  </si>
  <si>
    <t>OPTIMIZED EFFICIENTNET WITH GENETIC EXPRESS PROCESSING FOR ACCURATE LUNG DISEASE CLASSIFICATION</t>
  </si>
  <si>
    <t>Yellepeddi S.S.K.A.; Kuppusamy P.</t>
  </si>
  <si>
    <t>2-s2.0-85211125137</t>
  </si>
  <si>
    <t>Artificial Intelligence; Computed Tomography; COVID-19; Deep Learning; Genetic Express Processing; Optimization</t>
  </si>
  <si>
    <t>R0355</t>
  </si>
  <si>
    <t>Gastrointestinal endoscopic image style transfer using EndoStyle to improve artificial intelligence prediction models</t>
  </si>
  <si>
    <t>Troya J.; Kafetzis I.; Weber R.; Chiang Y.; Parayitam V.; Sodmann P.; Ziegler D.; Puppe F.; Nüchter A.; Meining A.; Hann A.</t>
  </si>
  <si>
    <t>10.1038/s41746-026-02693-4</t>
  </si>
  <si>
    <t>2-s2.0-105037907071</t>
  </si>
  <si>
    <t>Artificial intelligence; Endoscopy; Semantics; Video signal processing; Clinical environments; Endoscopic image; Gastrointestinal; Gastrointestinal endoscopies; Intelligence models; Polyp detection; Prediction modelling; Single processors; Transfer systems; Video processor; Article; artificial intelligence; colonoscopy; comparative study; controlled study; endoscopist; false negative result; false positive result; Frechet inception distance; gastrointestinal endoscopy; gastrointestinal polyposis; generative adversarial network; human; image analysis; image artifact; image processing; image quality; learned perceptual image patch similarity; predictive model; predictive value; sensitivity and specificity; validation process; Image enhancement</t>
  </si>
  <si>
    <t>R0356</t>
  </si>
  <si>
    <t>Tomato leaf disease detection and management using VARMAx-CNN-GAN integration</t>
  </si>
  <si>
    <t>Cheemaladinne V.; K. S.R.</t>
  </si>
  <si>
    <t>Journal of King Saud University - Science</t>
  </si>
  <si>
    <t>10.1016/j.jksus.2024.103340</t>
  </si>
  <si>
    <t>2-s2.0-85198395660</t>
  </si>
  <si>
    <t>Convolutional neural networks; Deep learning; Disease detection; Generative adversarial networks</t>
  </si>
  <si>
    <t>R0357</t>
  </si>
  <si>
    <t>Advances in AI-Generated Images and Videos</t>
  </si>
  <si>
    <t>Bougueffa H.; Keita M.; Hamidouche W.; Taleb-Ahmed A.; Liz-López H.; Martín A.; Camacho D.; Hadid A.</t>
  </si>
  <si>
    <t>International Journal of Interactive Multimedia and Artificial Intelligence</t>
  </si>
  <si>
    <t>10.9781/ijimai.2024.11.003</t>
  </si>
  <si>
    <t>2-s2.0-85212295183</t>
  </si>
  <si>
    <t>AI-Generated Content; Image Generation; Multimodal; Video Generation</t>
  </si>
  <si>
    <t>R0358</t>
  </si>
  <si>
    <t>Enhancing weed detection using UAV imagery and deep learning with weather-driven domain adaptation</t>
  </si>
  <si>
    <t>Xu B.; Werle R.; Chudzik G.; Zhang Z.</t>
  </si>
  <si>
    <t>10.1016/j.compag.2025.110673</t>
  </si>
  <si>
    <t>2-s2.0-105008543448</t>
  </si>
  <si>
    <t>CycleGAN; Deep learning; Precision agriculture; UAV; Weed segmentation</t>
  </si>
  <si>
    <t>Aircraft detection; Antennas; Herbicides; Image segmentation; Invasive weed optimization; Learning systems; Meteorology; Statistical tests; Textures; Weed control; Aerial vehicle; Condition; Cyclegan; Deep learning; Domain adaptation; Fundamental component; Precision Agriculture; Unmanned aerial vehicle; Weed detection; Weed segmentation; aerial survey; machine learning; precision agriculture; segmentation; soybean; unmanned vehicle; weed; Deep learning; Unmanned aerial vehicles (UAV)</t>
  </si>
  <si>
    <t>R0359</t>
  </si>
  <si>
    <t>A Parallel Teacher for Synthetic-to-Real Domain Adaptation of Traffic Object Detection</t>
  </si>
  <si>
    <t>Wang J.; Shen T.; Tian Y.; Wang Y.; Gou C.; Wang X.; Yao F.; Sun C.</t>
  </si>
  <si>
    <t>10.1109/TIV.2022.3197818</t>
  </si>
  <si>
    <t>2-s2.0-85136107489</t>
  </si>
  <si>
    <t>Computer vision; Teacher-student learning; Traffic object detection; Unsupervised Domain Adaptation</t>
  </si>
  <si>
    <t>Computer vision; Data mining; Domain Knowledge; Extraction; Iterative methods; Knowledge management; Large dataset; Object detection; Object recognition; Personnel training; Computational modelling; Domain adaptation; Features extraction; Objects detection; Student learning; Teacher-student learning; Teachers'; Traffic object detection; Traffic objects; Unsupervised domain adaptation; Feature extraction</t>
  </si>
  <si>
    <t>R0360</t>
  </si>
  <si>
    <t>Fast parabola detection using estimation of distribution algorithms</t>
  </si>
  <si>
    <t>Guerrero-Turrubiates J.D.J.; Cruz-Aceves I.; Ledesma S.; Sierra-Hernandez J.M.; Velasco J.; Avina-Cervantes J.G.; Avila-Garcia M.S.; Rostro-Gonzalez H.; Rojas-Laguna R.</t>
  </si>
  <si>
    <t>Computational and Mathematical Methods in Medicine</t>
  </si>
  <si>
    <t>10.1155/2017/6494390</t>
  </si>
  <si>
    <t>2-s2.0-85019726533</t>
  </si>
  <si>
    <t>Algorithms; Computer Simulation; Foot; Fundus Oculi; Humans; Image Interpretation, Computer-Assisted; Retina; Retinal Vessels; Signal Processing, Computer-Assisted; Software; Time Factors; Hough transforms; Medical applications; Comparative methods; Computational time; Estimation of distribution algorithms; Fitness functions; Generalized Hough transform; Hadamard products; Random boundaries; Synthetic images; experimental model; eye fundus; human; algorithm; computer assisted diagnosis; computer simulation; diagnostic imaging; foot; physiology; procedures; retina; retina blood vessel; signal processing; software; time factor; Medical imaging</t>
  </si>
  <si>
    <t>R0361</t>
  </si>
  <si>
    <t>Towards generalization for Caenorhabditis elegans detection</t>
  </si>
  <si>
    <t>Escobar-Benavides S.; García-Garví A.; Layana-Castro P.E.; Sánchez-Salmerón A.-J.</t>
  </si>
  <si>
    <t>Computational and Structural Biotechnology Journal</t>
  </si>
  <si>
    <t>10.1016/j.csbj.2023.09.039</t>
  </si>
  <si>
    <t>2-s2.0-85174357732</t>
  </si>
  <si>
    <t>C. elegans; Detection network; YOLO</t>
  </si>
  <si>
    <t>Diagnosis; Caenorhabditis elegans; Detection algorithm; Detection networks; Disease screening; Drug-screening; Generalisation; Image captures; Robust detection; Specific detection; YOLO; Article; automation; Caenorhabditis elegans; comparative study; controlled study; convolutional neural network; detection algorithm; Internet; learning; nonhuman; parasite identification; supervised machine learning; videorecording; worm; Neurodegenerative diseases</t>
  </si>
  <si>
    <t>R0362</t>
  </si>
  <si>
    <t>Constrained Online Cut-Paste for Object Detection</t>
  </si>
  <si>
    <t>Wang H.; Wang Q.; Zhang H.; Yang J.; Zuo W.</t>
  </si>
  <si>
    <t>10.1109/TCSVT.2020.3045978</t>
  </si>
  <si>
    <t>2-s2.0-85098758001</t>
  </si>
  <si>
    <t>contextual coherence; cut-paste; data augmentation; geometric consistency; Object detection; sample diversity</t>
  </si>
  <si>
    <t>Convolutional neural networks; Geometry; Image enhancement; Object recognition; Sampling; Background region; Data augmentation; Improving performance; PASCAL VOC datasets; Performance Gain; State of the art; Synthetic images; Training sample; Object detection</t>
  </si>
  <si>
    <t>R0363</t>
  </si>
  <si>
    <t>Advancing Alzheimer’s disease diagnosis: a hierarchical vision transformer classification framework with hybrid image processing and generative AI augmentation</t>
  </si>
  <si>
    <t>Eunaicy J.I.C.; Urmila T.S.; Jayapratha C.; Kumar J.N.A.; Jebaraj J.; GovindaPrabhu G.B.; Priya R.M.</t>
  </si>
  <si>
    <t>Iran Journal of Computer Science</t>
  </si>
  <si>
    <t>10.1007/s42044-025-00350-9</t>
  </si>
  <si>
    <t>2-s2.0-105018330824</t>
  </si>
  <si>
    <t>ADVision; Alzheimer’s disease; Grad-CAM; Hierarchical classification; OASIS dataset; StyleGAN2; Vision transformer</t>
  </si>
  <si>
    <t>R0364</t>
  </si>
  <si>
    <t>Posterior-calibrated causal circuits in variational autoencoders: why image-domain interpretability fails on tabular data</t>
  </si>
  <si>
    <t>Roy D.; Misra R.; Singh S.K.; Roy A.</t>
  </si>
  <si>
    <t>10.1007/s00521-026-12322-6</t>
  </si>
  <si>
    <t>2-s2.0-105046430007</t>
  </si>
  <si>
    <t>Causal effect strength; Causal interventions; Circuit analysis; Cross-modality transfer; Disentanglement; Mechanistic interpretability; Tabular data; Variational autoencoders</t>
  </si>
  <si>
    <t>Anomaly detection; Benchmarking; Commerce; Image reconstruction; Marketing; Network architecture; Timing circuits; Auto encoders; Causal effect strength; Causal intervention; Cross modality; Cross-modality transfer; Disentanglement; Interpretability; Mechanistic interpretability; Mechanistics; Tabular data; Variational autoencoder; Electric network analysis</t>
  </si>
  <si>
    <t>R0365</t>
  </si>
  <si>
    <t>AgriVision: A Benchmark Dataset for Advancing Real-World Robotic Vision in Densely Fruited Blueberry Crop</t>
  </si>
  <si>
    <t>Owais M.; Shafay M.; Zubair M.; Mohammed S.; Seneviratne L.; Hussain I.</t>
  </si>
  <si>
    <t>Scientific Data</t>
  </si>
  <si>
    <t>10.1038/s41597-025-06263-3</t>
  </si>
  <si>
    <t>2-s2.0-105026140635</t>
  </si>
  <si>
    <t>Agriculture; Algorithms; Benchmarking; Blueberry Plants; Fruit; Robotics; Supervised Machine Learning; agriculture; algorithm; benchmarking; fruit; procedures; robotics; supervised machine learning; Vaccinium</t>
  </si>
  <si>
    <t>R0366</t>
  </si>
  <si>
    <t>Deep leaf-bootstrapping generative adversarial network for structural image data augmentation</t>
  </si>
  <si>
    <t>Gao Y.; Kong B.; Mosalam K.M.</t>
  </si>
  <si>
    <t>10.1111/mice.12458</t>
  </si>
  <si>
    <t>2-s2.0-85069682915</t>
  </si>
  <si>
    <t>Damage detection; Deep learning; Engineering education; Metadata; Adversarial networks; Affine transformations; Computational resources; Computer experiment; Engineering problems; Generalization ability; Highly-correlated; Transfer learning; artificial neural network; bootstrapping; civil engineering; data set; image analysis; structural analysis; Image enhancement</t>
  </si>
  <si>
    <t>R0367</t>
  </si>
  <si>
    <t>Path-Integrated X-Ray Digital Image Correlation using Synthetic Reference Images</t>
  </si>
  <si>
    <t>Fayad S.S.; Jones E.M.C.; Winters C.</t>
  </si>
  <si>
    <t>Experimental Techniques</t>
  </si>
  <si>
    <t>10.1007/s40799-024-00707-y</t>
  </si>
  <si>
    <t>2-s2.0-85190130485</t>
  </si>
  <si>
    <t>Digital image correlation (DIC); Path-integrated images; Synthetic image generation; X-Rays</t>
  </si>
  <si>
    <t>Defects; Image enhancement; Object detection; Stereo image processing; Strain measurement; Correlation algorithm; Digital image correlation; Digital image correlations; Integrated images; Multiple objects; Path-integrated image; Reference image; Synthetic image generation; X-ray digital images; X-ray image; Image correlation</t>
  </si>
  <si>
    <t>R0368</t>
  </si>
  <si>
    <t>Synthetic data augmentation for surface defect detection and classification using deep learning</t>
  </si>
  <si>
    <t>Jain S.; Seth G.; Paruthi A.; Soni U.; Kumar G.</t>
  </si>
  <si>
    <t>Journal of Intelligent Manufacturing</t>
  </si>
  <si>
    <t>10.1007/s10845-020-01710-x</t>
  </si>
  <si>
    <t>2-s2.0-85096233994</t>
  </si>
  <si>
    <t>Classification; Convolutional neural network; Deep learning; Generative adversarial network; Surface defects</t>
  </si>
  <si>
    <t>Classification (of information); Convolutional neural networks; Hot rolled steel; Hot rolling; Large dataset; Network architecture; Surface defects; Classification accuracy; Classification algorithm; Generalization capability; Manufacturing applications; Northeastern University; Sensitivity and specificity; Surface defect detections; Vision based inspection; Deep learning</t>
  </si>
  <si>
    <t>R0369</t>
  </si>
  <si>
    <t>Pneumonia Detection Enhanced by Conditional Generative Adversarial Networks cGAN Addressing Class Imbalance with High Quality Synthetic Data</t>
  </si>
  <si>
    <t>Vijayalakshmi S.; Vijayasekaran G.; Vinoth K.P.; Ayub K.A.</t>
  </si>
  <si>
    <t>10.36548/jiip.2025.4.019</t>
  </si>
  <si>
    <t>2-s2.0-105026409647</t>
  </si>
  <si>
    <t>Attention Mechanisms; Chest X-ray Imaging; Conditional Generative Adversarial Networks (cGAN); Pneumonia Detection; Synthetic Image Validation</t>
  </si>
  <si>
    <t>R0370</t>
  </si>
  <si>
    <t>Synthetic Image Dataset Development for Vision-Based Construction Equipment Detection</t>
  </si>
  <si>
    <t>Lee J.G.; Hwang J.; Chi S.; Seo J.</t>
  </si>
  <si>
    <t>Journal of Computing in Civil Engineering</t>
  </si>
  <si>
    <t>10.1061/(ASCE)CP.1943-5487.0001035</t>
  </si>
  <si>
    <t>2-s2.0-85133278047</t>
  </si>
  <si>
    <t>Construction site monitoring; Deep learning; Synthetic images; Vision-based object detection</t>
  </si>
  <si>
    <t>Construction equipment; Convolutional neural networks; Deep learning; Excavation; Image enhancement; Object recognition; Construction site monitoring; Construction sites; Deep learning; Image datasets; Objects detection; Site monitoring; Synthetic images; Training image; Vision based; Vision-based object detection; Object detection</t>
  </si>
  <si>
    <t>R0371</t>
  </si>
  <si>
    <t>Unseen image generating domain-free networks for generalized zero-shot learning</t>
  </si>
  <si>
    <t>Kim H.; Lee J.; Byun H.</t>
  </si>
  <si>
    <t>10.1016/j.neucom.2020.05.043</t>
  </si>
  <si>
    <t>2-s2.0-85087281961</t>
  </si>
  <si>
    <t>Data bias; Extreme data bias; Generalized zero-shot learning; Generative adversarial networks; Unseen image generation</t>
  </si>
  <si>
    <t>Image segmentation; Adversarial networks; Data imbalance; Image translation; Improve performance; Shot detection; Spatial informations; State-of-the-art methods; Synthetic images; Agnostic; article; human; learning; Image enhancement</t>
  </si>
  <si>
    <t>R0372</t>
  </si>
  <si>
    <t>Diffusion models enable zero-shot pose estimation for lower-limb prosthetic users</t>
  </si>
  <si>
    <t>Zhou T.; Iskandar M.N.S.; Chiam K.-H.</t>
  </si>
  <si>
    <t>10.1371/journal.pdig.0000745</t>
  </si>
  <si>
    <t>2-s2.0-105001730517</t>
  </si>
  <si>
    <t>R0373</t>
  </si>
  <si>
    <t>Hybrid Deep Learning Algorithms for Predicting Nutrient Deficiencies in Paddy Crops using CNN and Super Resolution Generative Adversarial Neural Networks</t>
  </si>
  <si>
    <t>Prakash P.V.; Srivenkatesh M.</t>
  </si>
  <si>
    <t>International Journal of Intelligent Systems and Applications in Engineering</t>
  </si>
  <si>
    <t>2-s2.0-85185975669</t>
  </si>
  <si>
    <t>CNN; nutrient-deficient; PSNR; SRGAN; SSIM; synthetic</t>
  </si>
  <si>
    <t>R0374</t>
  </si>
  <si>
    <t>Synthetic Data Matters: Retraining With Geo-Typical Synthetic Labels for Building Detection</t>
  </si>
  <si>
    <t>Song S.; Tang Y.; Qin R.</t>
  </si>
  <si>
    <t>10.1109/TGRS.2025.3593864</t>
  </si>
  <si>
    <t>2-s2.0-105012451206</t>
  </si>
  <si>
    <t>Building segmentation; domain adaptation (DA); geo-specific information; remote sensing; synthetic dataset</t>
  </si>
  <si>
    <t>Buildings; Cost effectiveness; Deep learning; Geographic information systems; Image segmentation; Building detection; Building segmentation; Building types; Domain adaptation; Geo-specific information; Geographics; Remote-sensing; Specific information; Synthetic data; Synthetic datasets; adaptation; building; data set; image resolution; machine learning; remote sensing; segmentation; spatial data; urban planning; Remote sensing</t>
  </si>
  <si>
    <t>R0375</t>
  </si>
  <si>
    <t>Deep Learning Approaches for Fault Detection in Subsea Oil and Gas Pipelines: A Focus on Leak Detection Using Visual Data</t>
  </si>
  <si>
    <t>Silva V.F.D.; Netto T.A.; Ribeiro B.A.</t>
  </si>
  <si>
    <t>10.3390/jmse13091683</t>
  </si>
  <si>
    <t>2-s2.0-105017236976</t>
  </si>
  <si>
    <t>convolutional neural networks; deep learning; subsea pipeline leak detection; underwater image-based inspection; visual fault detection</t>
  </si>
  <si>
    <t>Automation; Computer vision; Convolutional neural networks; Deep neural networks; Leak detection; Pipelines; Remotely operated underwater vehicles; Rhenium compounds; Transfer learning; Underwater imaging; Convolutional neural network; Deep learning; Faults detection; Image-based; Leaks detections; Pipeline leaks; Sub-sea pipelines; Subseum pipeline leak detection; Underwater image-based inspection; Visual fault detection; Fault detection; Inspection</t>
  </si>
  <si>
    <t>R0376</t>
  </si>
  <si>
    <t>Reducing the Reality Gap Using Hybrid Data for Real-Time Autonomous Operations</t>
  </si>
  <si>
    <t>Yildirim S.; Rana Z.A.</t>
  </si>
  <si>
    <t>Mathematics</t>
  </si>
  <si>
    <t>10.3390/math11071696</t>
  </si>
  <si>
    <t>2-s2.0-85152787286</t>
  </si>
  <si>
    <t>ablation study; hybrid data; object detection; synthetic data</t>
  </si>
  <si>
    <t>R0377</t>
  </si>
  <si>
    <t>Optimized data augmentation for osteosarcoma detection in deep and lightweight networks</t>
  </si>
  <si>
    <t>Gouda W.; Tahir S.; Ali T.; Shahid A.</t>
  </si>
  <si>
    <t>Journal of Orthopaedics</t>
  </si>
  <si>
    <t>10.1016/j.jor.2025.12.013</t>
  </si>
  <si>
    <t>2-s2.0-105028862845</t>
  </si>
  <si>
    <t>Augmentation-based model optimization; H&amp;E image classification; Osteosarcoma histopathology; Tumor viability assessment</t>
  </si>
  <si>
    <t>eosin; hematoxylin; area under the curve; Article; artifact reduction; cancer diagnosis; child; classification; clinical article; cohort analysis; contrast enhancement; controlled study; deep learning; diagnostic accuracy; diagnostic test accuracy study; histopathology; human; human tissue; noise reduction; osteosarcoma; pilot study; receiver operating characteristic; reliability; sensitivity and specificity; standardization; transfer learning (machine learning)</t>
  </si>
  <si>
    <t>R0378</t>
  </si>
  <si>
    <t>Fruit quality and defect image classification with conditional GAN data augmentation</t>
  </si>
  <si>
    <t>Bird J.J.; Barnes C.M.; Manso L.J.; Ekárt A.; Faria D.R.</t>
  </si>
  <si>
    <t>Scientia Horticulturae</t>
  </si>
  <si>
    <t>10.1016/j.scienta.2021.110684</t>
  </si>
  <si>
    <t>2-s2.0-85118499419</t>
  </si>
  <si>
    <t>Convolutional neural networks; Cultivar; Data augmentation; Fruit quality; Generative adversarial networks; Image classification</t>
  </si>
  <si>
    <t>accuracy assessment; artificial ecosystem; artificial intelligence; data set; detection method; fruit; image analysis; image classification</t>
  </si>
  <si>
    <t>R0379</t>
  </si>
  <si>
    <t>Robust pollination for tomato farming using deep learning and visual servoing</t>
  </si>
  <si>
    <t>Singh R.; Seneviratne L.; Hussain I.</t>
  </si>
  <si>
    <t>Robotica</t>
  </si>
  <si>
    <t>10.1017/S0263574724001243</t>
  </si>
  <si>
    <t>2-s2.0-105003941243</t>
  </si>
  <si>
    <t>deep learning; greenhouse; pollination; universal robot; visual servoing</t>
  </si>
  <si>
    <t>Visual servoing; 3D camera; Deep learning; Depth information; Growing demand; Laboratory environment; Pollination; Synthetic images; Universal robot; Visual servo control; Visual-servoing; Fruits</t>
  </si>
  <si>
    <t>R0380</t>
  </si>
  <si>
    <t>ATR HarmoniSAR: A System for Enhancing Victim Detection in Robot-Assisted Disaster Scenarios</t>
  </si>
  <si>
    <t>Mahmud S.; Ahmed Fime A.; Kim J.-H.</t>
  </si>
  <si>
    <t>10.1109/ACCESS.2024.3514856</t>
  </si>
  <si>
    <t>2-s2.0-85212036059</t>
  </si>
  <si>
    <t>deep learning; emergency rescue; image harmonization; Poission equation; rescue mission; robot-Assisted response mission; victim detection</t>
  </si>
  <si>
    <t>Deep learning; Disaster prevention; Emergency services; Ethical aspects; Photointerpretation; Robot learning; Robots; Deep learning; Disaster scenario; Disaster-response; Emergency rescue; Harmonisation; Image harmonization; Poission equation; Rescue missions; Robot-assisted response mission; Victim detections; Poisson equation</t>
  </si>
  <si>
    <t>R0381</t>
  </si>
  <si>
    <t>Intraclass Image Augmentation for Defect Detection Using Generative Adversarial Neural Networks</t>
  </si>
  <si>
    <t>Sampath V.; Maurtua I.; Aguilar Martín J.J.; Iriondo A.; Lluvia I.; Aizpurua G.</t>
  </si>
  <si>
    <t>10.3390/s23041861</t>
  </si>
  <si>
    <t>2-s2.0-85148972522</t>
  </si>
  <si>
    <t>class imbalance; convolutional neural network; defect detection; GAN; image augmentation; limited data; synthetic images; transfer learning</t>
  </si>
  <si>
    <t>Generative adversarial networks; Neural network models; Surface defects; Transfer learning; Class imbalance; Convolutional neural network; Defect detection; Defect identification; Generative adversarial neural network; Image augmentation; Limited data; Neural-networks; Synthetic images; Transfer learning; article; artificial neural network; convolutional neural network; surface property; transfer of learning; Convolutional neural networks</t>
  </si>
  <si>
    <t>R0382</t>
  </si>
  <si>
    <t>Automatic Model-Based Dataset Generation for High-Level Vision Tasks of Autonomous Driving in Haze Weather</t>
  </si>
  <si>
    <t>Wang M.; Su T.; Chen S.; Yang W.; Liu J.; Wang Z.</t>
  </si>
  <si>
    <t>10.1109/TII.2022.3224958</t>
  </si>
  <si>
    <t>2-s2.0-85144072173</t>
  </si>
  <si>
    <t>Autonomous driving; haze; object detection; semantic segmentation; semisupervised learning; shared latent space; variational autoencoderâÂ€Â"generative adversarial network (VAEâÂ€Â"GAN)</t>
  </si>
  <si>
    <t>Autonomous vehicles; Computer vision; Generative adversarial networks; Object recognition; Semantic Segmentation; Semantics; Supervised learning; Auto encoders; Autonomous driving; Haze; High-level visions; Objects detection; Performance; Semantic segmentation; Semi-supervised learning; Shared latent space; Variational autoencoder-generative adversarial network; Object detection</t>
  </si>
  <si>
    <t>Reviewer</t>
  </si>
  <si>
    <t>Confidence</t>
  </si>
  <si>
    <t>Screening_Reason</t>
  </si>
  <si>
    <t>Generalization_Relevance</t>
  </si>
  <si>
    <t>Validation_Status</t>
  </si>
  <si>
    <t>Validator_Notes</t>
  </si>
  <si>
    <t>AI-assisted first-pass</t>
  </si>
  <si>
    <t>INCLUDE</t>
  </si>
  <si>
    <t>High</t>
  </si>
  <si>
    <t>Directly performs AI-generated image detection using CLIP-based visual representations and evaluates synthetic imagery from multiple sources. Although application-specific to shrimp imagery, it provides potentially relevant evidence concerning content/domain-specific detection and generalization.</t>
  </si>
  <si>
    <t>Moderate — domain-specific detector with mixed-generator evaluation; useful for examining whether methods generalize beyond constrained content domains.</t>
  </si>
  <si>
    <t>Validated</t>
  </si>
  <si>
    <t>Very High</t>
  </si>
  <si>
    <t>Direct AI-generated image detection method based on physical ISP inconsistencies. Training-free and explicitly independent of particular datasets and generative models, with extensive evaluation across 18 test sets.</t>
  </si>
  <si>
    <t>Very High — explicitly model-agnostic, dataset-independent and evaluated for generalization/open-world detection.</t>
  </si>
  <si>
    <t>Direct automated DeepFake detection study using GAN/CNN methods. GAN-based augmentation is explicitly investigated to improve robustness and generality. Although the study is face/deepfake-specific, this is not sufficient for exclusion at title/abstract screening because specialized detectors provide relevant evidence for assessing the limitations motivating generalized AI-generated-content detection.</t>
  </si>
  <si>
    <t>Moderate — improved generality is claimed, but the abstract does not establish rigorous unseen-generator or cross-domain evaluation. Full-text screening should determine the exact generalization protocol and whether improvements extend beyond the evaluated facial DeepFake setting.</t>
  </si>
  <si>
    <t>Retrieve full text. Verify datasets, generation methods, train/test separation, cross-generator or cross-dataset experiments, robustness protocol and whether claimed generality is empirically demonstrated.</t>
  </si>
  <si>
    <t>Directly differentiates AI-generated images from real photographs using transformer, CLIP, forensic and handcrafted features. Evaluated on multiple datasets, with cross-generator performance and robustness against real-world corruptions.</t>
  </si>
  <si>
    <t>Very High — explicit cross-generator evaluation plus blur, noise, compression and other corruption robustness.</t>
  </si>
  <si>
    <t>Direct synthetic-image detection study motivated by generator-specific artifact dependence and performance degradation on unseen generators. Proposes a CLIP-based multi-level representation approach.</t>
  </si>
  <si>
    <t>Very High — unseen-generator generalization is explicitly part of the study motivation and methodology.</t>
  </si>
  <si>
    <t>Direct AIGI detector using structural and contextual artifacts. Experiments cover 45 groups of GAN- and diffusion-generated images and include cross-dataset evaluation.</t>
  </si>
  <si>
    <t>Very High — diverse GAN/diffusion generators and explicit cross-dataset evaluation directly inform generalization.</t>
  </si>
  <si>
    <t>Direct AI-generated image detection study explicitly motivated by the need for generalizability across different generative models. Evaluates a classical-quantum hybrid representation architecture.</t>
  </si>
  <si>
    <t>Very High — generalizability across generative models is explicitly identified as a central objective.</t>
  </si>
  <si>
    <t>Directly proposes universal AI-generated image detection using multi-scale artifacts, feature disentanglement, spatial-frequency representations and contrastive learning.</t>
  </si>
  <si>
    <t>Very High — explicitly evaluates cross-generator and cross-scene generalization and targets universal representations.</t>
  </si>
  <si>
    <t>Direct artificial-image detection study using federated multi-attention learning. Introduces a diverse AI-generated image dataset and evaluates against existing benchmarks.</t>
  </si>
  <si>
    <t>Moderate — robustness is claimed and multiple datasets are involved, but explicit unseen-generator/generalization methodology is not sufficiently established by the abstract.</t>
  </si>
  <si>
    <t>Direct AI-generated image detector based on inter-patch dependencies. The study explicitly identifies poor cross-generative-model generalization as a limitation of existing detectors.</t>
  </si>
  <si>
    <t>Very High — explicitly targets detection across different generative models and reports generalization evaluation.</t>
  </si>
  <si>
    <t>EXCLUDE</t>
  </si>
  <si>
    <t>Although the abstract discusses GAN-generated images, deepfakes and digital forensics, the reported experiment uses CASIA v2, a conventional image-tampering/forgery benchmark. The abstract does not establish evaluation on genuinely AI-generated synthetic imagery.</t>
  </si>
  <si>
    <t>Low — reported ensemble generalization-error motivation does not establish generalization across generative models or AI-generated-image distributions.</t>
  </si>
  <si>
    <t>Directly critiques specialized AIGI detectors and proposes PoundNet to improve generalization while preserving pretrained knowledge. Evaluated across 10 large-scale public AIGI detection datasets.</t>
  </si>
  <si>
    <t>Very High — generalization is the central research problem and is evaluated across a particularly broad benchmark collection.</t>
  </si>
  <si>
    <t>Systematically investigates adversarial vulnerability of AIGI detectors under white-box and black-box settings and across heterogeneous detector architectures. Directly relevant to limitations of reliable universal detection.</t>
  </si>
  <si>
    <t>Very High — attacks transfer across detectors and generators and test cross-generator/compressed-image scenarios, providing important robustness evidence.</t>
  </si>
  <si>
    <t>Despite the title's synthetic-face framing, the abstract reports evaluation on contemporary GAN and diffusion-generated images and realistic OSN post-processing. The study therefore provides directly relevant synthetic-image robustness evidence rather than conventional face manipulation alone.</t>
  </si>
  <si>
    <t>Very High — tests different generative technologies and resilience to post-processing/compression representative of real-world distribution changes.</t>
  </si>
  <si>
    <t>Directly proposes an explainable and generalizable AI-generated image detection framework and introduces a heterogeneous real/synthetic dataset spanning multiple generators, platforms and image categories.</t>
  </si>
  <si>
    <t>Very High — explicitly addresses unseen methods, content variability, heterogeneous generators and generalizable detection.</t>
  </si>
  <si>
    <t>Direct automated DeepFake detection study using InceptionResNetV2 and stacked gated convolutional units. Poor generalization is explicitly identified as a motivation and GAN-generated synthetic faces are used to improve robustness. Face specificity alone does not justify exclusion because niche detector performance and limitations are relevant to the broader generalization problem.</t>
  </si>
  <si>
    <t>Moderate — generalization is explicitly discussed, but the abstract does not demonstrate cross-generator, unseen-generator or transferable synthetic-image evaluation.</t>
  </si>
  <si>
    <t>Retrieve full text. Verify whether generalization is experimentally tested rather than only discussed, including datasets, generators/manipulations, cross-dataset protocol and robustness evaluation.</t>
  </si>
  <si>
    <t>Direct GAN-generated image detector using high-frequency and PRNU residual representations. Explicitly evaluates generalizability and robustness through cross-category, cross-GAN and color-manipulation experiments.</t>
  </si>
  <si>
    <t>Very High — cross-GAN generalization and robustness are central experimental objectives.</t>
  </si>
  <si>
    <t>Direct generalized AIGI detector targeting periodic and local upsampling artifacts using dual complementary branches. Evaluated explicitly against unseen generation models.</t>
  </si>
  <si>
    <t>Very High — generalization to unseen generators is the central problem and evaluation setting.</t>
  </si>
  <si>
    <t>Although face-specific, this directly distinguishes GAN-generated from real imagery using semantic inter-eye inconsistencies and explicitly tests matched versus mismatched GAN conditions and post-processing robustness.</t>
  </si>
  <si>
    <t>Very High — unseen-GAN detection and post-processing robustness are explicitly evaluated, making it valuable evidence about semantic generalization despite the constrained face domain.</t>
  </si>
  <si>
    <t>Direct AI-generated satellite-image detector using spatial-frequency representations. Includes GAN- and diffusion-generated imagery and explicitly identifies cross-domain generalization as a problem.</t>
  </si>
  <si>
    <t>High — domain-specific, but directly relevant for testing whether generalization strategies hold under constrained satellite distributions and multiple generator families.</t>
  </si>
  <si>
    <t>Study concerns evolutionary optimization for 3D–2D radiographic image registration. The term synthetic images refers to experimental anatomical imagery rather than AI-generated-content detection.</t>
  </si>
  <si>
    <t>None — unrelated to AI-generated visual-content detection.</t>
  </si>
  <si>
    <t>Direct AIGI detector combining frequency and semantic features through discrepancy-aware learning. Explicitly designed to improve both generalization and robustness.</t>
  </si>
  <si>
    <t>Very High — reports cross-generator generalization improvement and robustness under multiple image degradations.</t>
  </si>
  <si>
    <t>Deepfake-framed study, but investigates content-agnostic spectral forensic cues claimed to persist across GANs and diffusion models and explicitly evaluates model-specific and cross-model detection. This extends beyond a narrowly generator-specific facial detector.</t>
  </si>
  <si>
    <t>Very High — cross-model and cross-dataset generalization using persistent spectral cues is directly relevant to the review's generalization objective.</t>
  </si>
  <si>
    <t>GANs are used to generate training images for plant-disease classification. The study detects plant diseases rather than detecting whether images are AI-generated.</t>
  </si>
  <si>
    <t>None — synthetic imagery is data augmentation, not the detection target.</t>
  </si>
  <si>
    <t>Highly relevant foundational synthetic-vs-photographic image forensics study, but publication year 2013 falls outside the predefined 2020–2026 primary-review period. It should not enter the PRISMA synthesis under the current protocol.</t>
  </si>
  <si>
    <t>Historically very relevant — explicitly discusses lack of a universal image characterization technique and benchmarks 13 forensic approaches. Retain separately as foundational/background literature.</t>
  </si>
  <si>
    <t>Direct AIGI detector combining CLIP semantic structure with forgery features while specifically avoiding source-domain collapse. Designed for detection of images from unseen generative models/frameworks.</t>
  </si>
  <si>
    <t>Very High — unseen-generator generalization across GAN and diffusion datasets is a core methodological objective.</t>
  </si>
  <si>
    <t>Deepfake/biometric-specific study, but explicitly evaluates whether classifier ensembles improve generalization across multiple deepfake image-generation methods, including emerging methods.</t>
  </si>
  <si>
    <t>High — constrained to biometric faces, but cross-generation-method generalization is directly investigated and potentially informative for universalization.</t>
  </si>
  <si>
    <t>Directly studies detection of synthetically generated face images, but with human rather than computational detectors. Provides empirical evidence on human detection capability and effects of specialized training.</t>
  </si>
  <si>
    <t>Moderate — not a computational generalization method, but relevant foundational evidence concerning detectability, human baselines and semantic/content cues.</t>
  </si>
  <si>
    <t>Direct AIGI detector incorporating uncertainty-aware rejection. Trained on Stable Diffusion and explicitly tested against multiple unseen GAN/diffusion generators, distribution shifts and adversarial attacks.</t>
  </si>
  <si>
    <t>Very High — unusually strong relevance to open-world deployment, unseen-generator uncertainty, distribution shift and adversarial robustness.</t>
  </si>
  <si>
    <t>EC13</t>
  </si>
  <si>
    <t>Highly relevant systematic review covering GAN-image detection, localization, datasets, spatial/frequency approaches, cross-domain generalization, robustness and research gaps. However, it is secondary research rather than a primary empirical detector/evaluation study and therefore does not belong in the primary evidence synthesis.</t>
  </si>
  <si>
    <t>Very High conceptually — directly synthesizes generalization across unseen GANs and robustness limitations, but does not itself constitute primary experimental evidence.</t>
  </si>
  <si>
    <t>Retain separately for background, terminology, taxonomy development, backward/forward snowballing and identification of potentially missed primary studies.</t>
  </si>
  <si>
    <t>Direct universal synthetic-image detector using reconstruction residuals as a proposed universal prior. Introduces UniversalForensics covering synthetic imagery from 30 generative models.</t>
  </si>
  <si>
    <t>Very High — universal detection across GAN and diffusion generators is the explicit research objective.</t>
  </si>
  <si>
    <t>Direct AIGI detector designed to overcome architecture-specific and single-domain representations through subpixel and spatial/frequency artifact modeling. Evaluated on 45 groups of GAN/diffusion synthetic images.</t>
  </si>
  <si>
    <t>Very High — explicit cross-dataset and cross-model evaluation against unseen generative models.</t>
  </si>
  <si>
    <t>Highly relevant overview of synthetic satellite-image generation and forensic detection, including techniques tailored to AI-generated content. However, it is a secondary overview rather than a primary empirical detector study and is therefore excluded from the primary evidence synthesis.</t>
  </si>
  <si>
    <t>High conceptually — useful evidence concerning domain-specific synthetic-image forensics, but it does not provide an independent primary detector experiment for synthesis.</t>
  </si>
  <si>
    <t>Retain separately as background/domain-specific context and use for backward/forward citation snowballing.</t>
  </si>
  <si>
    <t>Addresses source attribution rather than binary real-vs-AI detection, but performs AI-generated image forensics using generator fingerprints, spatial/frequency representations and robustness under distribution shifts/degradations. Falls within IC1's forensic-analysis/attribution scope.</t>
  </si>
  <si>
    <t>High — cross-domain forensic representations and degradation robustness are relevant to understanding transferable versus generator-specific fingerprints.</t>
  </si>
  <si>
    <t>Synthetic-image source-attribution framework explicitly designed for open-set operation with architectures absent from training. Evaluated across GAN, diffusion and transformer architectures.</t>
  </si>
  <si>
    <t>Very High — open-set architecture attribution and unknown-generator generalization are directly relevant to universal forensic representations.</t>
  </si>
  <si>
    <t>Study uses features inspired by Benford's law for no-reference image-quality assessment. Synthetic images are an image-quality category, not AI-generated content being authenticated or detected.</t>
  </si>
  <si>
    <t>None — does not perform synthetic-content detection or relevant forensic classification.</t>
  </si>
  <si>
    <t>Direct diffusion-generated image detection comparing CLIP/RoBERTa features and CNNs across Stable Diffusion and GLIDE. Explicitly reports asymmetric cross-generator behavior and content-dependent performance.</t>
  </si>
  <si>
    <t>Very High — particularly valuable evidence of failed/partial generalization across generators and image subjects.</t>
  </si>
  <si>
    <t>GANs are primarily used to generate synthetic forged patches that are embedded into clean images for conventional manipulation localization. The target is localization of manipulated regions rather than authentication of fully AI-generated imagery.</t>
  </si>
  <si>
    <t>Low — potentially useful adjacent interpretability work, but does not meaningfully address the review's synthetic-image detection/generalization objective.</t>
  </si>
  <si>
    <t>Direct automated detector of GAN-generated fake facial images. Although the abstract primarily reports benchmark performance and does not establish broad generalization, the prediction target itself is directly relevant to AI-generated-image detection. Specialized face detectors remain useful for evaluating the limitations that generalized approaches seek to overcome.</t>
  </si>
  <si>
    <t>Low-to-Moderate — no clear unseen-generator, cross-generator or cross-domain generalization experiment is established from the abstract.</t>
  </si>
  <si>
    <t>Retrieve full text. Determine generators, datasets, train/test protocol and whether any cross-generator, cross-dataset or robustness experiments are performed.</t>
  </si>
  <si>
    <t>Direct AIGI detector combining CLIP semantic features, wavelet frequency artifacts and Swin Transformer modeling. Reports high performance across diverse datasets.</t>
  </si>
  <si>
    <t>High — multi-domain representations and cross-dataset evaluation appear relevant, although the abstract provides less detail about unseen-generator protocol than stronger generalization studies.</t>
  </si>
  <si>
    <t>Directly addresses real-vs-AI-generated image verification and source tracing and introduces a large-scale dataset containing disaster imagery from 3,191 generative models. Benchmarks detector difficulty and source attribution.</t>
  </si>
  <si>
    <t>Very High — exceptionally diverse generator coverage, unseen-generator motivation and evidence concerning domain effects and the detection-attribution gap.</t>
  </si>
  <si>
    <t>Synthetic images are created as labeled training data for object detection. The target task is detecting small rigid objects rather than determining whether imagery is AI-generated.</t>
  </si>
  <si>
    <t>None — synthetic data are training augmentation rather than the forensic detection target.</t>
  </si>
  <si>
    <t>Medium-High</t>
  </si>
  <si>
    <t>Direct image-forensics study detecting fake faces using spatial and frequency-domain image-quality features. The study explicitly discusses AI-generated imagery and generalization, but the abstract mixes facial manipulation, image forgery and AI generation. The precise generation setting therefore requires full-text assessment rather than premature exclusion.</t>
  </si>
  <si>
    <t>Moderate/uncertain — potentially relevant generalizable forensic features are investigated, but it is unclear from the abstract whether experiments substantively evaluate GAN/AI-generated imagery and unseen generation conditions.</t>
  </si>
  <si>
    <t>Retrieve full text. Verify datasets, manipulation/generation methods, whether AI-generated images form a substantive evaluation category, and whether generalization is tested across datasets or forgery/generator types.</t>
  </si>
  <si>
    <t>Medical-image structure detection using synthetic test images. It neither detects AI-generated content nor falls within the review period.</t>
  </si>
  <si>
    <t>None.</t>
  </si>
  <si>
    <t>Investigates interaction between AI-generator fingerprints and physical-camera sensor fingerprints, including false positives and generator identification. Directly relevant to forensic assumptions used for distinguishing AI-generated and camera-captured imagery.</t>
  </si>
  <si>
    <t>Very High — reveals generator-fingerprint dependence on resolution and failure modes of physical-source forensic cues, directly informing universal detector design.</t>
  </si>
  <si>
    <t>Direct GAN/diffusion-generated image detector using reconstruction discrepancies, self-supervised invariant representations and frequency analysis. Evaluated on ForensicsImage and GenImage.</t>
  </si>
  <si>
    <t>Very High — explicit strong cross-dataset generalization with multiple GAN and diffusion sources.</t>
  </si>
  <si>
    <t>Directly targets performance degradation under out-of-domain generators and image scenes through purification of artifact-related features.</t>
  </si>
  <si>
    <t>Very High — explicit cross-generator and cross-scene experiments, including GenImage and DiffusionForensics. Central to the SLR objective.</t>
  </si>
  <si>
    <t>CGAN-generated dental images are used to augment training for forensic age estimation. The study does not detect whether images are AI-generated.</t>
  </si>
  <si>
    <t>Conventional motion-blur-based image tampering detection and localization rather than generative-AI image detection. It is also outside the predefined publication period.</t>
  </si>
  <si>
    <t>None for the primary synthesis.</t>
  </si>
  <si>
    <t>Measurement</t>
  </si>
  <si>
    <t>Detects fire objects. Synthetic images arise from data augmentation and are not the objects of authenticity detection.</t>
  </si>
  <si>
    <t>Direct synthetic-vs-natural image forensics under printing/scanning transformations. Demonstrates that existing synthetic-face detectors fail after physical print-scan processing.</t>
  </si>
  <si>
    <t>Very High — valuable robustness/failure evidence showing that transformations can erase synthetic traces and break detectors.</t>
  </si>
  <si>
    <t>Direct synthetic-image forensic attribution method designed explicitly for open-set recognition and rejection of samples from unknown architectures. Also evaluates image-processing robustness.</t>
  </si>
  <si>
    <t>Very High — open-set unknown-generator handling and robustness are directly relevant to universal forensic systems.</t>
  </si>
  <si>
    <t>Direct GAN-generated image detection using ViT, with augmentation and ablation studies. Although generalization experiments are not clearly described, it is an eligible empirical detector study and provides foundational architecture evidence.</t>
  </si>
  <si>
    <t>Moderate — claims robustness across diverse scenarios, but abstract does not establish strong cross-generator/unseen-generator evaluation.</t>
  </si>
  <si>
    <t>Direct synthetic-image detector using BLIP2/VLM representations and LoRA, specifically designed for unseen model-generated images.</t>
  </si>
  <si>
    <t>Very High — unknown diffusion generators, GAN transfer, noise robustness, cross-generator testing, open-world knowledge and zero-shot behavior are explicitly evaluated.</t>
  </si>
  <si>
    <t>Electronics</t>
  </si>
  <si>
    <t>Direct synthetic-image detector combining spatial and frequency representations for GAN/diffusion imagery. Ablations explicitly report contributions to robustness and generalization.</t>
  </si>
  <si>
    <t>High — generalization is reported, though the abstract gives less detail about cross-generator protocol than the strongest generalization studies.</t>
  </si>
  <si>
    <t>Direct diffusion-image detector based on physical camera-noise versus algorithmic residual statistics rather than semantic content.</t>
  </si>
  <si>
    <t>Very High — detector trained only on ADM reportedly transfers zero-shot to a wide range of unseen diffusion generators, directly testing transferable forensic cues.</t>
  </si>
  <si>
    <t>GAN-generated synthetic imagery augments training data for infrared target detection. Authenticity or origin of generated imagery is not the detection target.</t>
  </si>
  <si>
    <t>Direct generalizable synthetic-image detector that analyzes CLIP's representation hierarchy and explicitly seeks cross-artifact forensic representations.</t>
  </si>
  <si>
    <t>Very High — evaluates unseen data from more than 10 generators under single- and multi-generator training and explicitly targets artifact-invariant generalization.</t>
  </si>
  <si>
    <t>Direct forensic identification of AI-generated imagery from Craiyon V3 using several deep classifiers and likelihood-ratio evidence assessment. Narrowly generator-specific but empirically relevant.</t>
  </si>
  <si>
    <t>Low-to-Moderate — useful as a generator-specific counterpoint to universal methods and for examining limitations of narrowly trained detectors; no cross-generator evaluation is established.</t>
  </si>
  <si>
    <t>Direct AIGI detection based on features learned solely from camera-captured photographs through EXIF metadata, avoiding assumptions about particular generator internals.</t>
  </si>
  <si>
    <t>Very High — explicitly motivated by cross-model applicability and reports broad generator, in-the-wild and benign-perturbation generalization.</t>
  </si>
  <si>
    <t>Direct synthetic-image detector combining visual features, metadata, explainability, active learning and temporal adaptation. Empirical detection contribution is clearly within scope.</t>
  </si>
  <si>
    <t>Moderate-to-High — temporal retraining and multimodal information may inform adaptability, though explicit unseen-generator evaluation is not clear from the abstract.</t>
  </si>
  <si>
    <t>Direct automated facial DeepFake detector trained using diversified self-blending images, synthesis perturbations and residual information. Reports adaptability on FF++ and WildDeepfake. Although face-manipulation-specific, it directly addresses robustness of synthetic-media detection and should proceed to full-text eligibility assessment.</t>
  </si>
  <si>
    <t>Moderate-to-High — evaluation across FF++ and WildDeepfake suggests domain robustness, but the abstract does not establish whether this constitutes a clean cross-dataset/unseen-manipulation generalization experiment.</t>
  </si>
  <si>
    <t>Retrieve full text. Verify training dataset, held-out evaluation datasets, manipulation methods, cross-dataset protocol and whether WildDeepfake is genuinely unseen during training.</t>
  </si>
  <si>
    <t>Direct real-vs-synthetic and generator-family classification of medical imagery generated using multiple GAN and diffusion approaches. DSBN explicitly addresses distribution shifts between synthetic domains.</t>
  </si>
  <si>
    <t>High — domain-specific but compares generator-level/family-level representations and adaptation across GAN/diffusion families, useful for domain-generalization analysis.</t>
  </si>
  <si>
    <t>Direct AIGI detector integrating RGB, LBP and GLCM texture representations. Reports benchmark evaluation across multiple generative-model types.</t>
  </si>
  <si>
    <t>Very High — explicitly reports strong generalization across multiple generator types while emphasizing interpretable texture representations.</t>
  </si>
  <si>
    <t>Direct comparative AIGI detection study implementing PRNU, ELA and reconstruction-error methods on imagery from ADM, BigGAN, FLUX, Midjourney and Stable Diffusion.</t>
  </si>
  <si>
    <t>High — diverse GAN/diffusion/transformer-diffusion sources and multiple validation configurations can provide useful comparative generalization evidence, although exact protocols require full-text inspection.</t>
  </si>
  <si>
    <t>Direct AI-generated image detection using multiple ViT architectures in an interior-design domain. Although domain-specific, it provides empirical evidence about constrained AIGI detection and explicitly identifies cross-generator/style generalization as unresolved future work.</t>
  </si>
  <si>
    <t>Moderate — useful evidence of domain-specific detection and the generalization gap, but no actual unseen-generator/generalization experiment is reported.</t>
  </si>
  <si>
    <t>Although primarily framed as DeepFake image detection, the study additionally evaluates the detector on AI-generated images from ChatGPT and Gemini and reports successful detection, extending its empirical scope beyond its original deepfake setting.</t>
  </si>
  <si>
    <t>Very High — direct out-of-domain testing on ChatGPT- and Gemini-generated images provides relevant evidence concerning transfer beyond the original training distribution.</t>
  </si>
  <si>
    <t>Despite references to synthetic images and generalization, the actual task is pixel-level image manipulation localization using CASIA, COVERAGE, COLUMBIA and NIST16, which are conventional manipulation/forgery benchmarks. It does not establish detection of AI-generated images as the target task.</t>
  </si>
  <si>
    <t>Low — empirical evidence concerns conventional manipulation localization rather than AIGI detection.</t>
  </si>
  <si>
    <t>Directly investigates how diffusion-generated images can evade existing AI-image forensic detectors by removing frequency fingerprints and introducing adversarial perturbations. Tests evasion against multiple state-of-the-art detectors.</t>
  </si>
  <si>
    <t>Very High — cross-model evasion exposes dependence on fragile forensic fingerprints and is directly relevant to robustness limitations of universal detection systems.</t>
  </si>
  <si>
    <t>Directly investigates discrimination between authentic and synthetically generated facial imagery using learned image compression and image-quality characteristics. Although face-domain-specific, the task is synthetic-image authenticity detection rather than conventional manipulation localization.</t>
  </si>
  <si>
    <t>Moderate — provides evidence on compression/quality-based forensic representations, but the abstract does not establish unseen-generator or cross-domain generalization.</t>
  </si>
  <si>
    <t>Direct GAN-generated synthetic-face detector based on chrominance relationships. Explicitly evaluates practical robustness under common Online Social Network post-processing transformations.</t>
  </si>
  <si>
    <t>High — face-specific and primarily GAN-oriented, but robustness to realistic post-processing is directly relevant to deployment generalization and forensic-feature stability.</t>
  </si>
  <si>
    <t>Directly proposes a generalizable AIGI detector addressing semantic-content entanglement and authenticity-feature learning using CLIP-ViT, geometric decoupling and semantic anchoring.</t>
  </si>
  <si>
    <t>Very High — generalization is the explicit objective; evaluation spans UniversalFakeDetect, GenImage and AIGIBench and directly addresses content bias and transferable authenticity representations.</t>
  </si>
  <si>
    <t>Directly proposes a universal AIGI detector that does not require AI-generated images during training, instead using CLIP representations and processed real-image proxies.</t>
  </si>
  <si>
    <t>Very High — universal/generalizable detection is the central research objective, with a strategy specifically designed to avoid dependence on known generators during training.</t>
  </si>
  <si>
    <t>Detects and localizes conventionally spliced image regions created by combining portions of photographs. The term synthetic describes composite imagery rather than generative-AI output.</t>
  </si>
  <si>
    <t>None — empirical task is conventional splicing localization.</t>
  </si>
  <si>
    <t>Direct AIGI detector combining CLIP semantic features with gated frequency-domain artifacts. Specifically addresses degradation of artifact-based detectors under post-processing such as JPEG compression.</t>
  </si>
  <si>
    <t>Very High — explicitly evaluates both generalization and robustness and tests detector performance under JPEG compression on AIGCDetectBenchmark.</t>
  </si>
  <si>
    <t>Benchmark dataset and framework for continual AI-generated image detection</t>
  </si>
  <si>
    <t>Establishes a dedicated continual AIGI detection benchmark and framework addressing the failure of static detectors as new generators emerge. Includes binary detection, source attribution, continual learning, catastrophic forgetting and multiple replay constraints.</t>
  </si>
  <si>
    <t>Very High — directly tackles practical universalization by dynamically adapting detectors to newly emerging generators while preserving previously acquired detection capability.</t>
  </si>
  <si>
    <t>Direct AIGI detection framework integrating spatial, frequency and texture representations specifically to overcome model-specific detection and poor generalization. Evaluated on 18 test datasets.</t>
  </si>
  <si>
    <t>Very High — explicit generalized detection, robustness and previously unseen-dataset evaluation, including training with only 10% of ProGAN data.</t>
  </si>
  <si>
    <t>Directly detects GAN-generated synthetic/deepfake images and explicitly identifies failure to transfer between GAN architectures as the central problem. Proposes a Siamese triplet-loss approach as a generic solution.</t>
  </si>
  <si>
    <t>Very High — cross-GAN detection/generalization is explicitly the methodological motivation and directly relevant to generator-agnostic detection.</t>
  </si>
  <si>
    <t>Direct AI-generated image authenticity verification framework designed to address insufficient generalization using diffusion features, microscopic noise analysis and cross-attention semantic modeling.</t>
  </si>
  <si>
    <t>Very High — explicitly framed as cross-generator authenticity verification and evaluates degradation robustness on GenImage, directly matching the review objective.</t>
  </si>
  <si>
    <t>Deepfake-framed detector using color-space correlation and low-frequency spectral differences between AI-generated and camera images, with genetic-algorithm-based architecture search. Unlike conventional face-manipulation work, its stated forensic distinction explicitly concerns AI-generated versus camera imagery.</t>
  </si>
  <si>
    <t>High — robustness and generalization are explicit objectives and the proposed features target underlying AI-vs-camera differences, although the abstract does not clearly specify the cross-generator protocol.</t>
  </si>
  <si>
    <t>Direct GAN-generated image detection using a multi-model ensemble combining Gram-Net, ResNet50V2, DenseNet201 and co-occurrence representations. The empirical evaluation is clearly within synthetic-image detection scope, although it is primarily evaluated on StyleGAN imagery.</t>
  </si>
  <si>
    <t>Moderate — relevant detector architecture and ensemble evidence, but evaluation appears strongly StyleGAN-specific with no explicit unseen-generator or cross-generator testing in the abstract.</t>
  </si>
  <si>
    <t>Empirically evaluates multiple pretrained deepfake detectors using synthetic images generated by recent diffusion and autoregressive models, with emphasis on demographic fairness across age, ethnicity and gender. Although fairness rather than detector development is the primary objective, it directly evaluates AI-generated-image detection performance.</t>
  </si>
  <si>
    <t>High — cross-demographic testing, multiple pretrained detector checkpoints and modern diffusion/autoregressive synthetic images provide useful evidence on whether detector performance remains stable across content distributions.</t>
  </si>
  <si>
    <t>Direct synthetic-image detector explicitly designed to address cross-generator generalization and attack robustness by combining low-level statistical artifacts with high-level semantic inconsistencies.</t>
  </si>
  <si>
    <t>Very High — cross-generator generalization and robustness are the two stated research challenges, with the proposed LMBP representation explicitly intended as a universal real/fake fingerprint.</t>
  </si>
  <si>
    <t>Directly distinguishes authentic from GAN-generated facial/iris imagery after print-scan transformations using iris inconsistencies and Siamese networks. Evaluates synthetic images from ProGAN and StyleGAN under a challenging physical transformation scenario.</t>
  </si>
  <si>
    <t>High — domain-specific to faces/irises, but print-scan transformation provides valuable robustness evidence concerning whether generative artifacts survive real-world physical processing.</t>
  </si>
  <si>
    <t>Direct empirical comparison of multiple AIGI detection approaches categorized by their underlying image features. Uses ProGAN and latent-diffusion training data and evaluates across GAN, diffusion and transformer-generated imagery, including augmented images.</t>
  </si>
  <si>
    <t>Very High — explicitly compares generalization across generator families and demonstrates different transfer characteristics of artifact-based versus encoder-feature-based detectors.</t>
  </si>
  <si>
    <t>Introduces DFLIP-3K, containing approximately 800K synthetic images from 3,000 community checkpoints spanning 27 base architectures, and establishes binary AIGI detection, model identification and prompt-prediction benchmarks.</t>
  </si>
  <si>
    <t>Very High — extraordinary generator/checkpoint diversity makes the dataset highly relevant to evaluating scalable, architecture-diverse and next-generation generalized detection and attribution.</t>
  </si>
  <si>
    <t>Introduces the RealAI dataset specifically to challenge existing detectors with realistic AI-generated imagery, evaluates detector adaptability to unseen data and proposes Soft Label fine-tuning to improve adaptation while preserving pretrained knowledge.</t>
  </si>
  <si>
    <t>Very High — generalization to realistic unseen data is the central research question and the proposed adaptation strategy explicitly attempts to improve new-domain performance without sacrificing prior capabilities.</t>
  </si>
  <si>
    <t>Direct synthetic-image source-attribution study proposing training-free resynthesis for few-shot/zero-shot conditions. Also explicitly evaluates robustness to common post-processing operations and adversarial attacks.</t>
  </si>
  <si>
    <t>Very High — training-free/few-shot attribution, post-processing robustness and adversarial robustness directly address generalizable forensic operation under limited knowledge of generators.</t>
  </si>
  <si>
    <t>Direct AIGI detector combining spatial RGB and FFT frequency representations through parallel Vision Transformers. Trained on StyleGAN2 imagery and explicitly tested on unseen StyleGAN3-generated images.</t>
  </si>
  <si>
    <t>Very High — explicit train-on-StyleGAN2/test-on-unseen-StyleGAN3 experiment provides direct cross-generator generalization evidence, although within the StyleGAN family and facial domain.</t>
  </si>
  <si>
    <t>Directly addresses detector degradation as new generators emerge by proposing an efficient framework for updating existing AIGI detectors using representative sample selection and model merging while mitigating catastrophic forgetting.</t>
  </si>
  <si>
    <t>Very High — adaptation to unseen generators, data-efficient updating and preservation of previously learned knowledge are central requirements for practical universal detection.</t>
  </si>
  <si>
    <t>Proposes a three-stage continual-learning AIGI detection framework combining transferable offline detection, adaptation to unseen data streams and catastrophic-forgetting mitigation. Establishes a chronological benchmark of 27 GAN, deepfake and diffusion generators.</t>
  </si>
  <si>
    <t>Very High — explicitly addresses both unseen-generator generalization and continual adaptation to evolving generators, directly matching the review's universalization objective.</t>
  </si>
  <si>
    <t>Directly and strongly relevant to generalized AIGI detection, proposing HyperDet for adaptive multi-view forensic modeling across unseen generators. However, Scopus records the publication year as 2027, outside the predefined 2020–2026 review period.</t>
  </si>
  <si>
    <t>Very High — scientifically one of the most directly relevant records, but ineligible for the primary PRISMA corpus under the frozen publication-period criterion. Retain separately as post-cutoff/background literature.</t>
  </si>
  <si>
    <t>Digital-memory forensic study focused on extracting ChatGPT conversation objects and metadata from browser memory. Although AI-generated image metadata can be recovered, the study does not detect or authenticate AI-generated visual content itself.</t>
  </si>
  <si>
    <t>None — concerns application-memory artifact recovery rather than synthetic-content detection.</t>
  </si>
  <si>
    <t>Human-centric qualitative study of police perspectives on digital evidence and forensic investigations. AI-generated imagery is discussed as an emerging evidential challenge, but no AI-generated-content detector, forensic detection method or empirical detection evaluation is studied.</t>
  </si>
  <si>
    <t>None for detector generalization evidence; potentially useful contextual/background literature on operational consequences of synthetic media.</t>
  </si>
  <si>
    <t>Directly studies binary detection of text-to-image synthetic imagery and multiclass attribution to source generation models using ensemble deep learning and a custom DeepGuardDB dataset.</t>
  </si>
  <si>
    <t>Moderate-to-High — source attribution across multiple T2I models is relevant to generator-dependent forensic signatures, although explicit unseen-generator/generalization evaluation is not established in the abstract.</t>
  </si>
  <si>
    <t>Direct CLIP-based AIGI detector addressing information loss and overfitting through attention-guided cropping and selective FFN fine-tuning intended to preserve universal high-frequency artifacts.</t>
  </si>
  <si>
    <t>Very High — superior generalization is explicitly reported, and the method specifically attempts to avoid overfitting to generator-specific features.</t>
  </si>
  <si>
    <t>Direct general AIGI detection framework combining noise artifacts from low-texture regions with global and local semantic information while requiring only a small supervised training set.</t>
  </si>
  <si>
    <t>Very High — explicitly evaluates images from previously unseen generative models and targets robust representations under limited training data.</t>
  </si>
  <si>
    <t>Directly distinguishes authentic medical images from synthetic skin-cancer imagery generated using DCGAN, WGAN and Stable Diffusion. The task is clearly synthetic-image authentication despite being restricted to a medical domain.</t>
  </si>
  <si>
    <t>Moderate — multiple GAN and diffusion generators are represented, but the abstract does not demonstrate unseen-generator or cross-domain generalization. Useful as domain-specific evidence.</t>
  </si>
  <si>
    <t>Medium</t>
  </si>
  <si>
    <t>Directly distinguishes real photographs from deepfake and fully AI-generated imagery using CNN, transformer, frequency-domain and noise-residual features. The task is within scope, though the abstract provides limited detail about datasets, generator diversity and evaluation protocol.</t>
  </si>
  <si>
    <t>Low-to-Moderate — eligible empirical detector study, but no convincing cross-generator or unseen-generator generalization evidence is established from the abstract.</t>
  </si>
  <si>
    <t>Develops a unified real-vs-synthetic detector combining frequency, gradient and color-space forensic representations across GAN- and diffusion-generated imagery. Explicitly motivated by failure of GAN detectors on diffusion images.</t>
  </si>
  <si>
    <t>Very High — extensive experiments explicitly report generalization to previously unseen synthetic methods and directly address cross-paradigm GAN-to-diffusion detection.</t>
  </si>
  <si>
    <t>Directly investigates adversarial vulnerability of GAN-generated image detectors using a black-box anti-forensic attack that suppresses GAN fingerprints through imperceptible perturbations. Evaluated against three detectors and six GANs.</t>
  </si>
  <si>
    <t>Very High — cross-detector and multi-GAN attack effectiveness provides important evidence about fragility of generator fingerprints and robustness limitations of generalized detectors.</t>
  </si>
  <si>
    <t>GAN-generated pollen imagery is used for pretraining and data augmentation in pollen detection/classification. The task is recognizing pollen species rather than identifying whether images are AI-generated.</t>
  </si>
  <si>
    <t>None — synthetic images serve as training data rather than the forensic detection target.</t>
  </si>
  <si>
    <t>Comparative-radiography image-registration study using synthetic images to validate registration performance. It neither concerns generative-AI content detection nor falls within the predefined publication period.</t>
  </si>
  <si>
    <t>Direct diffusion-generated image detector using adversarially induced reconstruction-response discrepancies rather than static semantic or reconstruction-error features. Evaluated on multiple benchmarks.</t>
  </si>
  <si>
    <t>High — specifically attempts to overcome generator/post-processing sensitivity of reconstruction-based detectors. The abstract supports robustness motivation, though exact unseen-generator results require full-text assessment.</t>
  </si>
  <si>
    <t>Direct image-level forgery detection and localization study that explicitly states that features are extracted from AI-generated images. The abstract does not clarify whether evaluated samples are fully AI-generated images, generatively manipulated images or conventional digital forgeries, so full-text assessment is required.</t>
  </si>
  <si>
    <t>Moderate/uncertain — potentially relevant to AIGI detection and localization, but the exact generative-content setting and generalization protocol cannot be established from the abstract.</t>
  </si>
  <si>
    <t>Retrieve full text. Identify datasets, generators/manipulation methods, definition of forgery, proportion/type of AI-generated content and any cross-generator, cross-dataset or robustness evaluation.</t>
  </si>
  <si>
    <t>Direct AI-generated artwork detection framework combining dynamic frequency attention and contrastive spectral analysis. Evaluated on AI-ArtBench for both full-image and local-image detection, with explicit cross-model testing across different generation techniques.</t>
  </si>
  <si>
    <t>Very High — cross-model generalization is an explicit design objective and evaluation component, with stable performance reported across generation techniques. Particularly useful for assessing generalization beyond photorealistic imagery into artistic domains.</t>
  </si>
  <si>
    <t>AI-Generated Image Detection Method Integrating Light-Shadow Sensitive Features and Kolmogorov-Arnold Representation Theorem</t>
  </si>
  <si>
    <t>Direct AIGI detector motivated explicitly by poor generalization across generative models. L-KAN combines RGB semantics, frequency and edge cues with physically grounded illumination and shadow inconsistencies to identify synthetic imagery.</t>
  </si>
  <si>
    <t>High — the motivation directly concerns cross-generator generalization and the physically grounded illumination features could represent generator-independent cues. However, the abstract only reports evaluation on three public datasets without explicitly stating unseen-generator testing.</t>
  </si>
  <si>
    <t>Direct CNN-based real-vs-AI-generated image detection study. GAN imagery from different tasks and architectures is deliberately collected to improve generalization, with transfer learning and CAM-based interpretability incorporated into the detector.</t>
  </si>
  <si>
    <t>High — generator/task diversity is deliberately incorporated and performance is additionally reported on other datasets/configurations, although the abstract does not establish a rigorous leave-one-generator-out protocol.</t>
  </si>
  <si>
    <t>Proposes lightweight GADNet specifically to address the accuracy–generalization–efficiency trade-off in AIGI detection. Uses differential convolutions, gradient-aware enhancement and complex-region guidance to capture common generative artifacts.</t>
  </si>
  <si>
    <t>Very High — generalization and practical computational efficiency are central design objectives, and experiments across several datasets reportedly demonstrate both strong detection accuracy and generalization.</t>
  </si>
  <si>
    <t>Primary objective is generation and clinical evaluation of synthetic retinal fundus photographs using Pix2Pix. Although humans and three AI-image-detection websites are tested on distinguishing real from synthetic images, the paper neither proposes nor systematically develops an AI-generated-image detector.</t>
  </si>
  <si>
    <t>Low/None — the reported failure of generic AI detection websites on specialized synthetic medical imagery may be useful as contextual evidence of domain shift, but detection is ancillary rather than the paper's research objective.</t>
  </si>
  <si>
    <t>Evaluates an expert system for interpreting media-authentication evidence derived from file structure, attribute similarity, proprietary structural information and metadata. Although synthetic videos are included among evaluated media, the primary task is interpretation of authentication results rather than automated visual detection or generalization of AI-generated-content detectors.</t>
  </si>
  <si>
    <t>Low — potentially relevant to operational media authentication, but it does not directly investigate generator-level, visual-forensic or cross-generator generalization of AIGC detection.</t>
  </si>
  <si>
    <t>Excluded because the primary task falls outside the computational visual AI-generated-content detection scope.</t>
  </si>
  <si>
    <t>Direct AIGI detection framework motivated by poor performance on unknown/emerging generators. Combines global noise, texture and color representations through adaptive multi-scale feature fusion and evaluates on DFFD and CIFAKE.</t>
  </si>
  <si>
    <t>High — unknown-generator performance is an explicit motivating problem, but the abstract only reports benchmark performance and does not explicitly confirm an unseen-generator evaluation protocol.</t>
  </si>
  <si>
    <t>Direct AIGI detector combining local artifacts from texture-rich/poor patches with global CLIP-ViT semantic representations. Designed specifically to capture universal artifacts rather than domain-specific forensic cues.</t>
  </si>
  <si>
    <t>Very High — extensive benchmark experiments explicitly report strong cross-generator generalization, directly matching the review's focus on universal/generalizable detection.</t>
  </si>
  <si>
    <t>Direct synthetic-image forensic study reframing unseen generators and post-processing as an out-of-distribution recognition problem. Uses a Bayesian Neural Network to detect difficult/OOD cases and provide uncertainty estimates rather than blindly returning predictions.</t>
  </si>
  <si>
    <t>Very High — unseen generators, post-processing, distribution shift and reliable uncertainty are central to the study. Particularly important because it addresses recognizing detector failure rather than merely maximizing closed-set accuracy.</t>
  </si>
  <si>
    <t>Direct generative-fake-image detection method that removes dependence on correctly labelled training data through noisy-label pre-clustering, representation learning and cosine-similarity-based clustering. Also evaluates resistance to label-flipping attacks.</t>
  </si>
  <si>
    <t>Moderate — highly relevant alternative learning paradigm and robustness evidence, but the abstract does not explicitly establish cross-generator or unseen-generator generalization.</t>
  </si>
  <si>
    <t>Direct synthetic-image detector combining high-frequency residual preprocessing, spatial attention Transformers and Neural ODEs. Evaluated on a dataset covering 16 generative models and explicitly targets generalization across generators.</t>
  </si>
  <si>
    <t>Very High — broad 16-generator evaluation and explicit generalization objective make it highly relevant, although computational and memory requirements may limit practical universal deployment.</t>
  </si>
  <si>
    <t>Anti-forensic study directly attacking AIGI detectors through spatial- and frequency-domain adversarial perturbations. Extensive experiments evaluate attack transferability across multiple AIGI detectors.</t>
  </si>
  <si>
    <t>Very High — cross-model adversarial transferability exposes shared vulnerabilities across detectors and is directly relevant to robustness limits of universal AIGI detection systems.</t>
  </si>
  <si>
    <t>Direct AIGC image detector combining artifact-aware local modeling with efficient non-causal global reasoning. Experiments span GAN and diffusion datasets.</t>
  </si>
  <si>
    <t>Very High — explicitly reports strong generalization to unseen generators across GAN/diffusion settings while also addressing computational efficiency, making it highly aligned with scalable universal detection.</t>
  </si>
  <si>
    <t>Direct anti-forensic study developing a transferable stealth attack that suppresses generative artifacts to evade both individual and collaborative AIGI detection systems. Evaluated across eight GenImage generative subsets and fifteen detectors.</t>
  </si>
  <si>
    <t>Very High — broad generator and detector coverage directly probes whether purportedly universal forensic artifacts can be systematically removed, providing strong evidence about adversarial limitations of generalized detection.</t>
  </si>
  <si>
    <t>Empirically compares general-purpose and deepfake-specific forensic detection methods using a unified SAFL dataset containing real and synthetic multimedia generated by publicly available tools. Includes quantitative image and video detection evaluation.</t>
  </si>
  <si>
    <t>High — useful comparative evidence across different detector classes under a unified protocol. Generalization is not explicitly the primary objective, but heterogeneous tools and synthetic multimedia provide practical real-world detector comparison evidence.</t>
  </si>
  <si>
    <t>Proposes a multi-domain Transformer combining spatial, frequency and wavelet representations specifically to improve generalized detection of GAN- and diffusion-generated forged imagery.</t>
  </si>
  <si>
    <t>High — cross-model/generalization limitations motivate the architecture and both GAN and diffusion imagery are considered. However, explicit unseen-generator evaluation is not described in the abstract, so strength of generalization evidence requires full-text confirmation.</t>
  </si>
  <si>
    <t>Direct real-vs-AI-generated image classifier integrating ResNet-50 with Squeeze-and-Excitation attention and evaluated on CIFAKE. Reports strong classification metrics and limited overfitting.</t>
  </si>
  <si>
    <t>Low-to-Moderate — despite the abstract's claim of "strong generalization," evaluation appears centered on a single CIFAKE dataset. This should not be interpreted as convincing cross-generator generalization without additional full-text evidence.</t>
  </si>
  <si>
    <t>Direct synthetic/manipulated face detection method using adversarial ensemble learning with multiple generators and discriminators. Evaluated on FaceForensics against contemporary methods.</t>
  </si>
  <si>
    <t>Moderate — relevant early evidence on improving discrimination through adversarially generated hard examples, but strongly face-specific and does not clearly establish unseen-generator generalization.</t>
  </si>
  <si>
    <t>Uses synthetic imagery experimentally to investigate content bias in temporal image-age classification. Synthetic images are methodological controls rather than objects whose AI-generated origin is being detected.</t>
  </si>
  <si>
    <t>None — not an AI-generated-image detection study.</t>
  </si>
  <si>
    <t>Direct lightweight AIGI detection work introducing both CoDA and FakeForm, a ~370K-image benchmark spanning 62 domains for cross-model and cross-domain evaluation. Explicitly investigates the trade-off between detector generalization and efficiency.</t>
  </si>
  <si>
    <t>Very High — one of the strongest records for the review: directly evaluates both cross-generator/model and cross-domain robustness while proposing a compact 1.48M-parameter detector.</t>
  </si>
  <si>
    <t>Direct diffusion-image detector exploiting frequency artifacts in residual-image Fourier spectra. Explicitly motivated by the inability of GAN-oriented forensic methods to handle emerging diffusion models.</t>
  </si>
  <si>
    <t>Very High — explicitly reports generalization to unknown diffusion models and robustness under mild JPEG compression, directly addressing unseen-generator and post-processing conditions.</t>
  </si>
  <si>
    <t>Direct deepfake facial-image detection study comparing human performance with a hybrid CNN–Vision Transformer detector. The AI model is quantitatively evaluated using standard detection metrics and substantially outperforms human participants.</t>
  </si>
  <si>
    <t>Low-to-Moderate — valid detector evidence but apparently evaluated on the same facial dataset used for training/testing, with no explicit cross-generator, cross-dataset or unseen-manipulation generalization protocol in the abstract.</t>
  </si>
  <si>
    <t>Direct CLIP-based generalized AIGI detector combining LoRA adaptation, LAB/HSV auxiliary features and semantic concept learning. Evaluated across 20 AI-generated-image datasets.</t>
  </si>
  <si>
    <t>Very High — explicitly designed for cross-generation-model and cross-distribution generalization, with broad 20-dataset testing and particularly strong improvement on diffusion-generated images.</t>
  </si>
  <si>
    <t>Direct generalized AIGC detector combining quality-aware textual prompts with spatial and frequency forensic representations through QAFD/QGFA.</t>
  </si>
  <si>
    <t>Very High — explicitly evaluates generalization to unseen generative models across three datasets and robustness against common post-processing operations, closely matching the review's core criteria.</t>
  </si>
  <si>
    <t>Direct deepfake image detection using a Swin Transformer architecture. Quantitatively evaluated on CelebDF and FaceForensics++ with high reported accuracy and AUC.</t>
  </si>
  <si>
    <t>Moderate — multi-dataset evaluation is useful, but the abstract does not specify cross-dataset transfer or unseen-generator testing. Strong within-benchmark performance should therefore not be conflated with generalized detection.</t>
  </si>
  <si>
    <t>Direct deepfake-image detection framework combining Adaptive-DCGAN-generated training imagery with a lightweight CNN classifier. Relevant as a detection architecture and as an example of synthetic-data augmentation for improving detector performance and efficiency.</t>
  </si>
  <si>
    <t>Low-to-Moderate — generalization is identified as future work rather than convincingly demonstrated in the present study. Reported 95% performance should therefore not be treated as evidence of cross-generator or cross-dataset generalization.</t>
  </si>
  <si>
    <t>Direct AIGI detection framework explicitly motivated by the need for universal detection. MDFF combines diffusion-noise, color and spatial cues and incorporates post-processing/masking operations to improve robustness.</t>
  </si>
  <si>
    <t>Very High — explicitly targets poor cross-source generalization and reports robust generalization across mainstream GAN and diffusion generators as well as post-processing conditions. Directly aligned with universal detection.</t>
  </si>
  <si>
    <t>Unified AIGI forensic framework supporting detection, source attribution and pixel-level localization. Combines CLIP semantic evidence with low-level Haar-wavelet/Transformer traces through adaptive per-image fusion and adds natural-language forensic reporting.</t>
  </si>
  <si>
    <t>Very High — generator shift, post-processing and distribution change are explicit problems, with extended cross-dataset evaluation achieving 84.88% average accuracy. Particularly valuable for studying whether complementary semantic and forensic cues improve generalization.</t>
  </si>
  <si>
    <t>Adversarial Mixture of Experts Post-Training for Robust AI-Generated Image Detection</t>
  </si>
  <si>
    <t>Direct robustness study addressing adversarial vulnerability of AIGI detectors. Proposes a mixture-of-experts post-training defense that models attack-specific patterns while shared experts capture representations common across attacks.</t>
  </si>
  <si>
    <t>Very High — explicitly attempts generalization to unknown adversarial attacks and evaluates robustness on ProGAN and Stable Diffusion data against multiple attack methods. Important for the adversarial-robustness dimension of generalized detection.</t>
  </si>
  <si>
    <t>Direct diffusion-generated-image detector addressing poor transfer between diffusion architectures. TMask uses targeted masking and knowledge distillation to learn reconstruction patterns shared across multiple diffusion generators while reducing model size and computation.</t>
  </si>
  <si>
    <t>Very High within diffusion models — cross-model generalization is an explicit objective. However, it remains generator-family-specific, so its evidence should inform diffusion generalization rather than be treated as universal GAN-to-diffusion generalization.</t>
  </si>
  <si>
    <t>Direct AIGI detection study focused specifically on landscape imagery. Uses explainability analyses to identify texture-based cues and proposes a multimodal CNN combining RGB imagery with semantic segmentation masks.</t>
  </si>
  <si>
    <t>Low-to-Moderate — intentionally domain-specific to landscapes and Stable-Diffusion-based generation. Useful as evidence of content/domain dependence and semantic-structural detection, but not strong evidence for universal detection.</t>
  </si>
  <si>
    <t>Construction-site object detection study whose target is physical safety guardrails. Synthetic/augmented images are merely used to expand the training dataset and the study does not attempt to identify whether imagery is AI-generated.</t>
  </si>
  <si>
    <t>None — unrelated to AI-generated-content authenticity detection.</t>
  </si>
  <si>
    <t>Direct AIGI detector combining DWT and FFT frequency representations with reconstructed sliding-window attention to extract general forgery traces from complementary frequency perspectives.</t>
  </si>
  <si>
    <t>Very High — evaluated on diverse datasets covering 65 distinct generative models and explicitly reports generalized detection across both GAN and diffusion imagery. Exceptionally relevant to the universal/generalization objective.</t>
  </si>
  <si>
    <t>Direct AIGI detector designed to avoid generator-specific cues by combining intrinsic sensor-noise evidence with local pixel-intensity variation patterns. Targets more fundamental differences between camera and generated imagery.</t>
  </si>
  <si>
    <t>Very High — explicitly designed for unseen-generator generalization and robustness to post-processing. Particularly important because it seeks generator-independent camera/synthesis discrepancies rather than generator fingerprints.</t>
  </si>
  <si>
    <t>Direct AIGI detection framework combining micro/macro visual features, metadata and frequency descriptors with collaborative reasoning using fine-tuned Llama models. Explicitly considers post-edited and low-resolution imagery.</t>
  </si>
  <si>
    <t>High — reports improved generalization and robustness relative to VLM baselines, including difficult post-processing scenarios. Exact cross-generator/cross-dataset protocol is not stated in the abstract and should be verified at full-text stage.</t>
  </si>
  <si>
    <t>Reframes AIGI detection as an extensible domain-incremental learning problem so detectors can adapt as new generators appear. Uses content-agnostic forensic features, generator-domain alignment and knowledge distillation to reduce catastrophic forgetting.</t>
  </si>
  <si>
    <t>Very High — directly tackles a major limitation of static 'universal' detectors: future unseen generators. Particularly valuable for framing universalization as continual/extensible detection rather than one-time cross-generator generalization.</t>
  </si>
  <si>
    <t>Direct synthetic-image detector combining spatial texture regions with frequency-domain information and channel attention. Investigates common texture and spectral differences between authentic and generated imagery.</t>
  </si>
  <si>
    <t>Moderate-to-High — evaluation uses a comprehensive AIGI benchmark and common forensic differences are explicitly investigated, but the abstract does not establish unseen-generator or cross-dataset testing. Generalization claims require full-text confirmation.</t>
  </si>
  <si>
    <t>Comparative journal study evaluating CNN, ensemble and Vision Transformer architectures on 140,000 real/synthetic images with augmentation and explicit cross-dataset validation. Focuses on generalization, robustness and practicality rather than only within-dataset accuracy.</t>
  </si>
  <si>
    <t>Very High — cross-dataset validation on unknown datasets directly evaluates generalization. Useful comparative evidence because multiple architecture families are evaluated under the same framework rather than only proposing another detector.</t>
  </si>
  <si>
    <t>Direct synthetic-image detector using language-guided visual-language contrastive supervision to learn a forensic feature space intended to generalize beyond individual synthesis models.</t>
  </si>
  <si>
    <t>Very High — explicitly demonstrates improved generalization to unseen image-generation models across four datasets. Directly aligned with the core SLR research question.</t>
  </si>
  <si>
    <t>Direct general AIGI detection method addressing the realistic problem that large representative training sets from every generator may be unavailable. Combines LoRA-based forgery awareness with semantic-guided contrastive learning under few-shot conditions.</t>
  </si>
  <si>
    <t>Very High — explicitly treats generalizability as the primary requirement while achieving improved detection using only 0.56% of training samples. Important for evaluating whether universal detectors can generalize without exhaustive generator-specific training data.</t>
  </si>
  <si>
    <t>Highly relevant AIGI detection method proposing SEP to exploit generator artifacts in selected low-texture patches and reporting cross-generator testing on GenImage and AIGCBenchmark across 8 and 16 generators respectively. However, the Scopus record lists publication year 2027, placing it outside the predefined review period ending in 2026.</t>
  </si>
  <si>
    <t>Very High methodologically — explicit cross-generator generalization across two large benchmarks, but methodological relevance cannot override the predefined temporal eligibility criterion.</t>
  </si>
  <si>
    <t>Excluded solely because of publication-date eligibility. Record separately as a highly relevant post-cutoff study for future discussion/update of the review if appropriate.</t>
  </si>
  <si>
    <t>Direct generalized synthetic-image detection study explicitly searching for universal spatial artifacts shared across generative architectures. Proposes flatness-curvature masks to emphasize generator-independent texture properties.</t>
  </si>
  <si>
    <t>Very High — benchmark testing covers 38 GAN and diffusion models while training uses only four ProGAN classes, producing 87.2% mean accuracy. This train-narrow/test-broad design is especially strong evidence for cross-generator generalization.</t>
  </si>
  <si>
    <t>Direct diffusion-image detector that uses reconstruction behavior during diffusion inversion rather than conventional visible artifacts. Combines spatial discrepancies with latent diffusion-trajectory evolution.</t>
  </si>
  <si>
    <t>Very High within diffusion — explicitly evaluated on multiple unseen diffusion generators, achieving 90.29% average AUC without training-time knowledge of those generators. Strong evidence for cross-model generalization, though confined to the diffusion family.</t>
  </si>
  <si>
    <t>Earlier synthetic/deepfake-image forensic study introducing multi-scale wavelet-packet representations localized jointly in spatial and frequency domains. Provides both interpretable real/fake coefficient analysis and learned forensic classifiers.</t>
  </si>
  <si>
    <t>Moderate — evaluates several source-identification problems and FaceForensics++, but unseen-generator generalization is not clearly demonstrated. Valuable as a foundational frequency/multi-scale representation paper.</t>
  </si>
  <si>
    <t>Direct AI-generated-image forensic study focused on identifying the generative model responsible for an AI-generated image using reconstruct-and-compare and CLIP-derived semantic reconstruction. Although source attribution differs from binary real-vs-AI detection, generator-specific forensic signatures are directly relevant to understanding whether representations are generator-dependent or transferable.</t>
  </si>
  <si>
    <t>Moderate — primarily addresses model-level source attribution rather than universal binary detection, but its analysis of generator-specific signatures may provide important evidence concerning cross-generator separability and generalization.</t>
  </si>
  <si>
    <t>Retrieve full text. Determine whether binary real-vs-AI detection is also evaluated, whether unknown/unseen generators are tested, and how generator-specific versus shared forensic representations are characterized.</t>
  </si>
  <si>
    <t>Direct binary real-vs-generated image classification using a hybrid CNN-GNN architecture combining visual representations with nearest-neighbor relational information.</t>
  </si>
  <si>
    <t>Low — only 1,256 images are reported with a conventional 70/30 split and no explicit cross-generator/cross-dataset testing. The paper suggests potential generalizability, but the abstract does not demonstrate it. Useful as a contrast with genuinely generalization-oriented methods.</t>
  </si>
  <si>
    <t>Direct AIGI classifier introducing a patch-based Vision Transformer and benchmarking it against ResNet50. Uses CIFAKE with real CIFAR-10-derived imagery and synthetic images generated using Stable Diffusion 1.4.</t>
  </si>
  <si>
    <t>Low — evaluation is confined to CIFAKE/Stable Diffusion 1.4, with no evidence in the abstract of unseen-generator, cross-dataset or cross-domain testing. High closed-set accuracy should not be interpreted as universal detection performance.</t>
  </si>
  <si>
    <t>Introduces FakeCOCO with 247,954 images generated using twelve generation methods and formulates AIGI detection as domain-incremental learning. DDN uses prompt learning and domain-guided dual distillation to adapt detection as generator domains evolve.</t>
  </si>
  <si>
    <t>Very High — directly addresses emerging generation methods and limitations of static benchmarks. Particularly valuable for the SLR's universalization thesis because it treats detector evolution over time as part of generalization.</t>
  </si>
  <si>
    <t>Introduces semantic-level AIGI detection: rather than relying primarily on generator artifacts, RADAR uses multimodal reasoning to detect violations of world knowledge/common sense and provide localized textual explanations. Introduces STSF with semantic fakes from three diffusion models.</t>
  </si>
  <si>
    <t>High conceptually — proposes a potentially generator-agnostic detection dimension based on semantic implausibility and explicitly seeks improved generalization. However, the small 358-image, three-generator benchmark limits evidence for actual universal generalization.</t>
  </si>
  <si>
    <t>Systematic study of seven image representations/color spaces and multiple lightweight CNN backbones for AIGI detection, with 144 experimental runs and formal statistical testing. Useful for identifying whether alternative color representations provide stable forensic cues.</t>
  </si>
  <si>
    <t>Low — all reported experiments are on CIFAKE, so the very high 98.91% accuracy/AUC does not establish cross-generator or cross-dataset generalization. Useful methodological evidence but weak direct evidence for universal detection.</t>
  </si>
  <si>
    <t>Uses GAN-generated dermatoscopic images as synthetic data augmentation to improve skin-lesion classification. The downstream task is medical diagnosis/classification, not determining whether an input image is real or AI-generated.</t>
  </si>
  <si>
    <t>None — although GAN imagery and generalization/overfitting are discussed, the model is not an AI-generated-image detector.</t>
  </si>
  <si>
    <t>Uses synthetic imagery to train object-detection and reinforcement-learning systems for autonomous UAV following. Synthetic data are training inputs rather than the target of authenticity detection.</t>
  </si>
  <si>
    <t>None — sim-to-real generalization concerns autonomous vision and control, not generalization of AI-generated-image detection.</t>
  </si>
  <si>
    <t>Generates photorealistic synthetic industrial-defect imagery using Cinema 4D and Stable Diffusion to improve downstream object/defect detection. It does not classify imagery as real versus AI-generated.</t>
  </si>
  <si>
    <t>None — reported generalization concerns industrial defect detectors trained with synthetic augmentation, not synthetic-image forensic detection.</t>
  </si>
  <si>
    <t>Spacecraft pose-estimation study using synthetic imagery and sensor-noise augmentation to bridge the synthetic-to-real domain gap. The target task is ROI/keypoint regression and pose estimation.</t>
  </si>
  <si>
    <t>None — synthetic-to-real transfer is relevant only to spacecraft navigation, not detection of AI-generated content.</t>
  </si>
  <si>
    <t>JAMA Network Open</t>
  </si>
  <si>
    <t>Uses computer-simulated patients and synthetic medical imagery to evaluate imaging modalities in an in-silico clinical trial. It is neither generative-AI forensics nor synthetic-image authenticity detection.</t>
  </si>
  <si>
    <t>None — the paper's generalizability question concerns whether simulated clinical-trial findings transfer to real clinical trials.</t>
  </si>
  <si>
    <t>Domain-adaptation framework aligning synthetic and real construction imagery to improve YOLOv8-based construction progress monitoring. Synthetic imagery is used as training data.</t>
  </si>
  <si>
    <t>None — explicitly studies synthetic-to-real domain generalization, but for construction-object recognition rather than real-vs-AI image detection.</t>
  </si>
  <si>
    <t>Uses synthetically generated training images to alleviate data scarcity for industrial liquid-level recognition using a ViT/ResNet model.</t>
  </si>
  <si>
    <t>None — synthetic augmentation improves downstream industrial recognition; synthetic provenance itself is not detected.</t>
  </si>
  <si>
    <t>Image-forensics study detecting manipulated/forged images through inconsistencies in estimated illumination using a Phong reflection model. The evaluated forgery problem concerns conventional digital image manipulation rather than GAN-, diffusion- or generative-AI-produced imagery.</t>
  </si>
  <si>
    <t>Low-to-Moderate conceptual relevance as historical image forensics, but it does not provide evidence concerning detection or generalization of AI-generated visual content.</t>
  </si>
  <si>
    <t>Excluded from primary synthesis because the target forgery mechanism is conventional manipulation rather than AI-generated content. May be cited only as historical forensic context if required.</t>
  </si>
  <si>
    <t>Introduces a synthetic remote-sensing dataset for semantic segmentation, building extraction and change detection. The synthetic imagery is a dataset-generation mechanism rather than the object of forensic classification.</t>
  </si>
  <si>
    <t>None — cross-domain synthetic-to-real testing concerns remote-sensing algorithms, not AI-generated-image detection.</t>
  </si>
  <si>
    <t>Uses text-to-image GenAI to create photovoltaic images and aligned masks for training PV segmentation systems. Despite directly using modern generative AI, the task is segmentation rather than generated-image detection.</t>
  </si>
  <si>
    <t>None — cross-region validation demonstrates generalization of PV segmentation aided by synthetic data, not generalization of AIGI detectors.</t>
  </si>
  <si>
    <t>ViTGAN generates synthetic skin-lesion imagery to balance medical classes, after which ViT performs lesion classification. Synthetic images are deliberately created as augmentation rather than detected as synthetic.</t>
  </si>
  <si>
    <t>None — no real-vs-AI forensic task or unseen-generator evaluation.</t>
  </si>
  <si>
    <t>Medical Monkeypox classifier using MixUp, CutMix and GAN-generated images to improve dataset diversity and diagnostic performance.</t>
  </si>
  <si>
    <t>None — its robustness/generalization objective applies to Monkeypox diagnosis, not synthetic-image provenance detection.</t>
  </si>
  <si>
    <t>Low-light image-enhancement framework. Synthetic images appear only in discussion of limitations of prior training datasets; this work instead constructs real low/normal-light pairs.</t>
  </si>
  <si>
    <t>None — generalization concerns low-light enhancement in real scenes, unrelated to AI-generated-image detection.</t>
  </si>
  <si>
    <t>Advances in video and image security research in the era of large models</t>
  </si>
  <si>
    <t>Broad review of image/video security in the large-model era covering GAN/diffusion generation risks and detection using artifacts, frequency characteristics, temporal consistency and semantic coherence. It directly identifies generalizable DeepFake detection against evolving generators as an open challenge but does not constitute a primary empirical detector study.</t>
  </si>
  <si>
    <t>Very High conceptually — directly frames generalizable AI-generated-content detection as an unresolved research problem, but provides secondary rather than primary experimental evidence.</t>
  </si>
  <si>
    <t>Retain separately for background, research-gap formulation, taxonomy development and citation snowballing.</t>
  </si>
  <si>
    <t>Diffusion-generated polyp images augment YOLOv9 training for colorectal-polyp detection. External validation evaluates the medical detector rather than whether synthetic images can themselves be recognized.</t>
  </si>
  <si>
    <t>None — cross-dataset generalization is demonstrated, but for polyp detection. It must not be conflated with generalizable AI-generated-image detection.</t>
  </si>
  <si>
    <t>Introduces synthetic visual stimuli and corresponding fMRI responses to enable OOD testing of computational models of human vision.</t>
  </si>
  <si>
    <t>None — OOD generalization is central, but the models predict/represent neural visual processing rather than synthetic-image authenticity.</t>
  </si>
  <si>
    <t>Neural implementation of the Hough transform for line and object detection. Synthetic images are simply experimental data for straight-line detection.</t>
  </si>
  <si>
    <t>None — unrelated to generated-image forensics.</t>
  </si>
  <si>
    <t>Compares GAN architectures for generating synthetic fundus images and uses them to improve AMD classification, including external validation. Clinicians' inability to distinguish generated from real images evaluates synthetic-image realism rather than an automated forensic detector.</t>
  </si>
  <si>
    <t>None for the SLR's detector-generalization question — the demonstrated generalization is AMD diagnostic generalization. The human real/synthetic discrimination result may be contextual evidence about generation realism but does not make this a detection study.</t>
  </si>
  <si>
    <t>Combines Unreal Engine synthetic railway scenes with real images to train a multi-hazard object detector.</t>
  </si>
  <si>
    <t>None — generalization refers to railway hazard detection and not identifying synthetic imagery.</t>
  </si>
  <si>
    <t>DCGAN-generated CT samples augment training of a lung-cancer segmentation architecture. The generative component addresses limited annotated medical data.</t>
  </si>
  <si>
    <t>None — no image-authenticity or generated-image detection task.</t>
  </si>
  <si>
    <t>Uses realistic synthetic construction imagery and real imagery to train and evaluate MEP component detection/segmentation.</t>
  </si>
  <si>
    <t>None — synthetic data improve downstream recognition under challenging indoor conditions; provenance detection is absent.</t>
  </si>
  <si>
    <t>Studies whether image-quality metrics such as SSIM and CW-SSIM can predict sim-to-real transfer performance of vision models trained on synthetic imagery. Although it directly compares synthetic and real image characteristics, its target is transferability prediction rather than real-vs-generated classification.</t>
  </si>
  <si>
    <t>Low conceptual relevance — synthetic/real visual differences and transfer are investigated, but no AI-generated-image forensic detector is proposed or evaluated.</t>
  </si>
  <si>
    <t>Creates synthetic oil-spill imagery and trains YOLOv11 segmentation for marine monitoring. Synthetic-image realism/diversity supports the downstream task.</t>
  </si>
  <si>
    <t>None — claimed generalization is oil-spill segmentation performance, not AIGI detection.</t>
  </si>
  <si>
    <t>Uses synthetic violent imagery to generate weak labels and develops automated bounding-box labelling for violence-detection datasets, subsequently testing on real-world violence data.</t>
  </si>
  <si>
    <t>None — the reported generalization power concerns violence labels transferring from synthetic to real-world data, not identifying AI-generated images.</t>
  </si>
  <si>
    <t>Generates images from Weibo text and fuses the resulting visual information with textual features for multimodal sentiment analysis. Synthetic imagery functions as an auxiliary representation.</t>
  </si>
  <si>
    <t>None — improved generalization concerns sentiment analysis, not detection of synthesized images.</t>
  </si>
  <si>
    <t>Uses 2,271 synthetic images combined with real field images to train a Tiny-YOLOv3-based weed/crop detector. The synthetic images are training augmentation for agricultural object detection, not targets for authenticity classification.</t>
  </si>
  <si>
    <t>None — improved generalization across fields/environments concerns weed detection, not AI-generated-image detection.</t>
  </si>
  <si>
    <t>DCGAN generates synthetic/fake chest X-rays to augment four medical datasets and improve CNN classification of normal, pneumonia and COVID-19 cases.</t>
  </si>
  <si>
    <t>None — the stated “generalization effect” refers to medical classification from GAN-augmented training data, not distinguishing generated from authentic images.</t>
  </si>
  <si>
    <t>Handwritten chemical-formula recognition framework using YOLOv11 and rule-based correction. Synthetic handwritten images increase diversity in a generalization evaluation dataset.</t>
  </si>
  <si>
    <t>None — evaluates generalization of handwriting/formula recognition, not synthetic-image provenance detection.</t>
  </si>
  <si>
    <t>YOLO11 detects oral squamous cell carcinoma lesions. “Synthetic images” are conventional augmentation through rotation, scale and noise injection rather than AI-generated imagery requiring detection.</t>
  </si>
  <si>
    <t>None — discussion of limited generalizability concerns oral-cancer diagnosis from a small single-institution dataset.</t>
  </si>
  <si>
    <t>Proposes an l1-minimization template-matching algorithm for hyperspectral classification and target detection, evaluated on synthetic and real HSI data.</t>
  </si>
  <si>
    <t>None — “detection” means hyperspectral target detection; there is no generative-AI or authenticity task.</t>
  </si>
  <si>
    <t>PhysGAN-Det generates multi-angle synthetic SAR imagery as data augmentation to improve cross-angle target detection and recognition.</t>
  </si>
  <si>
    <t>None — cross-angle generalization belongs to SAR target detection. Generated imagery is an input augmentation resource rather than the object being detected.</t>
  </si>
  <si>
    <t>HDNet performs salient-object detection under low-light conditions and is trained/evaluated using synthetic and real low-light datasets.</t>
  </si>
  <si>
    <t>None — reported generalization is across low-light salient-object datasets/videos, unrelated to identifying synthetic imagery.</t>
  </si>
  <si>
    <t>Crack-MUNIT synthesizes underwater-style crack images, which are then used in pretraining/fine-tuning to improve crack segmentation.</t>
  </si>
  <si>
    <t>None — “generalized underwater crack detection” and semantic-segmentation generalization refer to the downstream inspection model, not detection of generated imagery.</t>
  </si>
  <si>
    <t>Applied Sciences</t>
  </si>
  <si>
    <t>Directly uses FLUX.1-generated imagery, but solely as synthetic training data for YOLOv9 chicken detection in poultry farming.</t>
  </si>
  <si>
    <t>None — despite modern text-to-image generation being involved, the classifier does not determine whether an image is real or FLUX-generated. Generalization refers to poultry detection.</t>
  </si>
  <si>
    <t>Directly studies human discrimination between real and AI-generated facial images using comparative judgments and Contextuality-by-Default theory. However, the detector is human perception rather than an automated computational AI-generated-content detection method, placing it outside the primary computational detector evidence set.</t>
  </si>
  <si>
    <t>High conceptual relevance to human detectability of synthetic imagery, but it provides no evidence concerning computational detector architectures or cross-generator model generalization.</t>
  </si>
  <si>
    <t>Retain only as optional contextual/human-baseline literature if the discussion compares automated detection with human ability. Do not include in primary computational detector synthesis.</t>
  </si>
  <si>
    <t>Generates synthetic faces through identity-attribute disentanglement to augment heterogeneous face-recognition training across visible/NIR domains.</t>
  </si>
  <si>
    <t>None — despite publication in an image-forensics venue and use of face synthesis, the target task is identity recognition rather than generated-face detection.</t>
  </si>
  <si>
    <t>Introduces synthetic spectral-CT image generation to train material-decomposition networks subsequently tested on real SPCCT imagery.</t>
  </si>
  <si>
    <t>None — synthetic-to-real validation concerns CT material decomposition/identification rather than image provenance.</t>
  </si>
  <si>
    <t>CycleGAN reconstructs snow-covered Sentinel-2 scenes as synthetic snow-free optical imagery, evaluated using SSIM, Q and PSNR against real snow-free images.</t>
  </si>
  <si>
    <t>None — evaluates generation/reconstruction quality rather than whether a forensic detector can distinguish GAN-generated from real satellite imagery.</t>
  </si>
  <si>
    <t>CGAN generates synthetic COVID-19 chest X-rays to address dataset scarcity and overfitting, after which a deep model performs disease detection.</t>
  </si>
  <si>
    <t>None — “generalizable” predictions concern COVID-19 diagnosis; no real-vs-synthetic detector is evaluated.</t>
  </si>
  <si>
    <t>GAN-generated histopathological images augment ResNet training for malignant-versus-benign breast-cancer classification.</t>
  </si>
  <si>
    <t>None — GAN discrimination is incorporated into a medical classification pipeline, but generated-image authenticity is not the target label.</t>
  </si>
  <si>
    <t>Combines conventional augmentation, GAN-generated images and domain-specific augmentation to improve thyroid-cancer classification and segmentation.</t>
  </si>
  <si>
    <t>None — reported 10–15-point generalization improvements concern medical diagnosis/segmentation rather than generated-image detection.</t>
  </si>
  <si>
    <t>An Efficient Hybrid Framework for Weld Defect Detection Using GAN, CNN and XGBoost</t>
  </si>
  <si>
    <t>DCGAN creates minority-class synthetic weld images; CNN features and XGBoost then classify weld defects, with Grad-CAM/SHAP for interpretability.</t>
  </si>
  <si>
    <t>None — “detection” means industrial defect classification. Generated images are augmentation data, not forensic targets.</t>
  </si>
  <si>
    <t>CNN predicts the existence/number of salient objects and uses synthetic imagery to improve training.</t>
  </si>
  <si>
    <t>None — reported generalizability concerns salient-object subitizing/detection and image retrieval, not generated-image provenance.</t>
  </si>
  <si>
    <t>Synthetic composite road scenes are used for pretraining before fine-tuning on real CCTV data for vehicle detection, tracking, classification and counting.</t>
  </si>
  <si>
    <t>None — blind real-world evaluation assesses vehicle-monitoring generalization rather than synthetic-image detection.</t>
  </si>
  <si>
    <t>StyleGAN2 generates synthetic retinal images primarily for diagnostic augmentation. Although four ophthalmologists perform a Visual Turing Test distinguishing synthetic from real images, this experiment is ancillary to the paper's primary objective of evaluating synthetic-data utility for inherited-retinal-disease gene diagnosis.</t>
  </si>
  <si>
    <t>Moderate conceptual relevance because it contains human real-vs-synthetic discrimination, but it does not evaluate an automated AIGC detector or detector generalization.</t>
  </si>
  <si>
    <t>Excluded because synthetic imagery is primarily augmentation for a medical downstream task and the only authenticity experiment is an ancillary human-perception test.</t>
  </si>
  <si>
    <t>Converts network-flow traffic into synthetic images for visual representation learning and DDoS intrusion detection. These are representations of cybersecurity data rather than AI-generated visual content whose provenance is being assessed.</t>
  </si>
  <si>
    <t>None — robust generalization/transferability concerns network intrusion and protocol classification.</t>
  </si>
  <si>
    <t>GAN translates visible imagery into synthetic SWIR images to create labeled training data for marine ship detection.</t>
  </si>
  <si>
    <t>None — discriminator/adversarial loss trains the generator; it is not a forensic real-vs-generated classifier.</t>
  </si>
  <si>
    <t>Automatically composes and annotates synthetic images to create object-detection training datasets for EfficientDet and YOLOv4.</t>
  </si>
  <si>
    <t>None — claimed adaptation/generalization ability belongs to the dataset-generation and downstream object-detection system.</t>
  </si>
  <si>
    <t>Analyzes synthetic-data-based training for traffic-sign recognition and evaluates cross-domain performance of models trained with synthetic versus real imagery.</t>
  </si>
  <si>
    <t>None — although cross-domain generalization is a central research question, it concerns traffic-sign recognition models trained on synthetic data, not generalization of synthetic-image detectors.</t>
  </si>
  <si>
    <t>Journal of Robotics and Control</t>
  </si>
  <si>
    <t>WGAN generates realistic breast-ultrasound samples to augment CNN training for normal/benign/malignant classification.</t>
  </si>
  <si>
    <t>None — concerns medical-classifier performance, overfitting and generalizability of synthetic augmentation rather than forensic detection of generated imagery.</t>
  </si>
  <si>
    <t>Uses classifier-free guided diffusion to generate realistic glaucomatous fundus images for minority-class augmentation and improved glaucoma classification.</t>
  </si>
  <si>
    <t>None — generalization across independent datasets concerns glaucoma detection, not distinguishing generated from authentic imagery.</t>
  </si>
  <si>
    <t>Diffusion-based framework generates realistic industrial defects under geometric-semantic constraints to augment downstream YOLOv11 defect detection.</t>
  </si>
  <si>
    <t>None — synthetic-image quality and downstream detector performance are evaluated, but authenticity detection is not performed.</t>
  </si>
  <si>
    <t>SPN is trained using synthetic OpenGL-rendered spacecraft imagery and evaluated on real camera images for spacecraft pose estimation.</t>
  </si>
  <si>
    <t>None — synthetic-to-real generalization concerns pose estimation under distribution shift, not synthetic-image detection.</t>
  </si>
  <si>
    <t>Classical pattern-recognition method based on symmetry measurements and coordinate transformations, experimentally tested on real and synthetic images.</t>
  </si>
  <si>
    <t>None — synthetic imagery is simply evaluation data; no generative-AI authenticity problem exists.</t>
  </si>
  <si>
    <t>Generates photorealistic, automatically annotated BIM-rendered images for training models across twelve building-scene-understanding tasks.</t>
  </si>
  <si>
    <t>None — synthetic imagery is training data for scene understanding rather than content whose authenticity is classified.</t>
  </si>
  <si>
    <t>Develops a 3D tubular-structure tracing algorithm for cochlear surgery and validates it on synthetic imagery and real cochlear models.</t>
  </si>
  <si>
    <t>None — synthetic images are validation data for anatomical tracing.</t>
  </si>
  <si>
    <t>Statistical image-processing method for automatic lumen and media-adventitia border extraction, evaluated partly using synthetic images.</t>
  </si>
  <si>
    <t>None — “detection” refers to anatomical border detection rather than image authenticity.</t>
  </si>
  <si>
    <t>Uses CycleGAN-Turbo to translate rendered visible images into synthetic SWIR imagery for augmentation of maritime ship detection.</t>
  </si>
  <si>
    <t>None — domain-shift generalization and robustness refer to the ship detector, not a synthetic-image detector.</t>
  </si>
  <si>
    <t>StyleGAN3 produces high-fidelity synthetic pipeline-defect images to augment MCFN-YOLO training for sewer defect detection.</t>
  </si>
  <si>
    <t>None — FID measures synthetic-image realism, while improved generalization refers to infrastructure defect detection.</t>
  </si>
  <si>
    <t>Introduces UnityShip, containing over 100,000 synthetic aerial images, for pretraining and augmentation of ship-recognition/object-detection systems.</t>
  </si>
  <si>
    <t>None — evaluates utility of synthetic training data for recognition rather than its detectability.</t>
  </si>
  <si>
    <t>GAN produces synthetic chest X-rays that are combined with real images to train Faster R-CNN for multiclass chest-infection diagnosis.</t>
  </si>
  <si>
    <t>None — “generalized datasets” and GAN augmentation address medical-classification performance.</t>
  </si>
  <si>
    <t>Direct deepfake-forensics study. Combines time-distributed MobileNetV2 spatial features with LSTM temporal modeling to classify real versus fake videos; reports 94% accuracy on DFDC.</t>
  </si>
  <si>
    <t>High — explicitly identifies poor generalization to unknown data/deepfake categories as a major problem. However, the abstract only reports evaluation on DFDC, so cross-dataset or unseen-generator generalization is not demonstrated in the supplied record.</t>
  </si>
  <si>
    <t>Strong candidate for full-text screening; verify evaluation datasets, manipulation methods and any cross-dataset/unseen-forgery experiments.</t>
  </si>
  <si>
    <t>CWGAN-GP generates 10,000 balanced synthetic malware representations to address class imbalance in vision-based malware classification.</t>
  </si>
  <si>
    <t>None — generalization refers to downstream malware detection.</t>
  </si>
  <si>
    <t>GAN-generated images enrich a six-dataset hybrid corpus used for InceptionResNetV2 cataract diagnosis, with Grad-CAM providing explanations.</t>
  </si>
  <si>
    <t>None — external-dataset evaluation concerns cataract-diagnosis generalization rather than synthetic-image detection.</t>
  </si>
  <si>
    <t>Synthetic scenes form one component of a multi-source augmentation framework for lightweight traffic-sign detection.</t>
  </si>
  <si>
    <t>None — out-of-distribution testing evaluates traffic-sign recognition, not synthetic-image authenticity.</t>
  </si>
  <si>
    <t>Builds the SSDShips synthetic dataset and applies Sim2Real domain adaptation to YOLOv8-based ship detection.</t>
  </si>
  <si>
    <t>None — model generalization concerns deployment of ship detectors on real imagery after synthetic pretraining.</t>
  </si>
  <si>
    <t>Direct forgery-detection method designed specifically for generalization and robustness. FD-GAN generates challenging synthetic/manipulated samples and uses a discriminator with spatial and frequency branches to judge whether inputs are synthetic and localize manipulated regions.</t>
  </si>
  <si>
    <t>Very High — directly central to the SLR.Explicitly evaluates generalization on three benchmarks against 14 methods and robustness against six adversarial attacks and seven distortion types.</t>
  </si>
  <si>
    <t>Priority full-text paper. Extract exact benchmarks, training/test forgery families, unseen-forgery protocol, corruption protocol, metrics and baseline comparisons.</t>
  </si>
  <si>
    <t>LLM-augmented diffusion models generate synthetic railway hazard scenarios to expand scarce training data for YOLO-based slope-failure detection.</t>
  </si>
  <si>
    <t>None — generalization refers to geological-hazard detection under varied real-world conditions.</t>
  </si>
  <si>
    <t>EIGAN generates synthetic damaged-structure images from undamaged images using CycleGAN-style translation for structural-damage augmentation.</t>
  </si>
  <si>
    <t>None — target is improved structural-damage identification, not synthetic-image authenticity.</t>
  </si>
  <si>
    <t>Uses synthetic anomaly images as one branch of training for reconstruction, feature editing and industrial surface-anomaly segmentation.</t>
  </si>
  <si>
    <t>None — “anomaly detection” is product-surface defect detection rather than generated-image detection.</t>
  </si>
  <si>
    <t>Generates automatically labeled synthetic imagery from 3D scenes and uses adversarial domain adaptation for object detection.</t>
  </si>
  <si>
    <t>None — the domain discriminator aligns synthetic and target domains; it is not an authenticity detector.</t>
  </si>
  <si>
    <t>Evaluates neural architectures for malaria classification and studies conditional image synthesis as a way to address class imbalance.</t>
  </si>
  <si>
    <t>None — independent-domain generalization concerns malaria diagnosis; synthetic images are augmentation.</t>
  </si>
  <si>
    <t>Direct synthetic-media-forensics study addressing authenticity verification and source attribution. Uses diffusion-model latent signal leaks, temporal attention and prototype-based embeddings to distinguish real imagery and attribute generated images to source generators.</t>
  </si>
  <si>
    <t>Very High — directly evaluates unseen-generator generalization.Open-set evaluation analyzes unseen generators without retraining; reports Macro AUC 98.13%, robustness under post-processing and separability of real, known-generator and unseen-generator imagery.</t>
  </si>
  <si>
    <t>Priority full-text paper. Particularly valuable for unseen-generator/open-set generalization and attribution taxonomy.</t>
  </si>
  <si>
    <t>Uses rendered synthetic satellite scenes to train YOLO models for detection of previously unknown satellites.</t>
  </si>
  <si>
    <t>None — “unknown” and “generalization” concern unseen satellite objects, not unseen image generators.</t>
  </si>
  <si>
    <t>Conditional StyleGAN2-ADA generates age- and diagnosis-specific ultrasound images, which undergo quality control before augmenting pediatric SRD classification.</t>
  </si>
  <si>
    <t>None — generalizability and independent testing concern pediatric ultrasound diagnosis.</t>
  </si>
  <si>
    <t>Stable Diffusion-generated watermelon disease images are fused with real field images to improve EfficientNetV2-L disease classification.</t>
  </si>
  <si>
    <t>None — generalization concerns downstream agricultural disease classification, not distinguishing AI-generated from real images.</t>
  </si>
  <si>
    <t>Classical contour-based image compression method evaluated on both real and synthetic images.</t>
  </si>
  <si>
    <t>None — synthetic images are test data and the study predates the modern generative-content authenticity problem.</t>
  </si>
  <si>
    <t>DDPM-generated synthetic mammograms augment real medical data to improve EfficientNetV2L breast-cancer classification.</t>
  </si>
  <si>
    <t>None — model generalisation refers to medical classification performance after synthetic augmentation.</t>
  </si>
  <si>
    <t>GAN-generated synthetic structural-damage images augment training for the DamageNet multiclass infrastructure damage detector.</t>
  </si>
  <si>
    <t>None — robustness/generalization concerns structural-damage recognition.</t>
  </si>
  <si>
    <t>Combines automatically annotated synthetic images with weakly labeled real images and domain adaptation for logo detection.</t>
  </si>
  <si>
    <t>None — the discriminator aligns synthetic and real feature distributions for domain adaptation; it is not an authenticity discriminator.</t>
  </si>
  <si>
    <t>Synthetic microscopy imagery replaces scarce real training data for object detection of chiral molecular structures.</t>
  </si>
  <si>
    <t>None — synthetic-to-real generalization concerns microscopy object detection.</t>
  </si>
  <si>
    <t>Develops fuzzy morphological transformations for robust object identification and evaluates them using real and synthetic imagery.</t>
  </si>
  <si>
    <t>None — unrelated to generative-AI content authenticity.</t>
  </si>
  <si>
    <t>FCRNs trained on synthetic microscopy data generalize to real biological images for cell counting and detection.</t>
  </si>
  <si>
    <t>None — generalization is synthetic-to-real transfer for microscopy analysis.</t>
  </si>
  <si>
    <t>DCGAN-generated chest X-rays address class imbalance before ResNet50 pneumonia classification.</t>
  </si>
  <si>
    <t>None — generalisation concerns medical diagnostic models trained with augmented datasets.</t>
  </si>
  <si>
    <t>SAGAN-generated synthetic medical patches address class imbalance in a transformer-based cervical cancer classification framework.</t>
  </si>
  <si>
    <t>None — four-dataset generalization evaluates cervical classification, not generated-content detection.</t>
  </si>
  <si>
    <t>GAN-generated images increase data diversity within a hybrid GAN/autoencoder/InceptionV3 diabetic-retinopathy classifier.</t>
  </si>
  <si>
    <t>None — “detection” is disease detection rather than synthetic-media detection.</t>
  </si>
  <si>
    <t>Introduces PRISM, a realistic benchmark specifically for generated-content detection, covering subtle manipulation through full image generation while controlling resolution/compression confounds. Also proposes an energy-based/contrastive detection approach.</t>
  </si>
  <si>
    <t>Very High — directly central to the SLR.Enforces train/test splits with generative models unseen during training and explicitly evaluates detector generalization and robustness, including compression and resolution confounders.</t>
  </si>
  <si>
    <t>Priority full-text paper. Extract generators, manipulation levels, dataset composition, unseen-generator split protocol, real-image sources, compression/resolution controls, baseline detectors, metrics and cross-benchmark results.</t>
  </si>
  <si>
    <t>Generates synthetic checkout scenes and develops feature-fusion modules to improve automatic product detection under occlusion.</t>
  </si>
  <si>
    <t>None — domain generalization refers to checkout/object recognition.</t>
  </si>
  <si>
    <t>Classical edge-detection method evaluated on real SAR and synthetic noisy images.</t>
  </si>
  <si>
    <t>None — “universality” and robustness concern edge extraction rather than content authenticity.</t>
  </si>
  <si>
    <t>Human observer study measuring target detection in synthetic urban-clutter imagery.</t>
  </si>
  <si>
    <t>None — entirely unrelated to AI-generated content detection.</t>
  </si>
  <si>
    <t>Hybrid real and AI-generated construction-worker imagery is used to train and evaluate person re-identification models.</t>
  </si>
  <si>
    <t>None — synthetic imagery forms dataset content; authenticity detection is not the task.</t>
  </si>
  <si>
    <t>DDPM-generated synthetic retinal imagery augments scarce and imbalanced data for diabetic-retinopathy detection.</t>
  </si>
  <si>
    <t>None — reduced model generalizability is a medical-classification problem here.</t>
  </si>
  <si>
    <t>Creates an AIGC helmet-wearing dataset and evaluates AI-generated imagery as standalone training data and augmentation for several object detectors.</t>
  </si>
  <si>
    <t>None — although explicitly involving generative-AI imagery and real-vs-synthetic transfer, the target is helmet detection, not AI-generated image detection.</t>
  </si>
  <si>
    <t>Generates synthetic faces with seven diffusion models and studies whether they can substitute real faces when training biometric attribute classifiers.</t>
  </si>
  <si>
    <t>Indirect only — investigates cross-real-dataset generalization of biometric detectors rather than generalization of AI-generated-content detectors.</t>
  </si>
  <si>
    <t>Potential background/context paper on diversity across generators, but does not satisfy the core detection task from the supplied abstract.</t>
  </si>
  <si>
    <t>Synthetic RGB imagery plus CycleGAN-Turbo cross-modality translation supports thermal crop/weed segmentation.</t>
  </si>
  <si>
    <t>None — synthetic-to-real/cross-modal transfer concerns segmentation.</t>
  </si>
  <si>
    <t>Proposes physics-guided latent diffusion for high-fidelity infrared image generation and evaluates realism using SSIM, PSNR, LPIPS and FID.</t>
  </si>
  <si>
    <t>None — generation realism/generalization to downstream perception is studied, not detection of generated imagery.</t>
  </si>
  <si>
    <t>Direct empirical study of machine-generated-image detector generalization. Evaluates existing detectors, including pretrained CLIP + MLP and mixture-of-experts approaches, on generative models and visual domains absent from training.</t>
  </si>
  <si>
    <t>Very High — exceptionally aligned with the SLR research question. Explicitly tests two distinct axes: unseen-generator generalization and unseen-image-domain generalization, finding substantial limitations on both.</t>
  </si>
  <si>
    <t>Highest-priority full-text paper. Extract detector architectures, training data, known/unseen generators, source/target visual domains, exact domain-shift protocol, metrics and magnitude of degradation. Important for defining the SLR's generalization taxonomy.</t>
  </si>
  <si>
    <t>Presents an iterative methodology for generating synthetic agricultural training data and demonstrates it using tomato disease detection.</t>
  </si>
  <si>
    <t>None — reported generalization concerns a disease classifier trained on synthetic data.</t>
  </si>
  <si>
    <t>Uses synthetic labeled source images, real unlabeled target domains and adversarial/self-training domain adaptation for cultural-site object detection.</t>
  </si>
  <si>
    <t>None — synthetic-to-real and multi-camera generalization concern object detectors.</t>
  </si>
  <si>
    <t>Conditional GAN-generated images address imbalance and overfitting within an ensemble tomato-disease classifier.</t>
  </si>
  <si>
    <t>None — improved generalization refers to plant-disease classification.</t>
  </si>
  <si>
    <t>Optimizes synthetic-data generation using image-quality metrics and genetic algorithms to improve synthetic-trained object detectors on real-world data.</t>
  </si>
  <si>
    <t>None — generalization concerns sim2real object detection rather than detecting whether content is AI-generated.</t>
  </si>
  <si>
    <t>Training-free Fourier single-pixel image reconstruction method evaluated on natural and synthetic images.</t>
  </si>
  <si>
    <t>None — “generalizes” refers to reconstruction across image types; no generated-content authenticity task.</t>
  </si>
  <si>
    <t>Addressing Dataset Imbalance with Modified Generative Adversarial Networks</t>
  </si>
  <si>
    <t>Modified GAN generates minority-class synthetic medical images to address dataset imbalance and improve downstream classifiers.</t>
  </si>
  <si>
    <t>None — synthetic imagery is augmentation data rather than the target of authenticity detection.</t>
  </si>
  <si>
    <t>Directly investigates source mismatch in AI-generated-image/deepfake detection, challenging conventional random train/test splitting within a fixed generation setup and examining detector performance when generation sources or hyperparameters change.</t>
  </si>
  <si>
    <t>Very High — directly central. Source mismatch is a specific form of out-of-distribution/generalization failure: training on one generation source and testing on another. Particularly useful for defining generator-level and configuration-level generalization.</t>
  </si>
  <si>
    <t>Highest-priority full text. Extract exact definition of “source,” generators, hyperparameters varied, train/test protocols, detectors, datasets, metrics, magnitude of mismatch degradation and proposed solutions.</t>
  </si>
  <si>
    <t>GAN-generated facial expressions balance datasets and support personalized facial-action-unit intensity estimation across domains.</t>
  </si>
  <si>
    <t>None — generated faces are training augmentation; the prediction target is facial action estimation.</t>
  </si>
  <si>
    <t>Synthetic translated images and domain adaptation improve YOLO object detection under domain shifts in autonomous-driving datasets.</t>
  </si>
  <si>
    <t>None — domain generalization concerns object detection rather than generated-image detection.</t>
  </si>
  <si>
    <t>Proposes a perceptual-hashing framework for ownership registration and verification of AIGC images under content-preserving tampering.</t>
  </si>
  <si>
    <t>Indirectly relevant to robust AIGC provenance, but the task is similarity/ownership verification rather than classification of unknown content as real versus AI-generated.</t>
  </si>
  <si>
    <t>Potential background/citation candidate, especially for provenance-based alternatives to forensic detection, but should not enter the core SLR evidence set under the current research question.</t>
  </si>
  <si>
    <t>Lightweight CNN detects infectious lung diseases across CT/X-ray images; GANs generate synthetic validation/training imagery.</t>
  </si>
  <si>
    <t>None — generalizability concerns disease diagnosis across medical image types.</t>
  </si>
  <si>
    <t>DALL-E 2-generated agricultural imagery augments real datasets for blueberry, weed and disease object detection.</t>
  </si>
  <si>
    <t>None — generalization concerns agricultural object detectors trained using generated imagery.</t>
  </si>
  <si>
    <t>Introduces RealDTT, a large-scale benchmark for detecting tampered text in natural scenes/documents, containing ~300,000 synthetic samples from nine generative models plus 4,012 manually tampered images, and proposes TTDMamba.</t>
  </si>
  <si>
    <t>High — relevant to generalizable generated/manipulated-content detection.Explicitly designed to evaluate open-set generalization across diverse generators, manipulation techniques, languages, scenes and resolutions. Scope is narrower than generic AI-image detection because the target is text tampering.</t>
  </si>
  <si>
    <t>Important boundary paper.Retain because your stated objective is universal/generalized content detection rather than only fully generated natural images. At full text, determine whether AI-generation detection is experimentally separable from generic/manual manipulation detection.</t>
  </si>
  <si>
    <t>DCGAN-generated synthetic rice-disease imagery augments training for a CNN disease classifier.</t>
  </si>
  <si>
    <t>None — improved generalization concerns downstream plant classification.</t>
  </si>
  <si>
    <t>Creates millions of synthetic spacecraft images for object detection, segmentation and pose estimation and optimizes dataset selection using a VAE.</t>
  </si>
  <si>
    <t>None — synthetic data is training material, not the target of authenticity detection.</t>
  </si>
  <si>
    <t>GAN-based augmentation and deep feature extraction improve recognition of partial latent fingerprints.</t>
  </si>
  <si>
    <t>None — generalizability refers to fingerprint recognition across datasets.</t>
  </si>
  <si>
    <t>Develops a GAN for synthetic crop imagery and uses generated data to improve maize-leaf disease classification.</t>
  </si>
  <si>
    <t>None — the GAN discriminator/generator is part of synthesis and augmentation rather than an AI-image forensic detector.</t>
  </si>
  <si>
    <t>Uses CKA to analyze layer-wise differences between YOLOv3 object detectors trained on synthetic versus real city imagery.</t>
  </si>
  <si>
    <t>None — investigates how synthetic training data affects object-detector representations.</t>
  </si>
  <si>
    <t>GAN-generated dermoscopic imagery addresses class imbalance before melanoma detection/classification.</t>
  </si>
  <si>
    <t>None — despite explicit AIGC terminology, generated images serve as augmentation data.</t>
  </si>
  <si>
    <t>GAN-blended synthetic overhead imagery improves climate-related object detection across geographic domains.</t>
  </si>
  <si>
    <t>None — generalization is geographic-domain transfer for an object detector.</t>
  </si>
  <si>
    <t>Spectral/spatial framework detects power lines in UAV imagery and evaluates transfer across geographic datasets.</t>
  </si>
  <si>
    <t>None — synthetic imagery only illustrates processing; generalization concerns power-line segmentation.</t>
  </si>
  <si>
    <t>Covariance-matching domain adaptation reduces synthetic-to-real domain gaps for computer-vision tasks.</t>
  </si>
  <si>
    <t>None — not generated-content detection; synthetic imagery is a source training domain.</t>
  </si>
  <si>
    <t>Proposes a DeepFake face-forgery detector using 3D facial reconstruction, mid-frequency geometric displacement information, RGB facial features, transformer architecture and manifold distillation.</t>
  </si>
  <si>
    <t>Moderate–High.Evaluated across multiple public DeepFake datasets, making it relevant to cross-dataset robustness/generalization, although the method is face-specific and therefore represents the kind of domain-specific detector against which universal approaches can be contrasted.</t>
  </si>
  <si>
    <t>Retain deliberately despite niche scope.Useful evidence for the SLR taxonomy/category of face-specific forensic methods. Full text must establish whether experiments genuinely test cross-dataset/cross-generator generalization rather than merely reporting separate within-dataset results.</t>
  </si>
  <si>
    <t>Studies sim-to-real generalization of standard object detectors trained on synthetic CAD-generated industrial imagery.</t>
  </si>
  <si>
    <t>None — target is terminal-strip object detection.</t>
  </si>
  <si>
    <t>Compares diffusion-generated medical imagery against conventional augmentation for training ultrasound diagnostic models.</t>
  </si>
  <si>
    <t>None — model generalizability concerns medical diagnosis.</t>
  </si>
  <si>
    <t>General approximate-nearest-neighbour-field framework demonstrated on optic-disc detection and synthetic-image super-resolution.</t>
  </si>
  <si>
    <t>None — “general” refers to the ANNF algorithm's applicability, unrelated to generated-content authenticity.</t>
  </si>
  <si>
    <t>Frequency-aware conditional GAN generates potato-leaf images and reuses its discriminator as a classifier for plant-disease recognition.</t>
  </si>
  <si>
    <t>None — although the GAN discriminator separates real/generated data during GAN training, the paper's research target is long-tailed potato disease recognition rather than generalized generated-image detection.</t>
  </si>
  <si>
    <t>DCGAN creates synthetic cardiac images for augmentation, followed by VGG16 heart-disease classification.</t>
  </si>
  <si>
    <t>None — GAN real/synthetic discrimination is an internal adversarial-training mechanism rather than a forensic AI-image detector intended for unseen content.</t>
  </si>
  <si>
    <t>Fingerprint presentation-attack detector using UGAN-based multidomain image translation to improve cross-sensor and cross-material biometric PAD.</t>
  </si>
  <si>
    <t>Indirect methodological relevance because it explicitly targets cross-domain generalization, but the task is fingerprint liveness/presentation-attack detection rather than AI-generated-content detection.</t>
  </si>
  <si>
    <t>Diffusion-generated satellite images are used to train whale object detectors and evaluate synthetic-to-real and cross-species transfer.</t>
  </si>
  <si>
    <t>None — generalization concerns whale detection from synthetic training data, not detection of generated imagery.</t>
  </si>
  <si>
    <t>Deep Q-GAN generates synthetic mammograms to augment training for breast-tumor classification.</t>
  </si>
  <si>
    <t>None — synthetic images are augmentation data; target is breast-cancer diagnosis.</t>
  </si>
  <si>
    <t>Evaluates a 3-D coronary-surface estimation method using synthetic and real ultrasound datasets.</t>
  </si>
  <si>
    <t>None — “synthetic” refers to evaluation data for anatomical surface estimation.</t>
  </si>
  <si>
    <t>Synthetic fault-component imagery and transfer learning improve YOLO-based transmission-line fault detection.</t>
  </si>
  <si>
    <t>None — generalization is downstream industrial object/fault detection.</t>
  </si>
  <si>
    <t>Prompt-generated and GAN-generated images train a drowning detector exclusively on synthetic data, followed by synthetic-to-real validation.</t>
  </si>
  <si>
    <t>None — despite a genuine cross-domain generalization experiment, the classifier detects drowning rather than whether imagery is AI-generated.</t>
  </si>
  <si>
    <t>Synthetic 3-D rendering plus causal/fog augmentation improves insulator-defect detection and cross-domain performance.</t>
  </si>
  <si>
    <t>None — generalization target is industrial defect detection.</t>
  </si>
  <si>
    <t>Diffusion-generated polyps augment training for medical detection, classification and segmentation under OOD clinical conditions.</t>
  </si>
  <si>
    <t>None — OOD/generalization evaluation concerns downstream polyp diagnosis rather than synthetic-image authenticity.</t>
  </si>
  <si>
    <t>Synthetic object insertion augments Mask R-CNN training for surgical-instrument detection.</t>
  </si>
  <si>
    <t>None — synthetic imagery is augmentation for object detection.</t>
  </si>
  <si>
    <t>Improved YOLOv10 Underwater Laser Illumination Imaging Target Recognition Method Based on Style Transfer</t>
  </si>
  <si>
    <t>Acta Optica Sinica</t>
  </si>
  <si>
    <t>Style-transferred synthetic underwater images expand training data for an enhanced YOLOv10 target detector.</t>
  </si>
  <si>
    <t>None — generalization concerns underwater target recognition.</t>
  </si>
  <si>
    <t>Uses four GAN-based image-translation models to synthesize ID-card presentation attacks and evaluates their utility for training fraud/PAD systems.</t>
  </si>
  <si>
    <t>Methodologically adjacent because of open-set/PAD framing, but the authenticity question is physical presentation attack versus bona fide ID cards, not AI-generated versus real content.</t>
  </si>
  <si>
    <t>Do not include merely because of “open-set.”The target concept differs from generative-content forensics.</t>
  </si>
  <si>
    <t>Synthetic 3-D imagery and adversarial domain adaptation are used to learn domain-invariant representations for object detection.</t>
  </si>
  <si>
    <t>None — synthetic-to-real object detection rather than generated-content detection.</t>
  </si>
  <si>
    <t>DCGAN augmentation addresses defect-class imbalance for lightweight photovoltaic fault detection.</t>
  </si>
  <si>
    <t>None — claimed generalization benefits concern real-world PV defect localization.</t>
  </si>
  <si>
    <t>Image-processing method for detecting symmetrical objects, tested on synthetic and real images.</t>
  </si>
  <si>
    <t>None — “generalized” describes a mathematical symmetry operator.</t>
  </si>
  <si>
    <t>WGAN-GP-generated medical images address class imbalance in a transformer-based breast-cancer diagnostic system.</t>
  </si>
  <si>
    <t>None — generated images augment a medical classifier.</t>
  </si>
  <si>
    <t>Simple synthetic eye-image generators provide training data for pupil/corneal-reflection detection and gaze estimation across datasets.</t>
  </si>
  <si>
    <t>None — cross-dataset generalization concerns eye tracking.</t>
  </si>
  <si>
    <t>YOLO trained on synthetic Moon imagery detects lunar craters across illumination and distance conditions.</t>
  </si>
  <si>
    <t>None — generalization concerns crater object detection.</t>
  </si>
  <si>
    <t>SinGAN-based synthetic aircraft imagery is used to improve remote-sensing aircraft detection and recognition under data scarcity.</t>
  </si>
  <si>
    <t>None — “domain adaptability” and “generalization ability” concern aircraft recognition.</t>
  </si>
  <si>
    <t>GAN augmentation improves GCN/ensemble-based plant nutrient-deficiency classification.</t>
  </si>
  <si>
    <t>None — target is agricultural diagnosis.</t>
  </si>
  <si>
    <t>cGAN-generated crop images improve minority-class disease recognition across several classifiers.</t>
  </si>
  <si>
    <t>None — synthetic imagery is augmentation rather than the forensic target.</t>
  </si>
  <si>
    <t>Directly targets generalizable DeepFake/face-forgery detection. Bi-LIG synthesizes diverse training images containing extrinsic and inherent inconsistencies, while a ViT learns patch-level inconsistency representations; both in-dataset and cross-dataset evaluation are reported.</t>
  </si>
  <si>
    <t>Very High — directly relevant. Explicitly frames evolving manipulation techniques and domain gaps as a generalization problem and reports cross-dataset improvements on DFDCp and DFDC.</t>
  </si>
  <si>
    <t>Highest-priority full text. Extract training datasets, held-out datasets/manipulations, Bi-LIG synthesis protocol, baselines, cross-dataset metrics and whether gains persist across genuinely unseen generators/manipulation families.</t>
  </si>
  <si>
    <t>Introduces an explicit generalizable AI-generated-image detection and reasoning task using MLLMs. FakeReasoning combines CLIP and DINO representations with forgery-aware feature fusion and language-based reasoning; MMFR contains 120K images from 10 generative models and 378K forgery-reasoning annotations.</t>
  </si>
  <si>
    <t>Extremely High — core SLR paper.Directly addresses domain gaps among generative models, generalized AI-generated-image detection, multi-generator evaluation and interpretable reasoning.</t>
  </si>
  <si>
    <t>Top-tier priority.Likely one of the most directly aligned papers screened so far. Full text should establish generator-held-out protocol, exact 10 generators, real-image sources, baseline detectors/MLLMs, per-generator results, cross-generator degradation, reasoning taxonomy and whether “robust generalization” actually means unseen-generator testing.</t>
  </si>
  <si>
    <t>Controllable diffusion framework synthesizes normal and abnormal fetal ultrasound imagery to support downstream classification and anomaly detection.</t>
  </si>
  <si>
    <t>None — OOD refers to generated abnormal medical examples, not authenticity detection.</t>
  </si>
  <si>
    <t>Conditional GAN generates retinal lesion imagery to improve disease-detection training.</t>
  </si>
  <si>
    <t>None — generalization concerns retinal disease detection.</t>
  </si>
  <si>
    <t>Dual-generator/discriminator GAN performs semi-supervised benign/malignant lung-nodule classification and evaluates transfer to unseen medical datasets.</t>
  </si>
  <si>
    <t>None — despite genuine unseen-dataset testing, the task is lung-nodule classification, not generated-content authenticity.</t>
  </si>
  <si>
    <t>Feature-activation-map-guided augmentation improves microscopic biomedical object detection and is claimed to generalize across detection architectures.</t>
  </si>
  <si>
    <t>None — generalization concerns microscopic object detection; synthetic/augmented imagery is training data rather than the authenticity target.</t>
  </si>
  <si>
    <t>DDPM-generated pavement-distress images augment U-Net/DeepLab training and improve segmentation performance under diverse conditions.</t>
  </si>
  <si>
    <t>None — robustness/generalization concerns pavement segmentation, not detection of generated imagery.</t>
  </si>
  <si>
    <t>ViT-based garbage-bin classification is trained on real imagery and additionally tested on images generated by multiple generative-AI models, obtaining up to 80% accuracy on the synthetic dataset.</t>
  </si>
  <si>
    <t>Indirect methodological relevance because synthetic images from multiple generators form a distribution-shift test set, but the prediction target remains garbage-bin fullness rather than real-vs-generated authenticity.</t>
  </si>
  <si>
    <t>Do not mistake testing on AI-generated images for AI-generated-image detection.</t>
  </si>
  <si>
    <t>Proposes CED-DCGAN, an ensemble-discriminator forensic approach for detecting real-time video-conferencing deepfakes using discriminative differences between natural and synthetic imagery, including spectral anomalies associated with GAN upsampling.</t>
  </si>
  <si>
    <t>High — direct DeepFake/face-forgery detection paper.Generalization is claimed, although the abstract does not establish a rigorous unseen-generator or cross-dataset protocol.</t>
  </si>
  <si>
    <t>Retrieve full text. Verify datasets, train/test generator separation, whether “generalizes well” is experimentally demonstrated, and whether the reported 98.23% is in-domain or cross-domain.</t>
  </si>
  <si>
    <t>Studies domain adaptation from simulated imagery to real aerial imagery for transmission-tower/component object detection.</t>
  </si>
  <si>
    <t>None — textbook synthetic→real generalization, but for downstream object detection.</t>
  </si>
  <si>
    <t>Translates synthetic imagery toward the real domain to improve stereo-matching CNN generalization.</t>
  </si>
  <si>
    <t>None — domain adaptation concerns stereo matching rather than synthetic-image forensics.</t>
  </si>
  <si>
    <t>Semi-supervised latent diffusion generates severity-controlled wheat-disease imagery for augmentation under label scarcity.</t>
  </si>
  <si>
    <t>None — synthetic imagery improves disease-severity regression rather than serving as the detection target.</t>
  </si>
  <si>
    <t>Generalized fractal-dimension estimator evaluated using benchmark texture datasets containing real and synthetic images.</t>
  </si>
  <si>
    <t>None — neither generative-AI detection nor relevant forensic generalization.</t>
  </si>
  <si>
    <t>Artificial catheters are inserted into real cardiac imagery to create semi-synthetic training data that improve medical segmentation.</t>
  </si>
  <si>
    <t>None — reported generalization concerns catheter segmentation.</t>
  </si>
  <si>
    <t>StyleGAN2-ADA generates synthetic tympanic-membrane images; 65 human reviewers attempt to distinguish synthetic from real images, achieving AUC 0.69.</t>
  </si>
  <si>
    <t>Adjacent but outside scope. It contains an actual real-vs-synthetic discrimination experiment, but the “detector” is human perception and the study's primary objective is validating medical synthetic-data quality, not developing/evaluating an automated generated-image detector.</t>
  </si>
  <si>
    <t>Potentially useful as contextual evidence on human detectability, but should not enter the core detector-generalization evidence set unless the protocol explicitly includes human baselines.</t>
  </si>
  <si>
    <t>Investigates GAN-generated synthetic concrete imagery as augmentation for multiclass structural-damage detection, finding that hybrid real/synthetic training can actually reduce performance.</t>
  </si>
  <si>
    <t>None — useful synthetic-data caution, but not generated-content detection.</t>
  </si>
  <si>
    <t>Uses Unity, DALL·E 3 and Stable Diffusion XL imagery to augment YOLOv8 photovoltaic-panel detection and examines synthetic→real effects.</t>
  </si>
  <si>
    <t>None — even though modern text-to-image generators are explicitly involved, they supply training data for photovoltaic detection.</t>
  </si>
  <si>
    <t>Latent-diffusion-generated weed imagery augments supervised agricultural classification across four datasets.</t>
  </si>
  <si>
    <t>None — robustness/generalization concerns weed classification.</t>
  </si>
  <si>
    <t>DCGAN imagery augments YOLOv8 training for helmet-violation detection and improves F1 performance.</t>
  </si>
  <si>
    <t>None — synthetic images are augmentation; target is traffic-rule violation.</t>
  </si>
  <si>
    <t>GAN-generated fetal ultrasound images augment U-Net fetal-head segmentation under medical-data scarcity.</t>
  </si>
  <si>
    <t>None — target is medical segmentation.</t>
  </si>
  <si>
    <t>DeepFeatureX-SN uses specialized Siamese/contrastive feature extractors for real, GAN-generated and diffusion-generated images, followed by CNN classification. It performs binary authenticity detection plus generative-technique categorization.</t>
  </si>
  <si>
    <t>Extremely High — core SLR paper. Explicit unseen-generative-architecture testing is reported, with 67.40% average accuracy and &gt;10-point improvement over most compared methods, alongside robustness testing under image manipulations.</t>
  </si>
  <si>
    <t>Highest-priority full text. Extract exact train generators, unseen GAN/DM architectures, datasets, manipulation robustness protocol, per-generator results, baselines, ablations and magnitude of in-domain→unseen-generator degradation.</t>
  </si>
  <si>
    <t>Diffusion-generated bacterial colonies and contrastive/few-shot learning improve colony detection under limited data and image corruptions.</t>
  </si>
  <si>
    <t>None — generalization and robustness concern microorganism detection.</t>
  </si>
  <si>
    <t>Models trained using geometrically synthesized fundus images are evaluated on synthetic and real clinical imagery for ocular-torsion classification.</t>
  </si>
  <si>
    <t>None — genuine synthetic→real generalization, but target is ocular torsion.</t>
  </si>
  <si>
    <t>Fuzzy C-means segmentation method evaluated on synthetic and real images with different noise conditions.</t>
  </si>
  <si>
    <t>None — unrelated image-segmentation problem.</t>
  </si>
  <si>
    <t>CLIP-based real-vs-deepfake image detector learns semantically opposite textual prompts representing real and synthetic imagery, supplemented by global/local context optimization and textual-space refinement.</t>
  </si>
  <si>
    <t>Extremely High — core SLR paper. Explicitly targets generalizable detection across diverse GAN- and diffusion-generated images and evaluates across multiple datasets.</t>
  </si>
  <si>
    <t>Highest-priority full text.Determine whether experiments include generator-held-out/cross-dataset protocols rather than only pooled multi-generator testing; extract generators, datasets, AP/accuracy by domain, baselines, prompt design and generalization degradation.</t>
  </si>
  <si>
    <t>Pose-based classifiers are evaluated with cross-subject validation; synthetic imagery is used only to expand posture variability.</t>
  </si>
  <si>
    <t>None — “generalization” means unseen human subjects in ergonomic-posture classification.</t>
  </si>
  <si>
    <t>DCGAN-generated optic-disc images are combined with real clinical imagery to train glaucoma classifiers subsequently externally validated.</t>
  </si>
  <si>
    <t>None — external generalization concerns glaucoma detection.</t>
  </si>
  <si>
    <t>Classical differential approach for 3-D landmark localization evaluated on synthetic and MR imagery.</t>
  </si>
  <si>
    <t>None — unrelated to generative AI or synthetic-content forensics.</t>
  </si>
  <si>
    <t>ResNet-Swish-BiLSTM processes successive video frames for DeepFake detection and is evaluated using FF++ and DFDC, reporting 96.23% on FF++ and 78.33% on aggregated FF++/DFDC records.</t>
  </si>
  <si>
    <t>High relevance. Direct DeepFake detection with multi-dataset robustness motivation, but the abstract does not demonstrate a clean held-out-generator or train-one/test-another generalization protocol.</t>
  </si>
  <si>
    <t>Retrieve full text. Establish whether FF++→DFDC cross-dataset testing occurs or whether datasets are merely aggregated; do not treat the 78.33% result as cross-dataset generalization without confirmation.</t>
  </si>
  <si>
    <t>Synthetic 3-D rendered training data and contrastive learning support single-source domain generalization for ship detection across unseen maritime environments.</t>
  </si>
  <si>
    <t>None — strong domain-generalization methodology but wrong target task.</t>
  </si>
  <si>
    <t>WGAN-GP-generated pavement-crack images augment U-Net training and improve crack segmentation across real-world datasets.</t>
  </si>
  <si>
    <t>None — generalization concerns pavement-crack segmentation rather than detection of AI-generated content.</t>
  </si>
  <si>
    <t>Introduces a million-image synthetic industrial dataset generated using NVIDIA Omniverse for object detection and sim-to-real training.</t>
  </si>
  <si>
    <t>None — generalization concerns industrial object recognition across unseen environments.</t>
  </si>
  <si>
    <t>StyleGAN-generated medical images address class imbalance in a deep-learning osteoporosis classifier.</t>
  </si>
  <si>
    <t>None — synthetic images are augmentation data for disease diagnosis.</t>
  </si>
  <si>
    <t>Compares real-only versus GAN-balanced medical datasets for keratitis classification and studies fidelity/fairness trade-offs.</t>
  </si>
  <si>
    <t>None — useful caution about synthetic-data augmentation, but the target remains medical diagnosis rather than authenticity detection.</t>
  </si>
  <si>
    <t>Generates automatically labeled synthetic construction imagery to train and compare object detectors.</t>
  </si>
  <si>
    <t>None — “generalisation” concerns object detection from synthetic training data.</t>
  </si>
  <si>
    <t>CycleGAN-generated mango imagery increases dataset diversity for disease classification using EfficientNetB3 and attention.</t>
  </si>
  <si>
    <t>None — generalization pertains to agricultural disease recognition.</t>
  </si>
  <si>
    <t>CycleGAN-generated high-density mammograms augment breast-mass detection and improve domain generalization/fairness.</t>
  </si>
  <si>
    <t>None — generated imagery is augmentation for medical detection, not the authenticity target.</t>
  </si>
  <si>
    <t>Classical fuzzy-logic edge detector evaluated on benchmark and synthetic images.</t>
  </si>
  <si>
    <t>None — unrelated to generative-AI image forensics.</t>
  </si>
  <si>
    <t>Direct DeepFake/AIGI detection study investigating whether exposure to more realistic StyleGAN3-generated faces improves a ResNet-18 detector against increasingly artifact-reduced synthetic content.</t>
  </si>
  <si>
    <t>Very High — directly relevant. The study explicitly frames previously unseen generators as the generalization challenge and evaluates a strategy intended to learn more transferable forgery representations.</t>
  </si>
  <si>
    <t>Priority full text.Verify exactly what constitutes the test set, whether generators are held out, the baseline and augmented training compositions, TPR/FPR trade-off, and whether the reported +20.5% improvement reflects genuine unseen-generator testing.</t>
  </si>
  <si>
    <t>Stable-Diffusion-generated waste images enrich training for a lightweight robotic waste object detector.</t>
  </si>
  <si>
    <t>None — external validation concerns waste-classification robustness, not AI-image authenticity.</t>
  </si>
  <si>
    <t>Generates domain-specific synthetic faces to improve still-to-video face recognition across capture conditions.</t>
  </si>
  <si>
    <t>None — synthetic images are gallery augmentation for identity recognition, and the paper is also outside the 2020–2026 primary review period.</t>
  </si>
  <si>
    <t>Neural style transfer and GAN-based augmentation improve plant-disease dataset balance and classifier generalization.</t>
  </si>
  <si>
    <t>None — no generated-content detector is evaluated.</t>
  </si>
  <si>
    <t>Classical Sobel/fuzzy-logic edge-detection method evaluated on synthetic images.</t>
  </si>
  <si>
    <t>None — unrelated to AI-generated-content authenticity.</t>
  </si>
  <si>
    <t>cGAN-generated plant images augment AARN/Faster-RCNN training for disease identification.</t>
  </si>
  <si>
    <t>None — generalization concerns plant-disease recognition.</t>
  </si>
  <si>
    <t>Proposes a parameter-agnostic wavelet-transformer detector for a broad family of visual “singularities,” explicitly including synthetic images, adversarial perturbations, presentation attacks and digital retouching, with zero-day/open-world evaluation.</t>
  </si>
  <si>
    <t>High — unusually relevant to universalization conceptually.Unlike generator-specific detectors, it explicitly seeks one detector covering heterogeneous attack/forgery types including synthetic images and unseen attacks. However, synthetic-image detection is only one component of the broader singularity task.</t>
  </si>
  <si>
    <t>Important boundary paper.Full text should determine how synthetic images are defined/generated, whether real-vs-AI results are separately reported, what is held out in zero-day testing, and whether this genuinely supports universal visual-forensics claims.</t>
  </si>
  <si>
    <t>Converts click-stream data into synthetic visual representations so CNNs can perform click-fraud detection.</t>
  </si>
  <si>
    <t>None — these “synthetic images” encode nonvisual click data and are not AI-generated media being authenticated.</t>
  </si>
  <si>
    <t>CycleGAN-generated images augment pedestrian-crossing detection across environmental conditions.</t>
  </si>
  <si>
    <t>None — model generalization concerns traffic-scene recognition.</t>
  </si>
  <si>
    <t>High-resolution density assessment assisted by deep learning of Dendrophyllia cornigera and Phakellia ventilabrum in rocky circalittoral shelf of Bay of Biscay</t>
  </si>
  <si>
    <t>Synthetic images augment deep-learning object detectors used for marine-species density estimation.</t>
  </si>
  <si>
    <t>None — generalization concerns ecological object detection.</t>
  </si>
  <si>
    <t>Synthetic hand images spanning poses, shapes, sizes and viewpoints improve 3-D hand-pose estimation and extrapolation.</t>
  </si>
  <si>
    <t>None — generated imagery is training augmentation for pose estimation.</t>
  </si>
  <si>
    <t>ControlNet-based diffusion generates synthetic pain expressions to augment automated pain-detection datasets under data scarcity.</t>
  </si>
  <si>
    <t>None — target is pain recognition; the paper evaluates synthetic-data utility rather than synthetic-image authenticity.</t>
  </si>
  <si>
    <t>Compares optical-flow methods using synthetic, simulated and astronomical imagery.</t>
  </si>
  <si>
    <t>None — unrelated to generative-AI image detection.</t>
  </si>
  <si>
    <t>GAN-generated MRI images augment a CNN/ViT Alzheimer’s disease classifier.</t>
  </si>
  <si>
    <t>None — improved generalization refers to neuroimaging diagnosis.</t>
  </si>
  <si>
    <t>Procedural and GAN-based synthetic grape-leaf images are compared as augmentation strategies for plant-disease recognition under cross-domain/data-scarce settings.</t>
  </si>
  <si>
    <t>None — generalization is for grape disease classifiers, not synthetic-image detectors.</t>
  </si>
  <si>
    <t>GAN-generated CT images increase diversity for an EfficientNet-based lung-disease classifier.</t>
  </si>
  <si>
    <t>None — synthetic media are augmentation for medical diagnosis.</t>
  </si>
  <si>
    <t>StarGANv2 translates endoscopy imagery between processor styles to improve downstream polyp-detection generalization across devices.</t>
  </si>
  <si>
    <t>None — generated images are domain-adaptation data, not the target of authenticity detection.</t>
  </si>
  <si>
    <t>GANs generate synthetic tomato-leaf images to expand the dataset and improve disease-classification performance and generalization.</t>
  </si>
  <si>
    <t>None — the detection target is tomato disease, not whether an image is AI-generated.</t>
  </si>
  <si>
    <t>Highly relevant survey covering generation and detection of AI-generated images/videos, datasets, robustness, generalizability, diffusion models and future challenges. However, it is secondary research rather than a primary empirical detector/evaluation study and therefore does not enter the primary evidence synthesis.</t>
  </si>
  <si>
    <t>Very High conceptually — directly addresses generalizability, robustness and adaptation of AI-generated-content detectors across image and video modalities.</t>
  </si>
  <si>
    <t>Retain separately for background, terminology, taxonomy construction, research-gap formulation, backward/forward snowballing and checking whether the Scopus search missed important primary studies.</t>
  </si>
  <si>
    <t>CycleGAN creates weather-adapted synthetic UAV imagery to improve weed detection and segmentation across environmental conditions.</t>
  </si>
  <si>
    <t>None — generalization concerns agricultural weed detection.</t>
  </si>
  <si>
    <t>Proposes synthetic-to-real domain adaptation and domain-invariant feature learning for traffic object detection.</t>
  </si>
  <si>
    <t>None — the synthetic/real distinction is a training-domain problem rather than the classification target.</t>
  </si>
  <si>
    <t>Classical parabola-shape detection evaluated using synthetic and medical images.</t>
  </si>
  <si>
    <t>None — unrelated to AI-generated-content detection and outside the publication window.</t>
  </si>
  <si>
    <t>Develops a generalist C. elegans detector, partly using synthetic image generation to augment training.</t>
  </si>
  <si>
    <t>None — “generalization” concerns detection of worms across imaging systems and appearances.</t>
  </si>
  <si>
    <t>Generates synthetic cut-paste training samples with geometric/context constraints for general object detection.</t>
  </si>
  <si>
    <t>None — synthetic images are augmentation rather than the forensic target.</t>
  </si>
  <si>
    <t>StyleGAN2-ADA creates synthetic MRI images to address data scarcity and class imbalance in Alzheimer’s classification.</t>
  </si>
  <si>
    <t>None — generalization concerns disease diagnosis.</t>
  </si>
  <si>
    <t>Studies mechanistic interpretability and cross-modality transfer in VAEs using tabular and synthetic-image benchmarks.</t>
  </si>
  <si>
    <t>None — no image-authenticity or AI-generated-content detection task is performed.</t>
  </si>
  <si>
    <t>Introduces real, video and synthetic blueberry datasets for robotic crop detection and model generalization.</t>
  </si>
  <si>
    <t>None — synthetic data support agricultural computer vision rather than generated-content detection.</t>
  </si>
  <si>
    <t>Improves DCGAN synthetic structural-image generation and uses those samples to enhance weak classifiers in civil-engineering tasks.</t>
  </si>
  <si>
    <t>None — “Generalization Ability” evaluates synthetic-data utility, not authenticity detection; also outside the publication period.</t>
  </si>
  <si>
    <t>Uses synthetically generated X-ray reference images for digital image correlation and displacement measurement.</t>
  </si>
  <si>
    <t>None — synthetic images are measurement references, not objects of forensic classification.</t>
  </si>
  <si>
    <t>GAN-generated surface-defect imagery augments CNN training for industrial defect classification.</t>
  </si>
  <si>
    <t>None — reported generalization applies to manufacturing inspection.</t>
  </si>
  <si>
    <t>cGAN-generated chest X-rays balance classes and improve pneumonia detection metrics.</t>
  </si>
  <si>
    <t>None — the target is medical diagnosis rather than synthetic-image provenance.</t>
  </si>
  <si>
    <t>Unity-generated synthetic construction images train Faster R-CNN to detect excavators in real construction imagery.</t>
  </si>
  <si>
    <t>None — synthetic→real object-detection transfer is outside scope.</t>
  </si>
  <si>
    <t>ZSGAN generates images of unseen semantic classes and domain-free networks distinguish seen versus unseen class domains for generalized zero-shot learning.</t>
  </si>
  <si>
    <t>None — “seen/unseen” refers to semantic object classes, not real-versus-AI-generated provenance or unseen generators.</t>
  </si>
  <si>
    <t>ControlNet transforms prosthetic-limb images into synthetic able-bodied representations so OpenPose can estimate joints without retraining.</t>
  </si>
  <si>
    <t>None — diffusion generation is a preprocessing mechanism for pose estimation.</t>
  </si>
  <si>
    <t>SRGAN-generated crop imagery augments CNN training for nutrient-deficiency detection.</t>
  </si>
  <si>
    <t>Procedurally generated geo-typical imagery enables test-time retraining and domain adaptation for building segmentation across geographic regions.</t>
  </si>
  <si>
    <t>None — generalization concerns remote-sensing building detection.</t>
  </si>
  <si>
    <t>Stable-Diffusion-generated subsea images augment CNN training for underwater pipeline leak detection.</t>
  </si>
  <si>
    <t>None — blind-test generalization concerns fault detection.</t>
  </si>
  <si>
    <t>Hybrid real/synthetic data and domain randomization improve object localization in aircraft-related autonomous operations.</t>
  </si>
  <si>
    <t>None — reality-gap reduction concerns downstream object localization.</t>
  </si>
  <si>
    <t>Studies how varying amounts of synthetic augmentation affect histopathological osteosarcoma classification.</t>
  </si>
  <si>
    <t>None — generalization is medical-classifier performance.</t>
  </si>
  <si>
    <t>Conditional GAN-generated fruit imagery augments a VGG16 quality/defect classifier and improves accuracy.</t>
  </si>
  <si>
    <t>None — synthetic imagery supports downstream fruit-quality classification.</t>
  </si>
  <si>
    <t>CAD-based synthetic imagery expands training diversity for tomato-flower detection and robotic pollination.</t>
  </si>
  <si>
    <t>None — target is flower localization and robotic control.</t>
  </si>
  <si>
    <t>Harmonized synthetic disaster-victim scenes are generated to train YOLO-based victim detectors under scarce-data conditions.</t>
  </si>
  <si>
    <t>None — the task is disaster-victim detection, not identifying synthetic content.</t>
  </si>
  <si>
    <t>Magna-Defect-GAN generates diverse industrial surface-defect images to augment defect-identification models.</t>
  </si>
  <si>
    <t>None — generalization refers to industrial defect classification.</t>
  </si>
  <si>
    <t>VAE-GAN-based HazeGEN creates annotated synthetic haze datasets to improve autonomous-driving segmentation and object detection.</t>
  </si>
  <si>
    <t>None — evaluation concerns whether synthetic datasets substitute real data for downstream perception, not synthetic-image authenticity.</t>
  </si>
  <si>
    <t>Full_Text_Status</t>
  </si>
  <si>
    <t>Full_Text_Source</t>
  </si>
  <si>
    <t>Retrieval_Notes</t>
  </si>
  <si>
    <t>Eligibility_Decision</t>
  </si>
  <si>
    <t>Exclusion_Reason</t>
  </si>
  <si>
    <t>Quality_Assessment_Eligible</t>
  </si>
  <si>
    <t>RETRIEVED</t>
  </si>
  <si>
    <t>Full-text PDF</t>
  </si>
  <si>
    <t>Successfully retrieved and screened in full text.</t>
  </si>
  <si>
    <t>AI-assisted full-text screening; validated by authors</t>
  </si>
  <si>
    <t>HIGH — Although strongly domain-specific to shrimp imagery, the paper contains a genuine computational AIGI detector and a deliberately held-out generator experiment. The detector uses CLIP ViT-L/14 + MLP and tests Stable Diffusion v2.1, SDXL and DALL-E 3 in mixed-generator evaluation, then tests previously withheld Midjourney v6 images separately. Cross-generator AUROC reaches 0.989, providing useful evidence that pretrained vision-language representations can transfer to an unseen generator within a constrained semantic domain. The limitation is equally important: generator transfer is demonstrated only within shrimp imagery, so this is generator generalization rather than broad content/domain generalization.</t>
  </si>
  <si>
    <t>YES</t>
  </si>
  <si>
    <t>Validate INCLUDE. Important domain-specific case study rather than evidence of universal AIGI detection. Extract separately as cross-generator = YES; cross-domain/content = NO/NOT DEMONSTRATED.</t>
  </si>
  <si>
    <t>Author/Drive Scrape</t>
  </si>
  <si>
    <t>Full text from Drive folder 'AIGI Research' (file: 1109 TIP 2026 3709453.pdf); screened in full text 2026-10-21.</t>
  </si>
  <si>
    <t>HIGH — offers a generator-independent, training-free physical-consistency cue that transfers across GAN, diffusion and autoregressive generators. Represents an emerging physics/ISP-based training-free paradigm that avoids generator-specific training data.</t>
  </si>
  <si>
    <t>Validate INCLUDE. Training-free so 'unseen generator' is inherent; zero-shot across 18 sets. Strength HIGH rather than VERY HIGH because absolute AUC is moderate and adversarial/resize not tested. Cue-field clarifications: Semantic_Features: generic self-supervised visual embeddings, not semantic alignment; Reconstruction_Latent_Features: ISP remapping, not generative reconstruction.</t>
  </si>
  <si>
    <t>LOW — Eligible primary empirical DeepFake-image detector, but the full text does not provide convincing unseen-generator, cross-generator or cross-dataset generalization testing. GAN-generated samples are primarily used to augment training and improve CNN classification; the paper reports 96.35% real/fake classification and describes this as improved robustness/generality. This is useful to the SLR precisely as an example where “generality” is claimed primarily from augmentation/closed experimental performance rather than rigorous OOD generalization.</t>
  </si>
  <si>
    <t>Validate INCLUDE. Do NOT code the authors' claim of improved “generality” as demonstrated cross-generator generalization. Treat as foundational/narrow DeepFake detection evidence and a methodological counterexample when defining rigorous generalization.</t>
  </si>
  <si>
    <t>Full text from Drive folder 'AIGI Research' (file: 10.5815ijigsp.2026.04.02.pdf); screened in full text 2026-10-21.</t>
  </si>
  <si>
    <t>MODERATE — Shows that adding forensic FFT/residual branches to foundation features can encode generator-specific shortcuts that harm transfer. Counter-example where multi-cue fusion improves in-domain accuracy but not cross-generator generalization.</t>
  </si>
  <si>
    <t>Validate INCLUDE. Cross-generator numbers only in Fig. 16 heat-map; coded Evidence_Supports_Generalization = NO because authors report degradation. Cue-field clarifications: Explainability: t-SNE only.</t>
  </si>
  <si>
    <t>VERY HIGH — SNIFF directly evaluates cross-generator synthetic-image detection. It trains only on Midjourney images from GenImage and evaluates all eight GenImage generators, including unseen diffusion/GAN families; it obtains 86.6% mean AP and 79.5% mean ACC. The study additionally evaluates Synthbuster with nine synthetic generators. This is strong evidence for single-generator→unseen-generator transfer, although Synthbuster models are retrained within the Synthbuster setting, so that experiment should not be misclassified as zero-shot GenImage→Synthbuster transfer. Performance also varies substantially by generator—for example, SNIFF accuracy ranges from 98.4% on Midjourney to 57.6% on BigGAN—which is highly relevant evidence that “generalizable” does not mean generator-invariant performance.</t>
  </si>
  <si>
    <t>Validate INCLUDE. Core SLR paper. Code cross-generator = YES; single-generator training = YES; cross-family GAN/diffusion = YES; independent cross-dataset zero-shot = NO/limited because Synthbuster models are retrained there. Preserve per-generator degradation for later synthesis.</t>
  </si>
  <si>
    <t>VERY HIGH — One of the strongest papers in this batch. SCA-Det learns structural/contextual artifacts using spatial and frequency information and is evaluated over extensive GAN and diffusion sources. Testing covers ForenSynths, nine additional GANs, GenImage, DiffusionForensics, Ojha and Diffusion1Kstep datasets. Critically, despite training only on four ProGAN image sets, it achieves 95.8% ACC/99.3% AP across 17 GAN models and also evaluates 28 diffusion-generated image sets; reported results include 88.1% ACC on GenImage, 94.5% on DiffusionForensics and 89.2% on Diffusion1Kstep.</t>
  </si>
  <si>
    <t>Validate INCLUDE. Core generalization paper. Code unseen-generator = YES; cross-GAN = YES; GAN→diffusion/cross-family = YES; cross-dataset = YES; broad generator diversity = VERY HIGH. Strong candidate for the eventual universal-detector evidence base.</t>
  </si>
  <si>
    <t>Not retrieved</t>
  </si>
  <si>
    <t>VERY HIGH — Directly operationalizes “universal” detection along two separate axes: cross-generator and cross-scene generalization. MS-DCL explicitly attempts to disentangle semantic/content information from generative traces using multi-scale extraction, feature disentanglement, spatial-frequency encoding and supervised contrastive learning. The experimental design separately evaluates cross-scene and cross-generator generalization. Reported average accuracy is 84.5% cross-generator and 90.7% cross-scene; the paper additionally evaluates JPEG/noise robustness and transfer to recent diffusion/transformer generators without additional fine-tuning.</t>
  </si>
  <si>
    <t>Validate INCLUDE. Core SLR paper and potentially important for constructing the SLR's definition of universalization. Code generalization dimensions separately: generator, scene/content/domain, post-processing robustness and newer-generator temporal transfer.</t>
  </si>
  <si>
    <t>MODERATE — Genuine primary AIGI detection study introducing FMACNN and RealAIGI, a Sora-generated dataset. The framework is evaluated using RealAIGI, CIFAKE and FaceForensics++, and the paper reports 99.12% accuracy for MACNN across its evaluation. It also studies federated robustness/scalability under increasing client counts and IID/non-IID distributions. However, the central contribution is privacy-preserving/federated detection rather than rigorous unseen-generator generalization, and the full text does not establish the kind of generator-held-out protocol seen in R0005/R0006/R0008.</t>
  </si>
  <si>
    <t>Validate INCLUDE. Code multi-dataset evaluation = YES but unseen-generator generalization = NOT CLEARLY DEMONSTRATED. Federated/non-IID robustness should be recorded separately from generator/domain generalization.</t>
  </si>
  <si>
    <t>VERY HIGH — Strong generalization study. Training uses only ProGAN-generated fake images from CNNSpot-DS, making other generator families generalization domains. IPD-Net models inter-patch dependencies and evaluates both in-dataset and cross-dataset performance. On GenImage—dominated by diffusion-generated imagery—IPD-Net obtains 82.71% cross-dataset accuracy versus 69.96% for UnivFD, 57.42% for CNNSpot and 56.88% for Fusing. This provides unusually clean evidence of ProGAN-trained GAN→diffusion/cross-dataset transfer.</t>
  </si>
  <si>
    <t>Validate INCLUDE. Core SLR paper. Code single-generator training = YES; unseen-generator = YES; cross-family GAN→diffusion = YES; cross-dataset = YES. Particularly valuable for quantifying how baselines collapse under generator-family shift.</t>
  </si>
  <si>
    <t>Full text from Drive folder 'AIGI Research' (file: 10.1109 TPAMI2026.3664388.pdf); screened in full text 2026-10-21.</t>
  </si>
  <si>
    <t>HIGH — Demonstrates that preserving foundation-model knowledge (avoiding catastrophic specialisation) improves cross-benchmark transfer and that AP alone overstates generalization. Key evidence on evaluation bias (format bias, threshold sensitivity) and knowledge-retention for generalization.</t>
  </si>
  <si>
    <t>Validate INCLUDE. Table I values OCR-verified from page 8. Strength coded HIGH (broad protocol, but mean ACC 72% and no robustness). Cue-field clarifications: Explainability: t-SNE.</t>
  </si>
  <si>
    <t>Full text from Drive folder 'AIGI Research' (file: 10.1109 TMM.2026.3682154.pdf); screened in full text 2026-10-21.</t>
  </si>
  <si>
    <t>MODERATE — Shows that even generalizable detectors are not adversarially robust; robustness is a separate unsolved axis of universality. Primary adversarial counter-forensic evidence for RQ4.</t>
  </si>
  <si>
    <t>Validate INCLUDE. Robustness/adversarial study rather than a new detector; included under IC3 (evaluates detection methods) and IC4 (robustness).</t>
  </si>
  <si>
    <t>HIGH — Domain-specific synthetic-face detector, but full-text experiments extend beyond one generator and explicitly evaluate both GAN- and diffusion-generated images plus post-processing representative of Online Social Networks. The proposed GoC + RNet approach reports 100% accuracy/AUC/precision/recall/F1 on multiple GAN/DM image sets and tests resilience to compression, resizing, noise and filtering. This is particularly useful robustness evidence, although the authors acknowledge that evaluation remains centered on typical simulated OSN perturbations and identify additional generators and real OSN-manipulated datasets as future work.</t>
  </si>
  <si>
    <t>Validate INCLUDE. Code generator diversity = YES; GAN+diffusion = YES; post-processing robustness = YES; domain/content generalization = LIMITED because the method remains synthetic-face-specific; real-world OSN validation = NOT FULLY DEMONSTRATED.</t>
  </si>
  <si>
    <t>LOW — Eligible empirical DeepFake-image detector, but the full-text evaluation does not substantiate broad generalization. The method uses facial cropping and a conventional 70:30 train/test split of the Deep Fake Dataset rather than a generator-held-out or cross-dataset protocol. The complete architecture reaches 97.93% accuracy and AUC 0.988 in this setting; the paper attributes reduced overfitting/generalization benefits partly to GAP, but these are architectural/in-domain claims rather than demonstrated OOD generalization.</t>
  </si>
  <si>
    <t>Validate INCLUDE. Important negative/contrast case for the SLR: high closed-set accuracy must not be interpreted as universal/generalized detection. Code cross-generator = NO; cross-dataset = NO; conventional split = YES; face-specific = YES.</t>
  </si>
  <si>
    <t>VERY HIGH — Explicit generalization/robustness study using complementary PRNU noise residual and bilateral high-pass frequency representations with a compact attention network. The detector is trained on ProGAN-generated images and evaluated across different GANs, categories and color-manipulation settings. The paper reports approximately 5% improvement over SOTA across experimental settings. More specifically, it reports roughly +5% in cross-category evaluation, +6% when testing other GAN models despite training only on ProGAN, and +5.4% under color manipulation. Its limitation for your universalization thesis is important: the demonstrated generator generalization remains within the GAN family rather than testing transfer to diffusion/transformer generators.</t>
  </si>
  <si>
    <t>Validate INCLUDE. Core/foundational generalization paper. Code cross-GAN = YES; cross-category = YES; post-processing/color robustness = YES; cross-family GAN→diffusion = NO. Useful historical bridge between GAN-specific generalization and newer universal GAN+diffusion approaches.</t>
  </si>
  <si>
    <t>Full text from Drive folder 'AIGI Research' (file: 10.1109 TCSVT.2026.3656696.pdf); screened in full text 2026-10-21.</t>
  </si>
  <si>
    <t>HIGH — Upsampling grid artifacts transfer GAN→diffusion but are fragile to compression. Evidence that low-level upsampling cues give strong cross-family transfer but trade off compression robustness.</t>
  </si>
  <si>
    <t>Validate INCLUDE. Numbers from text; Table values not OCR'd. Cue-field clarifications: Frequency_Features: periodicity captured spatially.</t>
  </si>
  <si>
    <t>HIGH — Useful evidence for semantic generalization, but narrow in domain/family [auto-filled 2026-10-21 from 10_Analysis_Ready]</t>
  </si>
  <si>
    <t>MODERATE — Useful for separating zero-shot transfer from target-adapted calibration [auto-filled 2026-10-21 from 10_Analysis_Ready]</t>
  </si>
  <si>
    <t>Full text from Drive folder 'AIGI Research' (file: 10.1109 TBIOM.2026.3687469.pdf); screened in full text 2026-10-21.</t>
  </si>
  <si>
    <t>MODERATE — Inter-channel spectral cues transfer across GAN and diffusion faces; untested on general scenes. Face-domain evidence that explicit inter-channel spectral modelling mitigates dataset bias.</t>
  </si>
  <si>
    <t>Validate INCLUDE. Included under precedent for face-specific detectors with explicit cross-model generalization (EC4 not triggered).</t>
  </si>
  <si>
    <t>Status corrected 2026-10-21 (was RETRIEVED/Author-Drive Scrape): No full text in AIGI Research folder (no file matches DOI 10.1109/TMM.2026.3668513 or title).</t>
  </si>
  <si>
    <t>LOW — Important negative methodological example for SLR [auto-filled 2026-10-21 from 10_Analysis_Ready]</t>
  </si>
  <si>
    <t>Human-only contribution</t>
  </si>
  <si>
    <t>NO</t>
  </si>
  <si>
    <t>Validate EXCLUDE under FT-EC5 (Human-only contribution).</t>
  </si>
  <si>
    <t>MODERATE — Useful distinction between universal detection and uncertainty-aware abstention [auto-filled 2026-10-21 from 10_Analysis_Ready]</t>
  </si>
  <si>
    <t>VERY HIGH — Among strongest universal-detection papers, but realistic deployment remains unsolved [auto-filled 2026-10-21 from 10_Analysis_Ready]</t>
  </si>
  <si>
    <t>VERY HIGH — Strong evidence for mechanism-based transferable artifacts [auto-filled 2026-10-21 from 10_Analysis_Ready]</t>
  </si>
  <si>
    <t>MODERATE — Highly relevant negative result for universal/open-world attribution [auto-filled 2026-10-21 from 10_Analysis_Ready]</t>
  </si>
  <si>
    <t>HIGH — Strong open-set attribution paper, though not universal detection [auto-filled 2026-10-21 from 10_Analysis_Ready]</t>
  </si>
  <si>
    <t>MODERATE — Very useful negative evidence against assuming same-family transfer [auto-filled 2026-10-21 from 10_Analysis_Ready]</t>
  </si>
  <si>
    <t>Full text from Drive folder 'AIGI Research' (file: 10.1109ACCESS.2024.3470128.pdf (duplicate copy: Boosting_Deep_Feature_Fusion...pdf)); screened in full text 2026-10-21.</t>
  </si>
  <si>
    <t>LOW — closed-set GAN-face benchmark. Example of closed-set face-GAN detection where 'generalization' is inferred from validation accuracy.</t>
  </si>
  <si>
    <t>Validate INCLUDE. Included for consistency with prior corpus decisions on fully synthetic GAN-face detectors (e.g., R0131, R0071); coded LOW.</t>
  </si>
  <si>
    <t>Full text from Drive folder 'AIGI Research' (file: 10.3390electronics15030716.pdf); screened in full text 2026-10-21.</t>
  </si>
  <si>
    <t>LOW — claims cross-model generalization without verifiable held-out protocol. Example of claimed-versus-demonstrated generalization gap caused by under-specified protocols.</t>
  </si>
  <si>
    <t>Validate INCLUDE. Unseen_Generator_Test coded UNCLEAR: paper states 80/20 splits of DFDC/ForenSynths/GenImage but tables reuse ProGAN-only protocol baselines.</t>
  </si>
  <si>
    <t>Full text from Drive folder 'AIGI Research' (file: 10.1109.OJSP.2026.3684389.pdf); screened in full text 2026-10-21.</t>
  </si>
  <si>
    <t>MODERATE — shows current 'generalizable' detectors fail on commercial generators in a semantically complex domain. Evidence of content-domain and commercial-generator shift causing threshold collapse; scales attribution to ~900 models.</t>
  </si>
  <si>
    <t>Validate INCLUDE. Benchmark paper; Zero_Shot_or_Adapted MIXED (detection zero-shot with pretrained weights, source tracing fine-tuned).</t>
  </si>
  <si>
    <t>VERY HIGH — Forensic/source-attribution study showing that AI-generator fingerprints can interfere with smartphone SPN-based source identification. Matching works strongly only when generation resolution is identical; different resolutions break reliable matching. Standard PCE thresholding produces severe false positives, including FPR 1.0 for ChatGPT-5 and 0.61 for Firefly Image 4 against smartphone fingerprints. Center cropping removes the false positives while preserving true-match evidence.</t>
  </si>
  <si>
    <t>Validate INCLUDE under forensic/source-attribution scope. Code generator fingerprinting = YES; resolution sensitivity = YES; severe false-positive evidence = YES; source-camera interference = YES.</t>
  </si>
  <si>
    <t>VERY HIGH — DiffCoR combines Stable-Diffusion reconstruction discrepancies, latent consistency learning and DFT features. ForensicsImage contains 439,901 images across multiple GAN and diffusion/text-to-image generators. Explicit cross-dataset/cross-generator evaluation trains on LSUN-Bedroom LDM and tests on unseen DDPM, IDDPM, DDIM, GD and LDM-t2i, with very high AUC on several held-out generators.</t>
  </si>
  <si>
    <t>Validate INCLUDE. Code GAN+diffusion coverage = YES; unseen-generator testing = YES; cross-dataset/generalization = YES; reconstruction + representation consistency + frequency = YES.</t>
  </si>
  <si>
    <t>EXTREMELY HIGH — APN explicitly evaluates both cross-generator and cross-scene generalization. For cross-generator testing, the detector is trained on one generator and tested on others; for cross-scene testing, generators are kept fixed while content changes from ImageNet to LSUN-Bedroom. APN achieves 80.4% average accuracy on GenImage and 98.7% on DiffusionForensics, while cross-scene accuracy drops only 0.1%.</t>
  </si>
  <si>
    <t>Validate INCLUDE. Code cross-generator = YES; cross-scene = YES; one-generator→unseen-generator = YES; domain-agnostic artifact extraction = YES.</t>
  </si>
  <si>
    <t>VERY HIGH — Strong robustness/failure study. VIPPrint evaluates GAN-image detectors after physical print-and-scan transformation. Detectors that achieve ≥96% accuracy on digital images collapse to approximately 50% accuracy after print-scan, with most methods showing zero precision and recall for fake-image detection.</t>
  </si>
  <si>
    <t>Validate INCLUDE. Code physical transformation = YES; print-scan robustness = YES; catastrophic generalization failure = YES; GAN face domain = YES.</t>
  </si>
  <si>
    <t>Full text newly located in Drive folder 'AIGI Research' (file: 10.1109 TIFS.2025.3592531.pdf); screened in full text 2026-10-21.</t>
  </si>
  <si>
    <t>HIGH — Directly addresses unknown-generator rejection, a prerequisite for open-world forensics. Open-set attribution evidence with novel backdoor-based rejection mechanism.</t>
  </si>
  <si>
    <t>Validate INCLUDE. Previously logged Not retrieved; full text found in AIGI Reseach folder ('10.1109 TIFS.2025.3592531.pdf').</t>
  </si>
  <si>
    <t>LOW–MODERATE — ViT-based binary AI-image detector evaluated on a balanced Kaggle dataset with augmentation and architectural ablations. Strong within-dataset accuracy is reported, but no clean held-out-generator or cross-dataset evaluation is demonstrated. The paper itself notes potential overfitting and the need for more diverse datasets to improve generalization.</t>
  </si>
  <si>
    <t>Validate INCLUDE. Code ViT = YES; within-dataset binary detection = YES; unseen-generator = NO demonstrated; cross-dataset = NO demonstrated.</t>
  </si>
  <si>
    <t>VERY HIGH — SIDWA combines spatial deformable attention with DWT-frequency features and evaluates a broad SIDset containing GAN, diffusion and newer text-to-image generators including ADM, PNDM, IDDPM, Midjourney, VQDM, HunyuanImage, Seedream and FLUX.2. Evaluation includes cross-dataset tests and common post-processing attacks; cross-generator performance remains more stable than several baselines.</t>
  </si>
  <si>
    <t>Validate INCLUDE. Code broad multi-generator coverage = YES; cross-generator = YES; cross-dataset = YES; JPEG/blur/rescaling robustness = YES.</t>
  </si>
  <si>
    <t>Full text from Drive folder 'AIGI Research' (file: 1109 LSP 2026.3678476.pdf); screened in full text 2026-10-21.</t>
  </si>
  <si>
    <t>HIGH — Camera-noise residuals give strong cross-generator transfer within diffusion family. Evidence for acquisition-pipeline (noise/ISP) cues as generator-agnostic representation.</t>
  </si>
  <si>
    <t>Validate INCLUDE. IEEE Signal Processing Letters treated as peer-reviewed journal (consistent with inclusion of Pattern Recognition Letters papers). Cue-field clarifications: Semantic_Features: content suppressed; Reconstruction_Latent_Features: denoising residual, not generative reconstruction.</t>
  </si>
  <si>
    <t>Full text newly located in Drive folder 'AIGI Research' (file: 10.1109.TIFS.2026.3676657.pdf); screened in full text 2026-10-21.</t>
  </si>
  <si>
    <t>VERY HIGH — principled use of CLIP stage-wise representations to avoid artifact-specific overfitting. Mechanistic evidence on where CLIP encodes generator vs semantic artifacts and format-bias sensitivity of SOTA detectors.</t>
  </si>
  <si>
    <t>Validate INCLUDE. Previously logged Not retrieved; full text found in folder ('10.1109.TIFS.2026.3676657.pdf').</t>
  </si>
  <si>
    <t>Author/Drive Scrape (RIS citation + abstract only)</t>
  </si>
  <si>
    <t>Assessed 2026-10-21 using the only available text (RIS record with abstract, file mislabelled 'ALCON-Net_ Feature Aggregation…'). Full text unavailable.</t>
  </si>
  <si>
    <t>Only the abstract is available: the ViT + multimodal metadata fusion + PPO active-learning detector reports 92–95% accuracy but datasets, generators, train/test protocol and baselines cannot be assessed (EC9/IC7).</t>
  </si>
  <si>
    <t>UNASSESSABLE — abstract claims no explicit unseen-generator or cross-dataset evaluation.</t>
  </si>
  <si>
    <t>Validate EXCLUDE under FT-EC9 (insufficient information). Re-screen if full text is obtained.</t>
  </si>
  <si>
    <t>Full text from Drive folder 'AIGI Research' (file: 10.1109ACCESS.2024.3382196.pdf (duplicate copy: Enhancing_Deepfake_Detection...pdf)); screened in full text 2026-10-21.</t>
  </si>
  <si>
    <t>MODERATE — pseudo-fake augmentation strategy for generalization; limited transfer to fully synthetic content. Supporting deepfake literature on synthetic-training-data strategies for cross-dataset generalization.</t>
  </si>
  <si>
    <t>Validate INCLUDE. Included as secondary deepfake literature with explicit cross-dataset generalization, consistent with prior inclusion of R0275 (FD2Foremer) and R0309; frame-level image analysis.</t>
  </si>
  <si>
    <t>MODERATE–HIGH — Domain-specific medical deepfake study using skin-cancer images generated by DCGAN, Pix2Pix, DDPM and VQ-Diffusion. The task includes exact generator attribution and family-level Real/GAN/Diffusion classification. Hybrid transfer learning plus DSBN improves family-level performance to 98.22%, but all experiments use one medical dataset and no cross-dataset validation is performed.</t>
  </si>
  <si>
    <t>Validate INCLUDE. Code medical domain = YES; generator/family attribution = YES; GAN+diffusion = YES; DSBN = YES; cross-dataset = NO; unseen-generator = NO demonstrated.</t>
  </si>
  <si>
    <t>VERY HIGH — RGB, LBP and GLCM texture fusion detector with explicit transfer tests. Models trained on ProGAN are tested on unseen StyleGAN, BigGAN, StarGAN and CycleGAN, and also on Midjourney, SD v1.4, SD v1.5 and Wukong. Separate deepfake experiments train on FF++ and test on Celeb-DF and WildDeepfake. Robustness experiments include JPEG, Gaussian blur, sharpening and adversarial attacks.</t>
  </si>
  <si>
    <t>Validate INCLUDE. Code ProGAN→unseen GAN = YES; GAN→diffusion/text-to-image = YES; cross-dataset = YES; post-processing/adversarial robustness = YES.</t>
  </si>
  <si>
    <t>VERY HIGH — Comparative evaluation of PRNU+CNN, ELA+CNN and LaRE² across ADM, BigGAN, FLUX, Midjourney and Stable Diffusion v1.5. The study explicitly separates same-generator, cross-generator held-out and combined multi-generator protocols. Cross-model performance varies strongly by generator architecture; BigGAN causes major failures while architecturally similar diffusion-family models transfer better. Combined known-generator training exceeds 99%, but the authors correctly caution that this does not prove future unseen-generator generalization.</t>
  </si>
  <si>
    <t>Validate INCLUDE. Code cross-generator = YES; architecture dependence = YES; GAN vs diffusion/transformer-diffusion = YES; pooled-known-generator ≠ unseen generalization = YES.</t>
  </si>
  <si>
    <t>LOW — Domain-specific interior-design detector using four ViT configurations on a custom dataset with a conventional 80/20 split. ViT-B16 and ViT-L16 achieve 96.25% accuracy and 0.9625 F1, but the paper explicitly notes potential stylistic/lighting bias and states that testing on datasets generated by different AI models is required to validate generalization.</t>
  </si>
  <si>
    <t>Validate INCLUDE. Code interior-design domain = YES; ViT = YES; random split = YES; generator-held-out = NO; cross-dataset = NO; cross-family = NO.</t>
  </si>
  <si>
    <t>LOW — DeepFake detection study focusing on EfficientNet-B3. Evaluates on DeepFake and Real Images dataset. No cross-generator or unseen-generator generalization is explicitly demonstrated.</t>
  </si>
  <si>
    <t>Validate INCLUDE. Code cross-generator = NO; cross-dataset = NO.</t>
  </si>
  <si>
    <t>Full text from Drive folder 'AIGI Research' (file: 10.1109.ACCESS.2025.3597641.pdf); screened in full text 2026-10-21.</t>
  </si>
  <si>
    <t>LOW — Counter-forensic evidence: frequency cues are removable, semantic cues more stable. RQ4 adversarial/anti-forensic evidence complementing R0013 and R0101.</t>
  </si>
  <si>
    <t>Validate INCLUDE. Included as counter-forensic robustness study (evaluates detection methods), consistent with prior inclusion of R0101.</t>
  </si>
  <si>
    <t>MODERATE — Uses learned image compression to distinguish real from synthetic faces. Evaluates on GAN and Diffusion Models. Demonstrates some generalization across generator families (GAN to Diffusion).</t>
  </si>
  <si>
    <t>Validate INCLUDE. Code GAN+diffusion = YES; cross-family = YES.</t>
  </si>
  <si>
    <t>LOW — Uses LBP and traditional ML for GAN face face detection. No explicit cross-generator or cross-dataset generalization demonstrated.</t>
  </si>
  <si>
    <t>Validate INCLUDE. Code cross-generator = NO.</t>
  </si>
  <si>
    <t>HIGH — Proposes a dual-adaptation approach for generalizable AI-generated image detection. Explores generalization across different generative models.</t>
  </si>
  <si>
    <t>Validate INCLUDE. Code cross-generator = YES.</t>
  </si>
  <si>
    <t>VERY HIGH — Aims to build a universal detector without training on AI-generated images, demonstrating strong zero-shot generalization capabilities across various generators.</t>
  </si>
  <si>
    <t>Validate INCLUDE. Code zero-shot = YES; cross-generator = YES.</t>
  </si>
  <si>
    <t>VERY HIGH — Introduces a benchmark for continual AI-generated image detection. Evaluates across multiple generative models and datasets, focusing on generalization and catastrophic forgetting.</t>
  </si>
  <si>
    <t>Validate INCLUDE. Code cross-dataset = YES; multi-generator = YES; continual learning = YES.</t>
  </si>
  <si>
    <t>HIGH — Proposes a multi-view feature fusion network to improve generalizability in AI-generated image detection.</t>
  </si>
  <si>
    <t>LOW — Standard deep learning approach for deepfake image detection. Lacks explicit focus on cross-generator generalization.</t>
  </si>
  <si>
    <t>Status corrected 2026-10-21 (was RETRIEVED/Author-Drive Scrape): No full text in AIGI Research folder (no file matches DOI 10.7717/peerj-cs.3655 or title).</t>
  </si>
  <si>
    <t>MODERATE — Proposes a structure searchable network model for deepfake detection. Generalization capabilities are evaluated but may be limited to specific manipulations.</t>
  </si>
  <si>
    <t>Validate INCLUDE.</t>
  </si>
  <si>
    <t>Full text from Drive folder 'AIGI Research' (file: 10.1109.ACCESS.2024.3393842.pdf); screened in full text 2026-10-21.</t>
  </si>
  <si>
    <t>LOW — closed-set StyleGAN face detection. Example of closed-set ensemble detectors with 'robust' framing but no robustness evaluation.</t>
  </si>
  <si>
    <t>Validate INCLUDE. Fully synthetic GAN faces (IC1 met); included for consistency with prior closed-set face-GAN inclusions; LOW.</t>
  </si>
  <si>
    <t>HIGH — Investigates biases in AI-generated image detection across ethnicity, gender, and age, providing important insights into the robustness and fairness of detectors across different demographic domains.</t>
  </si>
  <si>
    <t>Validate INCLUDE. Code domain generalization = YES; bias evaluation = YES.</t>
  </si>
  <si>
    <t>Full text from Drive folder 'AIGI Research' (file: 10.1109.LSP.2026.3710437.pdf); screened in full text 2026-10-21.</t>
  </si>
  <si>
    <t>HIGH — Shows complementary local statistics + concept alignment improve cross-family transfer. Evidence for hybrid low-level/semantic fusion as a generalization strategy.</t>
  </si>
  <si>
    <t>Validate INCLUDE. Supplementary material not in folder; robustness coded NO for main-text evidence.</t>
  </si>
  <si>
    <t>MODERATE — Comparative study evaluating existing AI-generated image detection methods. Evaluates multiple models on standard datasets. Focuses on performance comparison rather than proposing a novel generalized architecture.</t>
  </si>
  <si>
    <t>Validate INCLUDE. Code cross-generator = YES; comparative evaluation = YES; novel architecture = NO.</t>
  </si>
  <si>
    <t>LOW — Introduces a database for natural language-based detection of deepfakes. Focuses on linguistic profiling rather than visual content detection. Not directly relevant to the core SLR focus on visual generalization.</t>
  </si>
  <si>
    <t>Validate INCLUDE. Code text/linguistic focus = YES; visual detection = NO.</t>
  </si>
  <si>
    <t>Status corrected 2026-10-21 (was RETRIEVED/Author-Drive Scrape): File '1109OJSP.2026.3710125.pdf' is actually ACM IH&amp;MMSec'24 paper 10.1145/3658664.3659635 (print-and-scan augmentation), byte-identical to '3658664.3659635.pdf'; the OJSP article itself was not obtained.</t>
  </si>
  <si>
    <t>HIGH — Proposes a dual-branch Transformer architecture combining spatial and frequency-domain representations. Evaluates on GAN-generated images and demonstrates strong generalization to unseen StyleGAN3 samples.</t>
  </si>
  <si>
    <t>Validate INCLUDE. Code spatial+frequency = YES; cross-generator = YES; transformer = YES.</t>
  </si>
  <si>
    <t>Full text from Drive folder 'AIGI Research' (file: 10.1109.TCSVT.2026.3683200.pdf); screened in full text 2026-10-21.</t>
  </si>
  <si>
    <t>MODERATE — Represents adaptive rather than universal detection: accepts that zero-shot fails and optimises cheap updates. Continual/adaptive evidence for RQ3; quantifies forgetting vs adaptation trade-off.</t>
  </si>
  <si>
    <t>Validate INCLUDE. Coded Continual_Adaptive_Test YES and Zero_Shot_or_Adapted FINE-TUNED; Target_Data_Used YES (500–1,000 target images).</t>
  </si>
  <si>
    <t>Full text from Drive folder 'AIGI Research' (file: 10.1109.TMM.2026.3651067.pdf); screened in full text 2026-10-21.</t>
  </si>
  <si>
    <t>HIGH — Shows foundation-model PEFT gives robust offline transfer and that continual updates are needed for newest generators. Bridges zero-shot generalization and continual adaptation; documents JPEG-bias failure of low-level detectors.</t>
  </si>
  <si>
    <t>Validate INCLUDE. Zero_Shot_or_Adapted MIXED (offline zero-shot + continual fine-tuning).</t>
  </si>
  <si>
    <t>HIGH — Introduces DeepGuard, a contrastive learning framework for identifying and attributing AI-generated images. Evaluates across multiple generative models to demonstrate robustness and generalization.</t>
  </si>
  <si>
    <t>Validate INCLUDE. Code contrastive learning = YES; source attribution = YES; cross-generator = YES.</t>
  </si>
  <si>
    <t>VERY HIGH — Utilizes CLIP with an attention-based cropping and fusion mechanism to detect AI-generated content. Demonstrates strong generalization capabilities across diverse generative models by leveraging vision-language representations.</t>
  </si>
  <si>
    <t>Validate INCLUDE. Code CLIP = YES; cross-generator = YES; vision-language = YES.</t>
  </si>
  <si>
    <t>VERY HIGH — Proposes NSFF, combining noise artifacts in poorly textured regions with global and local semantic information. Demonstrates effective generalization to unseen generative models with small-scale supervised training.</t>
  </si>
  <si>
    <t>Validate INCLUDE. Code noise+semantic fusion = YES; unseen-generator = YES; cross-dataset = YES.</t>
  </si>
  <si>
    <t>MODERATE — Domain-specific study focusing on synthetic skin cancer images. Uses transfer learning for detection. Evaluates within the medical domain, so cross-domain generalization is limited.</t>
  </si>
  <si>
    <t>Validate INCLUDE. Code medical domain = YES; transfer learning = YES; cross-dataset = NO.</t>
  </si>
  <si>
    <t>LOW — General machine learning approach for photo authenticity. Lacks rigorous unseen-generator or cross-dataset evaluation.</t>
  </si>
  <si>
    <t>Corrected 2026-10-21: row previously showed INCLUDE/‘successfully retrieved’ fields that belonged to neighbouring records (Record_ID misalignment). No full text, extraction or taxonomy row exists for this record.</t>
  </si>
  <si>
    <t>MODERATE — Demonstrates the vulnerability of state-of-the-art GAN detectors to black-box contrastive perturbation attacks that erase GAN fingerprints [auto-filled 2026-10-21 from 10_Analysis_Ready]</t>
  </si>
  <si>
    <t>MODERATE — Demonstrates active perturbation probing as a generalizable alternative to passive reconstruction error for diffusion deepfake detection [auto-filled 2026-10-21 from 10_Analysis_Ready]</t>
  </si>
  <si>
    <t>HIGH — Full text resolves the earlier scope ambiguity. HPUNet directly addresses detection and localization of AI-generated/AI-tampered imagery rather than conventional forgery alone. Its AITfake dataset contains full-image synthesis from BigGAN, DDPM, FuseDream and GLIDE; localized generative edits from Inpaint Anything, Paint by Example and StyleCLIP; and Copy-Move as a conventional manipulation comparator. HPUNet reaches 99.56% average detection ACC and 98.03% F1 on AITfake, with similarly high results across GAN, diffusion and manual-forgery subsets. More importantly for this review, it is trained on AITfake and separately validated on CoCoGLIDE, HIFI-IFDL, GenImage and CASIA, where the authors report first- or second-best performance across all four datasets. This is genuine cross-dataset evidence, although not a clean leave-one-generator-out protocol.</t>
  </si>
  <si>
    <t>Validate INCLUDE. Code AI-generated full-image detection = YES; generative inpainting/local manipulation = YES; localization = YES; GAN + diffusion = YES; conventional Copy-Move comparator = YES; cross-dataset = YES; strict unseen-generator protocol = NOT demonstrated. Particularly useful because it spans complete synthesis and partially synthetic images, extending beyond simple binary full-image AIGI detection.</t>
  </si>
  <si>
    <t>EXTREMELY HIGH — Direct AIGI detection study with unusually explicit generalization testing in the artwork domain. SCADET combines Dynamic Frequency Attention and Contrastive Spectral Analysis to distinguish legitimate stylistic spectral variation from generative artifacts. The primary AI-ArtBench experiment contains &gt;180,000 artworks, while an additional test set uses unseen Midjourney V5 and DALL-E 3 outputs specifically to evaluate adaptation to evolving generators. SCADET obtains full-image AUC 0.962, local-image AUC 0.801, cross-model mean accuracy 0.81, and an explicit unseen-model detection rate of 0.76. It also retains 0.93 of performance under compression and 0.88 under low-resolution conditions, although accuracy on the newer MAE technology falls to 78% and computational cost roughly doubles relative to CNN-DCT.</t>
  </si>
  <si>
    <t>Validate INCLUDE. Core generalization paper. Code artwork domain = YES; unseen Midjourney V5/DALL-E 3 = YES; cross-model = YES; local-region detection = YES; compression robustness = YES; low-resolution robustness = YES; computational trade-off = YES. Important non-photographic-domain evidence for whether universal detectors extend to artistic imagery.</t>
  </si>
  <si>
    <t>HIGH — Early direct GAN-generated-image detector using transfer-learned CNNs and a purpose-built Real or Synthetic Images (RSI) dataset covering multiple synthesis tasks and architectures. The best EfficientNetB4 detector reaches 100% accuracy on the RSI test set, but the stronger contribution is external and held-out-modality testing rather than this closed-set headline result. When one synthesis modality is omitted during training, accuracy remains 99% for held-out image-to-image, 83% for sketch-to-image and 95% for text-to-image. External tests on ADE20K, Sketchy and CUB-200-2011 obtain 88.9%, 94.3% and 97.8% accuracy respectively. Failure analysis shows sensitivity to blurry, old/vintage, low-quality and motion-affected real imagery, while adversarial robustness is explicitly left for future work.</t>
  </si>
  <si>
    <t>Validate INCLUDE. Code GAN-only era = YES; external-dataset testing = YES; held-out synthesis modality = YES; CAM interpretability = YES; diffusion generators = NO; adversarial testing = NO. Strong historical generalization evidence, but weaker than modern cross-GAN→diffusion protocols.</t>
  </si>
  <si>
    <t>EXTREMELY HIGH — GADNet directly targets the accuracy–generalization–efficiency trade-off using differential convolutions, Gram-matrix gradient-aware enhancement and complex-region guidance. All compared detectors trained on ProGAN are evaluated on AIGCDetectBenchmark containing 16 generator types, providing a narrow-train/broad-test generalization design. Across challenging test sets, GADNet achieves 94.7%/99.3% mean ACC/AP on nine GANs and 93.0%/97.7% on an unseen diffusion-focused test set; its DM-average performance is also strong on commercial sources such as Midjourney and DALL-E 2. The detector uses only 2.32M parameters and reports 92.9% ACC / 97.9% AP overall, substantially smaller than UniFD. A meaningful weakness remains: JPEG compression substantially degrades performance because the method depends on local pixel correlations, whereas resizing and Gaussian blur are handled more robustly.</t>
  </si>
  <si>
    <t>Validate INCLUDE. Core SLR paper. Code ProGAN→16-generator testing = YES; unseen GAN/diffusion = YES; commercial generators = YES; lightweight = YES; JPEG weakness = YES; resizing/blur robustness = YES. Strong evidence that shallow artifact modelling can generalize without a very large pretrained VLM, but JPEG fragility is operationally important.</t>
  </si>
  <si>
    <t>Digital Signal Processing</t>
  </si>
  <si>
    <t>EXTREMELY HIGH — One of the strongest explicitly designed generalization studies in this batch. The detector combines local artifacts from both texture-rich and texture-poor patches with whole-image CLIP-ViT semantics and evaluates two complementary protocols: train-on-many/test-on-many and, crucially, train-on-one/test-on-many, where all test generators except the single training source are unseen. On Benchmark1 it reaches 99.5% in-domain ACC and 93.0% OOD ACC, with 97.3% OOD AP, exceeding AIDE's 89.3% OOD ACC. Additional experiments train only on SD1.4 and evaluate on Chameleon and Synthbuster specifically as unseen-source benchmarks. Robustness testing also shows 87.80% accuracy at JPEG QF=90 and 83.43% under Gaussian blur σ=3.0, plus comparatively strong persistence on repeatedly web-transformed B-Free imagery.</t>
  </si>
  <si>
    <t>Validate INCLUDE. Core universalization evidence. Code train-one/test-many = YES; OOD generator evaluation = YES; CLIP global semantics = YES; texture-rich + texture-poor local artifacts = YES; Chameleon = YES; Synthbuster = YES; JPEG/blur/social-media robustness = YES. High-priority paper for synthesis.</t>
  </si>
  <si>
    <t>EXTREMELY HIGH — Conceptually important because it treats universal detection as a reliability/OOD-recognition problem, not merely an accuracy problem. A Bayesian Neural Network provides predictive uncertainty and explicit abstention so that the system can flag samples on which its authenticity judgment should not be trusted. The principal cross-generator experiment trains on ProGAN + LSUN but tests on unseen StyleGAN2, StyleGAN3, BigGAN, DALL-E mini, DALL-E 2, Stable Diffusion, latent diffusion and Taming Transformer imagery, alongside unseen real datasets COCO, ImageNet and UCID. Detection does degrade OOD—especially on StyleGAN3 and DALL-E 2—but uncertainty-based abstention improves reliability rather than masking these failures. Combined abstention reduces error substantially across difficult datasets, e.g. StyleGAN2 error to 0.040 and GLIDE to 0.016. Real-world TrueFace tests further show increased uncertainty after Facebook/Twitter/Telegram/WhatsApp processing, including cases of confidently wrong authenticity predictions that auxiliary compression signals help identify.</t>
  </si>
  <si>
    <t>Validate INCLUDE. Core reliability paper. Code explicit OOD = YES; ProGAN→GAN/diffusion/transformer = YES; unseen real datasets = YES; uncertainty = YES; abstention = YES; JPEG/post-processing = YES; social-media transformations = YES. Very valuable counterpoint to papers that report universal accuracy without modelling when the detector is unreliable.</t>
  </si>
  <si>
    <t>Full text from Drive folder 'AIGI Research' (file: 10.1109.TCSVT.2024.3383833.pdf); screened in full text 2026-10-21.</t>
  </si>
  <si>
    <t>MODERATE — Introduces label-free paradigm; generalization remains generator-family dependent. Evidence on data-poisoning (label flipping) robustness and unsupervised detection.</t>
  </si>
  <si>
    <t>Validate INCLUDE. Adversarial_Attack coded YES for label-flipping (training-data poisoning) attack.</t>
  </si>
  <si>
    <t>Status corrected 2026-10-21 (was RETRIEVED/Author-Drive Scrape): No full text in AIGI Research folder (no file matches DOI 10.1109/LSP.2026.3658434 or title).</t>
  </si>
  <si>
    <t>Full text newly located in Drive folder 'AIGI Research' (file: 10.1109LSP.2026.3714736.pdf); screened in full text 2026-10-21.</t>
  </si>
  <si>
    <t>HIGH — Architectural evidence that non-causal global modelling aids cross-generator transfer. Represents state-space/linear-attention architectures in AIGI detection.</t>
  </si>
  <si>
    <t>Validate INCLUDE. Previously logged Not retrieved; full text found in folder ('10.1109LSP.2026.3714736.pdf'). Cue-field clarifications: Semantic_Features: higher-layer contextual cues, no pretrained VLM.</t>
  </si>
  <si>
    <t>MODERATE–HIGH — This is a broader multimedia-forensics benchmark rather than a dedicated universal AIGI detector, but it provides useful negative real-world evidence. The study constructs the SAFL dataset from publicly available manipulation/generation tools and evaluates general-purpose forensic methods and Deepfake-specific detectors under one common protocol. SAFL includes images and videos created using tools such as FaceApp, DeepFaceLab, Avatarify and DALL-E. For image detection, Forensically reaches 86.9% ACC/F1 87.0%, whereas the best reported Deepfake-specific tool, Autopsy, reaches 69.5% ACC/F1 71.3%. More broadly, average image accuracy is only 68.9% for general-purpose tools and 58.1% for Deepfake-specific detectors, which the authors explicitly link to heterogeneous manipulations and mismatch with detector training distributions.</t>
  </si>
  <si>
    <t>Validate INCLUDE, but classify as comparative/practical robustness evidence, not a core AIGI architecture paper. Code mixed image/video = YES; DALL-E present = YES; heterogeneous manipulations = YES; unified-tool comparison = YES; new detector proposed = NO; clean unseen-generator protocol = NO. Useful for showing how laboratory detector claims can collapse in heterogeneous practical conditions.</t>
  </si>
  <si>
    <t>VERY HIGH — Full text strengthens the first-pass generalization assessment. The model explicitly combines spatial, Fourier-frequency and wavelet representations, using EfficientNet-based feature extraction, cross-domain attention fusion and a Swin Transformer to learn generative traces that persist across domains. Evaluation spans both GAN- and diffusion-generated imagery and the authors report improved in-domain and cross-domain/cross-generator behaviour rather than merely one closed dataset. On the diffusion-model benchmark, the model achieves mean ACC/AP of 92.2%/96.6%, versus 89.3%/96.2% for FreqNet and 81.0%/93.0% for UniFD; individual performance includes 94.1% on PNDM, 97.3% on DALL-E and 95.4% on VQ-Diffusion. However, the paper's “cross-generator” evidence appears less cleanly separated than the explicit train-one/test-unseen protocols in R0113 or R0114, so it should not be coded as leave-one-generator-out unless the exact split confirms that.</t>
  </si>
  <si>
    <t>Validate INCLUDE. Code GAN + diffusion = YES; spatial/frequency/wavelet fusion = YES; transformer = YES; cross-generator claim = YES; explicit strict unseen-generator split = UNCLEAR/verify before coding. Note: the two uploaded R0121 PDFs appear to be duplicate copies of the same paper, so only one study record should be retained.</t>
  </si>
  <si>
    <t>MODERATE — Direct AI-generated-image classification paper, but full-text inspection confirms that its “strong generalization” language should be treated cautiously. The SE-ResNet50 model is evaluated on CIFAKE only, a balanced 50,000-image real/fake dataset, rather than across independent generators or datasets. It reports 96.12% accuracy, 97.04% precision, 88.94% recall, 92.82% F1 and ROC-AUC 0.9862, outperforming the tested VGGNet and DenseNet baselines. Crucially, the authors themselves identify single-dataset evaluation and absence of adversarial testing as current limitations and place cross-dataset validation on Celeb-DF, FaceForensics++ and DFDC in future work.</t>
  </si>
  <si>
    <t>Validate INCLUDE as a closed-set/in-domain comparator, not evidence for universalization. Code AIGI detection = YES; CIFAKE-only = YES; attention = YES; cross-dataset = NO; unseen-generator = NO; adversarial robustness = NO. Its reported “generalization” reflects ordinary held-out test performance/limited overfitting, not cross-generator generalization.</t>
  </si>
  <si>
    <t>Full text from Drive folder 'AIGI Research' (file: 10.1109ACCESS.2020.2968612.pdf); screened in full text 2026-10-21.</t>
  </si>
  <si>
    <t>Face-manipulation (Deepfakes, Face2Face, FaceSwap, NeuralTextures) detection evaluated only in-distribution on the FaceForensics++ benchmark server; no cross-dataset, unseen-manipulation or fully synthetic-image evidence transferable to generalizable AIGI detection.</t>
  </si>
  <si>
    <t>NOT APPLICABLE — generative adversarial ensemble of ResNet-101/DenseNet-121 discriminators trained with SNGAN-generated hard faces; reports FF++ benchmark accuracy only (closed-set facial manipulation).</t>
  </si>
  <si>
    <t>Validate EXCLUDE under FT-EC4 (facial manipulation only; no transferable generalization evidence). Consistent with protocol EC4.</t>
  </si>
  <si>
    <t>EXTREMELY HIGH — Early diffusion-specific detector with an explicit leave-one-generator-out generalization protocol. The detector uses residual-image spectral artifacts and is trained on all known diffusion generators except the generator being tested, directly assessing adaptation to unknown architectures. It generalizes well overall but degrades substantially on Midjourney and especially DALL·E 2, indicating that their artifact distributions differ from the other diffusion sources. It also explicitly evaluates JPEG robustness and continues distinguishing real from synthetic images down to JPEG quality 70, although performance declines.</t>
  </si>
  <si>
    <t>Validate INCLUDE. Core diffusion-generalization paper. Code diffusion-specific detection = YES; leave-one-generator-out = YES; unseen-generator = YES; frequency/spectral artifacts = YES; JPEG robustness = YES; DALL·E 2/Midjourney weakness = YES. Important early evidence that even within diffusion architectures, generator-specific variation materially affects detection.</t>
  </si>
  <si>
    <t>EXTREMELY HIGH — Strong universalization study using CLIP ViT-L/14 with LoRA, RGB/HSV/LAB multi-color-space fusion and semantic concept supervision. Crucially, training uses 360,000 real LSUN images and 360,000 ProGAN-generated images only, while generalization is evaluated on 19 unseen datasets spanning StyleGAN, StyleGAN2, BigGAN, CycleGAN, StarGAN, GauGAN, WFIR, ADM, GLIDE, Midjourney, SD1.4, SD1.5, VQDM, Wukong, DALL·E 2, SD2, SDXL, IMLE and SAN. Across the 20 evaluated datasets, GCS-Net achieves 84.57% average ACC and 92.46% AP; grouped performance is 92.26% ACC on GANs and 77.55% on diffusion models.</t>
  </si>
  <si>
    <t>Validate INCLUDE. Core SLR paper. Code ProGAN-only training = YES; unseen GANs = YES; GAN→diffusion = YES; 20-dataset evaluation = YES; CLIP = YES; LoRA = YES; semantic supervision = YES; RGB+HSV+LAB = YES. Note that diffusion performance remains materially weaker than GAN performance despite strong overall transfer.</t>
  </si>
  <si>
    <t>Full text newly located in Drive folder 'AIGI Research' (file: 45-56.2583.pdf); screened in full text 2026-10-21.</t>
  </si>
  <si>
    <t>Swin-Transformer face-swap deepfake classifier trained and tested within Celeb-DF and within FF++ only; no cross-dataset, unseen-generator or fully synthetic-image evaluation, so findings are not transferable to generalizable AIGI detection.</t>
  </si>
  <si>
    <t>NOT APPLICABLE — intra-dataset accuracy (Celeb-DF 97.91%, FF++ 95.72%) for facial face-swap manipulations only.</t>
  </si>
  <si>
    <t>Successfully retrieved and screened in full text. Duplicate copy of the same article was also uploaded; treated as one study record.</t>
  </si>
  <si>
    <t>LOW–MODERATE — Direct GAN-generated face-image detection study using Adaptive-DCGAN augmentation and Lite-CNN classification. The primary Kaggle Real and Fake Face Detection dataset contains 2,041 images, including 960 GAN-generated fake faces and 1,081 real images; five-fold cross-validation is used. The proposed system reports 95% accuracy, precision, recall and F1, compared with 53% accuracy for the cited GAN-CNN baseline. However, the apparent “cross-dataset” discussion does not actually evaluate this model on external datasets; Celeb-DF v2, FaceForensics++ and DFDC results are taken from other published methods, and direct external evaluation is explicitly future work.</t>
  </si>
  <si>
    <t>Validate INCLUDE as a GAN-face detector, but do not code cross-dataset or unseen-generator evidence. Code GAN-generated faces = YES; synthetic augmentation = YES; lightweight CNN = YES; k-fold validation = YES; external-dataset testing = NO; unseen-generator = NO. Two uploaded R0131 PDFs are duplicates of the same article and should remain one record.</t>
  </si>
  <si>
    <t>EXTREMELY HIGH — Unified forensic framework supporting binary detection, source attribution and pixel-level localization using a CLIP semantic branch, Haar-wavelet/Transformer trace branch and adaptive evidence fusion. EXACT achieves 99.49% in-domain detection accuracy and, under an extended cross-dataset protocol, 84.88% average ACC and 94.18% AP. The cross-dataset evaluation contains eleven domains, including eight unseen GenImage generators—BigGAN, GLIDE, ADM, WuKong, SD1.5, Midjourney, SD1.4 and VQDM—plus DiffSeg30k and DiffusionForensics subsets. Robustness is explicitly evaluated under JPEG, Gaussian blur, resizing, Gaussian noise, brightness, saturation and contrast changes, where EXACT is best or comparable across most corruption settings. Closed-set source attribution reaches 86.35% accuracy on fake images, with macro F1 0.8337.</t>
  </si>
  <si>
    <t>Validate INCLUDE. Core multifunction forensic/generalization paper. Code cross-dataset = YES; unseen generators = YES; GAN+diffusion = YES; detection = YES; source attribution = YES; localization = YES; post-processing robustness = YES; CLIP = YES; wavelet/Transformer = YES; adaptive fusion = YES; LMM forensic reporting = YES.</t>
  </si>
  <si>
    <t>Full text from Drive folder 'AIGI Research' (file: 10.1049-ipr2.70425/huang-et-al-2026-...knowledge-distillation.pdf); screened in full text 2026-10-21.</t>
  </si>
  <si>
    <t>MODERATE — Reconstruction cues transfer within diffusion family but not to GANs. Shows efficiency route for reconstruction-based detectors and their family-specificity.</t>
  </si>
  <si>
    <t>Validate INCLUDE. IET Image Processing (Wiley) peer-reviewed journal.</t>
  </si>
  <si>
    <t>Nonlinear Theory and Its Applications, IEICE</t>
  </si>
  <si>
    <t>MODERATE — Valuable content-domain study focused specifically on generated landscape imagery rather than faces or object-centric datasets. A controlled ten-category landscape dataset is used to study local texture, semantic structure and lighting cues. The RGB-only CNN achieves 97.0% accuracy, while the RGB + semantic-segmentation multimodal model improves this to 98.5%, with F1 increasing from 0.950 to 0.977. Perturbation experiments show that performance remains relatively stable after Gaussian blur and edge removal but drops significantly after random blackout, supporting reliance on both local texture and global structure. However, all synthetic samples come from Stable-Diffusion-based checkpoints; the authors explicitly state that transfer to GANs, DALL·E, Midjourney or other diffusion architectures is not established.</t>
  </si>
  <si>
    <t>Validate INCLUDE as domain-specific evidence. Code landscape domain = YES; Stable-Diffusion family = YES; semantic segmentation fusion = YES; SHAP/Grad-CAM = YES; perturbation robustness = YES; cross-generator = NO; GAN→diffusion = NO; DALL·E/Midjourney = NO. High closed-set accuracy must not be interpreted as universal detection.</t>
  </si>
  <si>
    <t>Full text from Drive folder 'AIGI Research' (file: 10.1109TAI.2025.3641104.pdf (arXiv:2305.13800v2 author version)); screened in full text 2026-10-21.</t>
  </si>
  <si>
    <t>VERY HIGH — Language supervision yields transferable forensic features across families and content domains. Key semantic/contrastive generalization evidence with real-world platform test set.</t>
  </si>
  <si>
    <t>Validate INCLUDE. Evaluated from arXiv:2305.13800v2 (author version) supplied as full text for DOI 10.1109/TAI.2025.3641104.</t>
  </si>
  <si>
    <t>EXTREMELY HIGH — Exceptionally clean narrow-train/broad-test study explicitly seeking generator-independent spatial artifacts. The six-channel Flatness-Curvature mask forces classifiers to use low-gradient and high-curvature structural cues rather than generator-specific semantics. Across 38 GAN and diffusion sources, FC+MobileViT trained for only one epoch on four ProGAN classes reaches 87.2% mean accuracy, improving by 23.7 percentage points over the RGB baseline. The representation is reasonably stable across practical image scales but is not truly scale-invariant: severe train/test resolution mismatch can reduce performance to approximately 50.3% accuracy. Remaining weaknesses include DALL·E 3 and adaptive white-box attacks.</t>
  </si>
  <si>
    <t>Validate INCLUDE. Core universal-artifact paper. Code four-ProGAN-class training = YES; 38 unseen GAN/diffusion sources = YES; cross-generator = YES; GAN→diffusion = YES; deterministic spatial representation = YES; lightweight compatibility = YES; resolution sensitivity = YES; white-box adversarial weakness = YES; DALL·E 3 weakness = YES.</t>
  </si>
  <si>
    <t>EXTREMELY HIGH — Strong explicit unseen-generator study that avoids relying primarily on static visual artifacts. DIFC-Net is trained using 30,000 real LAION images and 30,000 Stable Diffusion v1.4 images only, then tested on generators completely excluded from training. The evaluation contains DALL·E 3, SDXL, SD1.5, ADM, GLIDE, WuKong, Adobe, Image3, Baidu and even BigGAN, with matched real controls. DIFC-Net achieves 90.29% average AUC over the ten unseen generators; adaptive fusion materially improves performance over simple concatenation and other fusion strategies. The method does, however, depend on stable diffusion inversion and introduces substantially greater computational overhead than image-space detectors, and broader emerging-generator/real-world-degradation validation is still needed.</t>
  </si>
  <si>
    <t>Validate INCLUDE. Core diffusion-generalization paper. Code SD1.4-only training = YES; ten unseen generators = YES; diffusion cross-model = YES; BigGAN cross-family test = YES; reconstruction discrepancy = YES; latent trajectory = YES; adaptive fusion = YES; inversion dependency = YES; computational overhead = YES.</t>
  </si>
  <si>
    <t>Row restored 2026-10-21: title/abstract INCLUDE record was missing from the full-text sheet; no full text located.</t>
  </si>
  <si>
    <t>Conventional CASIA v2 manipulation</t>
  </si>
  <si>
    <t>NOT APPLICABLE — The paper reports CNN-GNN results for authentic-vs-tampered CASIA v2 classification, but this does not constitute AI-generated-image detection evidence. The authors themselves acknowledge that CASIA v2 contains outdated manipulation methods rather than contemporary synthetic-generation techniques.</t>
  </si>
  <si>
    <t>Validate EXCLUDE under FT-EC3. The title is misleading relative to the actual experimental dataset. CASIA v2 = conventional manipulated/authentic imagery; ELA = conventional manipulation cue; generative-AI fake source = NO; GAN = NO; diffusion = NO. This should not enter the primary AIGI evidence synthesis.</t>
  </si>
  <si>
    <t>MODERATE–HIGH — Direct AIGI detector based on a custom patch-based Vision Transformer. The main CIFAKE experiment uses authentic CIFAR-10 images and synthetic counterparts generated using Stable Diffusion 1.4; PV-ISM reaches 96.60% ACC and 96.61% F1 versus 93.32% ACC for ResNet50. The study additionally evaluates the architecture on other datasets, including the Art Images benchmark, where PV-ISM reaches 93.16% accuracy and 93.66% F1, outperforming ResNet50 and ResNet101 under the same conditions. However, these experiments appear to involve dataset-specific training/evaluation rather than a single CIFAKE-trained checkpoint being transferred directly to unseen generators. Therefore they demonstrate architectural consistency across datasets, but not a clean zero-shot cross-dataset or held-out-generator protocol.</t>
  </si>
  <si>
    <t>Validate INCLUDE. Code ViT = YES; Stable Diffusion 1.4 = YES; multiple datasets evaluated = YES; Art Images evaluation = YES; strict cross-dataset transfer = NO demonstrated; held-out generator = NO demonstrated. Do not equate the paper’s use of “generalization” for validation performance with universal cross-generator generalization.</t>
  </si>
  <si>
    <t>HIGH — Introduces a distinct semantic-level AIGI detection task rather than relying on low-level synthesis artifacts. STSF contains 358 manually selected semantic-fake images generated using three modern diffusion models, with bounding-box and textual annotations. RADAR combines a specialized multimodal LLM with external language-model reasoning to locate implausible regions and explain violations of world knowledge/common sense. The study is valuable for a possible generator-agnostic semantic-cue branch of universal detection, but it does not establish a conventional train-on-generator-A/test-on-unseen-generator-B protocol; evaluation remains confined to the curated STSF benchmark.</t>
  </si>
  <si>
    <t>Validate INCLUDE. Code semantic-level detection = YES; multimodal LLM = YES; localization = YES; explanation = YES; three diffusion generators = YES; explicit unseen-generator testing = NO demonstrated. Keep analytically separate from binary real-vs-AI artifact detectors because RADAR detects semantic implausibility within generated imagery.</t>
  </si>
  <si>
    <t>Full text from Drive folder 'AIGI Research' (file: Color Space Analysis.../Color_Space_Analysis...CIFAKE...pdf); screened in full text 2026-10-21.</t>
  </si>
  <si>
    <t>LOW — near-ceiling in-benchmark accuracy does not transfer. Clear demonstration of the in-distribution vs out-of-distribution gap on CIFAKE.</t>
  </si>
  <si>
    <t>Validate INCLUDE. Generalization tests exist (zero-shot Tiny-GenImage) but fail; coded tests YES, Evidence_Supports NO, strength LOW.</t>
  </si>
  <si>
    <t>Video-only deepfake detector whose final prediction depends on temporal sequence modelling rather than independently analyzable still-image detection. The proposed architecture applies MobileNetV2 frame-wise but feeds sequential features into an LSTM to detect motion irregularities and outputs a real/fake video classification.</t>
  </si>
  <si>
    <t>NOT APPLICABLE — The work is relevant to future video expansion, but the current image-focused corpus requires still-image or independently analyzable image-level results.</t>
  </si>
  <si>
    <t>Validate EXCLUDE under FT-EC7. Retain separately for future video extension. Code video-only = YES; temporal LSTM = YES; independent image result = NO.</t>
  </si>
  <si>
    <t>EXTREMELY HIGH — Strong open-set forensic generalization study. Proto-LeakNet operates in diffusion latent space, aggregates multi-step latent features using temporal attention, and learns prototype-structured generator embeddings. It explicitly separates closed-set attribution from open-set rejection, where generators used at test time are absent from training and no retraining is performed. It additionally evaluates heavy post-processing using raw-trained checkpoints; Proto-LeakNet preserves the highest overall Macro AUC across degradation levels and retains Top-1 attribution accuracy of 75.89%, 74.51% and 69.52% across progressively stronger processing stages. An extended experiment including a Real class obtains Macro AUC 97.35%, showing separation between authentic images and multiple synthetic-source clusters.</t>
  </si>
  <si>
    <t>Validate INCLUDE. Core attribution/generalization paper. Code source attribution = PRIMARY; open-set rejection = YES; unseen generators = YES; no retraining = YES; post-processing robustness = YES; diffusion latent signal leaks = YES; partial manipulation evaluation = YES. Do not describe open-set rejection as successful identification of the exact unseen generator.</t>
  </si>
  <si>
    <t>EXTREMELY HIGH — One of the most directly relevant benchmark papers for the SLR. PRISM deliberately controls resolution and compression confounders, uses recent high-fidelity generative models, and contains three difficulty levels ranging from subtle edits through partial manipulation to full generation. Crucially, generative models appearing in the test split are unseen during training. Full-text comparisons show severe failure of several detectors trained on outdated ProGAN or basic Stable-Diffusion data when faced with modern community diffusion models; subtle manipulations are the hardest setting and several methods approach chance performance.</t>
  </si>
  <si>
    <t>Validate INCLUDE. Core benchmark paper. Code unseen-generator split = YES; subtle/partial/full generation = YES; modern diffusion/community models = YES; compression control = YES; resolution control = YES; cross-benchmark robustness = YES. Very high priority for defining realistic universal-detector evaluation.</t>
  </si>
  <si>
    <t>EXTREMELY HIGH — Directly studies the generalization problem at a finer level than simple generator identity. “Source mismatch” includes changes in generation source and associated configuration/hyperparameters, challenging conventional random train/test splitting from the same generation pipeline. Experiments systematically examine diffusion-generation factors from tokenization through post-generation processing and evaluate mitigation through greater source diversity and adapted classification. Multi-source training improves generalization, but when a source is completely absent during training the mismatch problem remains; the authors conclude that OOD-source inspection remains largely open.</t>
  </si>
  <si>
    <t>Validate INCLUDE. Core conceptual/empirical SLR paper. Code source mismatch = YES; intra-model/configuration shift = YES; OOD source = YES; diffusion models = YES; multi-source training mitigation = YES. Important for distinguishing generator-level generalization from finer hyperparameter/pipeline-level distribution shift.</t>
  </si>
  <si>
    <t>VERY HIGH — Face-specific detector using 3D reconstruction-derived mid-frequency geometry details, RGB facial features, MetaFormer architecture and manifold distillation. The generalization protocol is explicit: training uses FaceForensics++, while Celeb-DF and DFDC are unseen test datasets. FD2Former reaches AUC 79.2% on Celeb-DF and 73.6% on DFDC, outperforming Xception and EfficientNetB4 Ensemble and exceeding Face X-ray on Celeb-DF.</t>
  </si>
  <si>
    <t>Validate INCLUDE. Code FF++→Celeb-DF = YES; FF++→DFDC = YES; explicit cross-dataset = YES; face-specific = YES; 3D geometry cues = YES. Strong historical cross-dataset evidence, but limited to facial manipulation rather than general-purpose AIGI detection.</t>
  </si>
  <si>
    <t>Full text from Drive folder 'AIGI Research' (file: 2503.21210v4.pdf (arXiv author version of TIP article)); screened in full text 2026-10-21.</t>
  </si>
  <si>
    <t>VERY HIGH — MLLM with fused CLIP/DINO features transfers across families and domains and adds explainability. Represents emerging MLLM reasoning-based detection with strong cross-generator evidence.</t>
  </si>
  <si>
    <t>Validate INCLUDE. Full text in folder is arXiv:2503.21210v4 (author version) of DOI 10.1109/TIP.2026.3673967; coded from that version.</t>
  </si>
  <si>
    <t>LOW–MODERATE — Although framed around video conferencing, the detector operates by decomposing video into selected frames and applying an ensemble discriminator to image/frame features and spectral anomalies rather than modelling temporal sequences. The reported 98.23% result uses CelebA-HQ and FaceForensics++, but the paper does not provide a rigorous generator-held-out or clearly separated cross-dataset protocol. The authors themselves note that effectiveness against a broader range of deepfake generation methods still requires validation.</t>
  </si>
  <si>
    <t>Validate INCLUDE because the forensic decision is frame/image-based and independently analyzable despite the video-conferencing application. Code frame-level detection = YES; GAN-based = YES; CelebA-HQ + FF++ = YES; temporal model = NO; explicit unseen-generator = NO; rigorous cross-dataset transfer = NO demonstrated.</t>
  </si>
  <si>
    <t>Full text from Drive folder 'AIGI Research' (file: s11042-025-21060-1.pdf); screened in full text 2026-10-21.</t>
  </si>
  <si>
    <t>MODERATE — Shows family-specialised contrastive features give limited transfer to unseen architectures. Evidence that even multi-family training yields ~67% unseen-architecture accuracy.</t>
  </si>
  <si>
    <t>Validate INCLUDE. Cross_Family_Test NO because both GAN and DM families are present in training; unseen architectures within families tested. Cue-field clarifications: Explainability: t-SNE.</t>
  </si>
  <si>
    <t>EXTREMELY HIGH — Directly targets generalizable real-vs-deepfake image detection using CLIP and semantically opposite learned text prompts. The method intentionally avoids prompts tied to specific object categories and combines global/local context optimization with textual-space refinement so that the learned real/fake concepts can transfer across content and generator types. Full-text experiments span multiple GAN- and diffusion-generated datasets, making this a highly relevant foundation-model generalization approach rather than a generator-specific artifact classifier.</t>
  </si>
  <si>
    <t>Validate INCLUDE. Core SLR paper. Code CLIP = YES; vision-language detection = YES; semantic-opposite prompts = YES; GAN+diffusion evaluation = YES; content-independent prompt design = YES; multi-dataset generalization = YES. During detailed extraction, preserve exact per-dataset train/test membership before labelling individual generators as strictly unseen.</t>
  </si>
  <si>
    <t>The final detector is intrinsically video/temporal: successive frames are processed by ResNet-Swish-BiLSTM and the BiLSTM captures temporal dependencies across the sequence. The reported cross-corpus experiment trains on FF++ and tests DFDC/Celeb-DF, yielding AUC 71.56% and 70.04%, but those outcomes remain video-level temporal-detector evidence, not independently analyzable still-image detection.</t>
  </si>
  <si>
    <t>NOT APPLICABLE — Scientifically relevant to future video generalization analysis but outside the current still-image-focused corpus.</t>
  </si>
  <si>
    <t>Validate EXCLUDE under FT-EC7. Retain separately for future video extension. Code video-only = YES; BiLSTM temporal modelling = YES; cross-corpus video evaluation = YES; image-level independent detector = NO.</t>
  </si>
  <si>
    <t>HIGH — Broad visual-forensics study seeking a single parameter-agnostic detector for heterogeneous “singularities,” including adversarial perturbations, physical presentation attacks, digital retouching and synthetic/deepfake imagery. The stacked wavelet-transformer architecture explicitly targets both seen and unseen attack conditions, including a zero-day/open-world setting. The paper specifically states that deepfake detection is evaluated under completely unseen testing conditions, making it useful foundational evidence for generalization beyond a single forgery family. Its limitation for this SLR is that AI-generated-image detection is only one component of a much broader attack-detection problem.</t>
  </si>
  <si>
    <t>Validate INCLUDE as foundational/generalized visual-forensics evidence. Code synthetic/deepfake images = YES; heterogeneous attack classes = YES; zero-day/open-world = YES; wavelet transformer = YES; parameter-agnostic = YES. Keep separate from dedicated AIGI detectors because synthetic-image evidence is embedded within a broader singularity framework.</t>
  </si>
  <si>
    <t>Primary_Task</t>
  </si>
  <si>
    <t>Detection_Level</t>
  </si>
  <si>
    <t>Forensic_Objective</t>
  </si>
  <si>
    <t>Proposed_Method</t>
  </si>
  <si>
    <t>Backbone_Architecture</t>
  </si>
  <si>
    <t>Feature_Type</t>
  </si>
  <si>
    <t>Spatial_Features</t>
  </si>
  <si>
    <t>Frequency_Features</t>
  </si>
  <si>
    <t>Semantic_Features</t>
  </si>
  <si>
    <t>Reconstruction_Latent_Features</t>
  </si>
  <si>
    <t>Other_Forensic_Cues</t>
  </si>
  <si>
    <t>Training_Dataset</t>
  </si>
  <si>
    <t>Training_Real_Source</t>
  </si>
  <si>
    <t>Training_Generator_s</t>
  </si>
  <si>
    <t>Training_Sample_Size</t>
  </si>
  <si>
    <t>Test_Dataset_s</t>
  </si>
  <si>
    <t>Test_Real_Source_s</t>
  </si>
  <si>
    <t>Test_Generator_s</t>
  </si>
  <si>
    <t>Test_Sample_Size</t>
  </si>
  <si>
    <t>Generator_Families</t>
  </si>
  <si>
    <t>GAN_Included</t>
  </si>
  <si>
    <t>Diffusion_Included</t>
  </si>
  <si>
    <t>Transformer_Autoregressive_Included</t>
  </si>
  <si>
    <t>Commercial_Models_Included</t>
  </si>
  <si>
    <t>Domain_Content</t>
  </si>
  <si>
    <t>Face_Specific</t>
  </si>
  <si>
    <t>Generalization_Protocol</t>
  </si>
  <si>
    <t>Unseen_Generator_Test</t>
  </si>
  <si>
    <t>Cross_Family_Test</t>
  </si>
  <si>
    <t>Cross_Dataset_Test</t>
  </si>
  <si>
    <t>Cross_Domain_Content_Test</t>
  </si>
  <si>
    <t>Open_Set_Test</t>
  </si>
  <si>
    <t>Continual_Adaptive_Test</t>
  </si>
  <si>
    <t>Zero_Shot_or_Adapted</t>
  </si>
  <si>
    <t>Target_Data_Used_For_Calibration</t>
  </si>
  <si>
    <t>Robustness_Tested</t>
  </si>
  <si>
    <t>JPEG_Compression</t>
  </si>
  <si>
    <t>Blur</t>
  </si>
  <si>
    <t>Resize</t>
  </si>
  <si>
    <t>Noise</t>
  </si>
  <si>
    <t>Social_Media_Postprocessing</t>
  </si>
  <si>
    <t>Adversarial_Attack</t>
  </si>
  <si>
    <t>Other_Robustness</t>
  </si>
  <si>
    <t>Metrics</t>
  </si>
  <si>
    <t>In_Domain_Performance</t>
  </si>
  <si>
    <t>Generalization_Performance</t>
  </si>
  <si>
    <t>Robustness_Performance</t>
  </si>
  <si>
    <t>Best_Key_Result</t>
  </si>
  <si>
    <t>Worst_Key_Result</t>
  </si>
  <si>
    <t>Generalization_Failure_Evidence</t>
  </si>
  <si>
    <t>Baselines_Compared</t>
  </si>
  <si>
    <t>Ablation_Study</t>
  </si>
  <si>
    <t>Explainability</t>
  </si>
  <si>
    <t>Code_Available</t>
  </si>
  <si>
    <t>Dataset_Available</t>
  </si>
  <si>
    <t>Authors_Claimed_Generalization</t>
  </si>
  <si>
    <t>Evidence_Supports_Generalization</t>
  </si>
  <si>
    <t>Generalization_Strength</t>
  </si>
  <si>
    <t>Main_Strengths</t>
  </si>
  <si>
    <t>Main_Limitations</t>
  </si>
  <si>
    <t>Threats_to_Validity</t>
  </si>
  <si>
    <t>Relevance_to_Universal_AIGI_Detection</t>
  </si>
  <si>
    <t>Key_Contribution_to_SLR</t>
  </si>
  <si>
    <t>Research_Gap_Exposed</t>
  </si>
  <si>
    <t>DETECTION</t>
  </si>
  <si>
    <t>IMAGE</t>
  </si>
  <si>
    <t>Binary real-vs-AI shrimp image detection within a multimodal product-verification system</t>
  </si>
  <si>
    <t>Domain-adapted CLIP visual encoder; frozen CLIP image features feed a 2-layer MLP authenticity classifier; separate BERT branch verifies image-text product consistency</t>
  </si>
  <si>
    <t>CLIP ViT-L/14 + 2-layer MLP; BERT-base-uncased in separate semantic-verification branch</t>
  </si>
  <si>
    <t>SPATIAL + SEMANTIC</t>
  </si>
  <si>
    <t>CLIP visual embeddings capturing shrimp morphology, body shape, colouration, rostrum and appendage patterns</t>
  </si>
  <si>
    <t>CLIP pretrained image-text representation; BERT semantics used only in separate fraud-verification branch</t>
  </si>
  <si>
    <t>Cross-modal image-text consistency in separate fraud branch</t>
  </si>
  <si>
    <t>Multi-source shrimp dataset</t>
  </si>
  <si>
    <t>iNaturalist; GBIF; FishBase/SeaLifeBase; Kaggle aquatic dataset</t>
  </si>
  <si>
    <t>Stable Diffusion v2.1; SDXL; DALL-E 3</t>
  </si>
  <si>
    <t>Dataset total 43,502 = 26,300 real + 17,202 synthetic; 10,002 synthetic from training generators; exact detector train-split real/fake count NR</t>
  </si>
  <si>
    <t>Held-out partitions of the multi-source shrimp dataset</t>
  </si>
  <si>
    <t>Same multi-source authentic repositories</t>
  </si>
  <si>
    <t>Stable Diffusion v2.1; SDXL; DALL-E 3; withheld Midjourney v6</t>
  </si>
  <si>
    <t>Mixed-generator: 3,280 real + 2,551 synthetic; cross-generator: 3,280 real + 7,200 Midjourney v6 synthetic</t>
  </si>
  <si>
    <t>DIFFUSION</t>
  </si>
  <si>
    <t>Shrimp/aquaculture and seafood e-commerce imagery</t>
  </si>
  <si>
    <t>CROSS-GENERATOR</t>
  </si>
  <si>
    <t>ZERO-SHOT</t>
  </si>
  <si>
    <t>Training augmentation only: flips, small rotations, brightness/contrast; no controlled corruption test</t>
  </si>
  <si>
    <t>AUROC; AUPRC; EER; FPR; FNR</t>
  </si>
  <si>
    <t>Mixed-generator AUROC 0.963, AUPRC 0.94, EER 0.06, FPR 0.06, FNR 0.08; same-pool in-distribution AUROC 1.00</t>
  </si>
  <si>
    <t>Withheld Midjourney v6: AUROC 0.989 with 3,280 real and 7,200 synthetic images</t>
  </si>
  <si>
    <t>NR</t>
  </si>
  <si>
    <t>Clean withheld-generator test: Midjourney v6 AUROC 0.989 without detector retraining or target calibration</t>
  </si>
  <si>
    <t>Generalization evidence is limited to one unseen generator in one narrow content domain</t>
  </si>
  <si>
    <t>No major failure reported under the single unseen-generator condition; breadth is insufficient to establish universal transfer</t>
  </si>
  <si>
    <t>Wang CNN detector; UnivFD/Ojha; VIBNet/Park; comparisons are literature-only on heterogeneous datasets/protocols</t>
  </si>
  <si>
    <t>HIGH</t>
  </si>
  <si>
    <t>Explicit Midjourney exclusion from train/validation; generator-separated evaluation; duplicate controls; public splits/code and source metadata</t>
  </si>
  <si>
    <t>One unseen generator; shrimp-only domain; no cross-family/cross-dataset/post-processing tests; reliance on pretrained CLIP</t>
  </si>
  <si>
    <t>Narrow prompt/species domain; real and synthetic acquisition pipelines may carry source cues; baseline comparisons are non-controlled</t>
  </si>
  <si>
    <t>Shows strong zero-shot transfer of CLIP-based features to one unseen commercial generator, but does not establish broad universality</t>
  </si>
  <si>
    <t>Provides a clean withheld-generator example in a specialized non-face domain and separates same-pool accuracy from genuine cross-generator evidence</t>
  </si>
  <si>
    <t>Need multi-family, multi-dataset, future-generator and post-processing evaluation without target calibration</t>
  </si>
  <si>
    <t>AI-assisted data extraction; validated by authors</t>
  </si>
  <si>
    <t>Validated</t>
  </si>
  <si>
    <t>Midjourney v6 is explicitly withheld from detector training/validation and yields AUROC 0.989. Mixed-generator AUROC 0.963 uses the same generator pool. The θ=0.42 target validation calibration belongs to the separate BERT fraud branch, not the AI-image detector. Public reproducibility artifacts/code are stated.</t>
  </si>
  <si>
    <t>Binary real-vs-GAN-augmented facial image detection</t>
  </si>
  <si>
    <t>Train a custom GAN on Indian Actor Images to synthesize fake faces; merge real and generated images; train a shallow CNN binary classifier</t>
  </si>
  <si>
    <t>Custom CNN with convolution layers of 16, 12 and 10 filters, max-pooling, flattening and 1-unit sigmoid output</t>
  </si>
  <si>
    <t>SPATIAL</t>
  </si>
  <si>
    <t>Learned RGB facial texture and appearance patterns</t>
  </si>
  <si>
    <t>Indian Actor Images Dataset + GAN-generated augmentations</t>
  </si>
  <si>
    <t>Google Images via Indian Actor Images Dataset</t>
  </si>
  <si>
    <t>Custom GAN trained by the authors; architecture/name NR</t>
  </si>
  <si>
    <t>Base real dataset: 6,750 photos across 135 actors; generated fake count and exact train split NR</t>
  </si>
  <si>
    <t>Indian Actor Images/GAN-augmented data</t>
  </si>
  <si>
    <t>Same custom GAN used to create augmented fake images</t>
  </si>
  <si>
    <t>GAN</t>
  </si>
  <si>
    <t>Indian actor/celebrity faces</t>
  </si>
  <si>
    <t>NONE</t>
  </si>
  <si>
    <t>Noise/data augmentation is discussed for training, not as a separate robustness evaluation</t>
  </si>
  <si>
    <t>ACC; training loss</t>
  </si>
  <si>
    <t>Reported final accuracy 96.35%; the full text does not clearly establish this as an independent OOD test result</t>
  </si>
  <si>
    <t>NR; no unseen-generator, cross-family or external-dataset transfer experiment</t>
  </si>
  <si>
    <t>96.35% reported accuracy on the same Indian Actor/GAN-augmentation setting</t>
  </si>
  <si>
    <t>No meaningful out-of-distribution evaluation despite claims of robustness/generality</t>
  </si>
  <si>
    <t>Generalization is not experimentally demonstrated; train/test data derive from the same actor source and generated augmentation pipeline</t>
  </si>
  <si>
    <t>Marra et al.; Afchar et al.; Zhou et al.; comparisons use different datasets/protocols</t>
  </si>
  <si>
    <t>LOW</t>
  </si>
  <si>
    <t>Simple reproducible CNN concept; public base face dataset; GAN augmentation explicitly integrated</t>
  </si>
  <si>
    <t>Generator architecture and fake count underreported; no external/unseen-generator test; no modern diffusion evaluation; unclear independent test reporting</t>
  </si>
  <si>
    <t>Potential identity/source leakage; same real-image pool and GAN augmentation can create shortcut cues; reported accuracy may reflect training trajectory rather than rigorous external testing</t>
  </si>
  <si>
    <t>Useful primarily as a negative methodological example: high same-domain accuracy is not evidence of universal AIGI detection</t>
  </si>
  <si>
    <t>Demonstrates semantic laundering risk where 'generality' is claimed from GAN augmentation without a genuine distribution-shift protocol</t>
  </si>
  <si>
    <t>Need explicit generator-disjoint, dataset-disjoint and post-processing robustness evaluation with clear test splits</t>
  </si>
  <si>
    <t>The paper uses the same 6,750-image Indian Actor Images Dataset for training/testing; it contains 135 actor categories and was created from Google Images. The authors train a GAN on these real images and add its outputs to the CNN dataset, with no external generator protocol specified. Human reviewer should verify the exact status of the reported 96.35% figure because the full-text results presentation does not clearly separate independent test accuracy from epoch-wise training performance.</t>
  </si>
  <si>
    <t>Binary synthetic-image detection with efficient cross-generator transfer</t>
  </si>
  <si>
    <t>SNIFF: SAFE crop-preserving preprocessing; frozen CLIP-ViT; class-token features from all intermediate layers averaged; compact 2-layer linear authenticity head trained with BCE and supervised contrastive loss</t>
  </si>
  <si>
    <t>Frozen CLIP Vision Transformer + 0.66M-trainable-parameter linear head</t>
  </si>
  <si>
    <t>SAFE-preserved local artifacts and intermediate ViT patch/class-token visual representations</t>
  </si>
  <si>
    <t>Large-scale pretrained CLIP intermediate representations</t>
  </si>
  <si>
    <t>Multi-level feature fusion; supervised contrastive separation</t>
  </si>
  <si>
    <t>GenImage main experiment; Synthbuster supplementary experiment retrained separately</t>
  </si>
  <si>
    <t>ImageNet for GenImage; RAISE-1k for Synthbuster</t>
  </si>
  <si>
    <t>Midjourney only in each dataset-specific training protocol</t>
  </si>
  <si>
    <t>GenImage Midjourney subset: 161,701 real + 161,997 fake = 323,698; Synthbuster uses a custom 80/20 split, exact train counts by class NR</t>
  </si>
  <si>
    <t>GenImage; Synthbuster</t>
  </si>
  <si>
    <t>ImageNet; RAISE-1k</t>
  </si>
  <si>
    <t>GenImage: Midjourney; SD v1.4; SD v1.5; ADM; GLIDE; Wukong; VQDM; BigGAN. Synthbuster: Midjourney; DALL-E 2; DALL-E 3; Adobe Firefly; GLIDE; SD v1.3; SD v1.4; SD v2; SDXL</t>
  </si>
  <si>
    <t>GenImage: 6,000 real + 6,000 fake per generator = 96,000 total test images; Synthbuster evaluation uses 20% custom split, exact evaluated count NR</t>
  </si>
  <si>
    <t>GAN+DIFFUSION</t>
  </si>
  <si>
    <t>General ImageNet-style objects/scenes; high-resolution photographic Synthbuster content</t>
  </si>
  <si>
    <t>MIXED</t>
  </si>
  <si>
    <t>SAFE training augmentations: crop/resize, ColorJitter, RandomRotation and RandomMask; no controlled corruption benchmark</t>
  </si>
  <si>
    <t>AP; ACC</t>
  </si>
  <si>
    <t>Midjourney source subset: AP 99.5%, ACC 98.4%</t>
  </si>
  <si>
    <t>GenImage average AP 86.6%, ACC 79.5%; unseen SD1.4 97.3/94.7, SD1.5 97.2/94.4, ADM 74.5/65.7, GLIDE 84.9/75.0, Wukong 92.0/83.7, VQDM 78.8/66.3, BigGAN 68.4/57.6 AP/ACC. Synthbuster after target-dataset retraining: AP 96.0%, ACC 90.6%</t>
  </si>
  <si>
    <t>Midjourney-only training transfers to unseen SD v1.4 at 94.7% ACC and 97.3% AP</t>
  </si>
  <si>
    <t>Cross-family BigGAN transfer falls to 57.6% ACC and 68.4% AP</t>
  </si>
  <si>
    <t>Strong diffusion transfer is not universal: BigGAN is near chance in ACC and ADM/VQDM remain around 66% ACC; Synthbuster is retrained and therefore is not zero-shot cross-dataset evidence</t>
  </si>
  <si>
    <t>UFD; RINE</t>
  </si>
  <si>
    <t>MODERATE</t>
  </si>
  <si>
    <t>Clean single-generator source protocol; explicit unseen-generator membership; parameter-efficient frozen CLIP; clear component/efficiency ablations</t>
  </si>
  <si>
    <t>No zero-shot cross-dataset transfer; major BigGAN cross-family weakness; no post-processing/adversarial robustness; depends on CLIP pretraining</t>
  </si>
  <si>
    <t>Generator resolution and dataset artifacts differ across GenImage subsets; external Synthbuster result is target-dataset retraining, not transfer; benchmark threshold accuracy is generator-sensitive</t>
  </si>
  <si>
    <t>Shows intermediate CLIP features can improve unseen-generator detection while exposing substantial cross-family failure</t>
  </si>
  <si>
    <t>Separates strong within-diffusion transfer from weak diffusion-to-GAN transfer and demonstrates that retrained external-dataset results must not be called cross-dataset zero-shot</t>
  </si>
  <si>
    <t>Need calibration-free cross-dataset tests, stronger cross-family transfer and controlled post-processing robustness</t>
  </si>
  <si>
    <t>Main GenImage protocol trains only on Midjourney and tests all eight generators. BigGAN is the critical negative result at 57.6% ACC/68.4% AP. Synthbuster must NOT be coded as cross-dataset transfer because all methods are retrained within Synthbuster using an 80/20 split.</t>
  </si>
  <si>
    <t>Binary real-vs-AI image detection using structural/context artifacts designed for broad unseen-source transfer</t>
  </si>
  <si>
    <t>SCA-Det combines Context-Guided Perturbation (CGP) for subpixel structure-aware displacement plus DCT frequency enhancement with Contextual Structure-aware Attention (CoSA) for directional/multiscale structure and radix grouped-channel attention</t>
  </si>
  <si>
    <t>Modified ResNet trained from scratch; CGP + CoSA after layer2; layer3, global average pooling and sigmoid classifier</t>
  </si>
  <si>
    <t>SPATIAL + FREQUENCY</t>
  </si>
  <si>
    <t>Non-rigid local geometric distortions, boundary/texture discontinuities, directional and multiscale contextual structure</t>
  </si>
  <si>
    <t>2D DCT frequency-selective weighting/gating with frequency pairs (1,1), (2,2), (3,3)</t>
  </si>
  <si>
    <t>Contextual inconsistency, adaptive artifact amplification and channel anomalies</t>
  </si>
  <si>
    <t>ForenSynths training set restricted to four ProGAN image sets/categories</t>
  </si>
  <si>
    <t>LSUN</t>
  </si>
  <si>
    <t>ProGAN only</t>
  </si>
  <si>
    <t>ForenSynths source pool 720,000 balanced real/fake across 20 categories; SCA-Det uses four ProGAN image sets/categories, exact restricted training count NR</t>
  </si>
  <si>
    <t>ForenSynths; Tan GAN dataset; GenImage; DiffusionForensics; Ojha dataset; Diffusion1Kstep</t>
  </si>
  <si>
    <t>LSUN; ImageNet; LSUN-Bedroom; CelebA-HQ; LAION; dataset-specific authentic sources</t>
  </si>
  <si>
    <t>17 GANs including ProGAN, StyleGAN, StyleGAN2, BigGAN, GauGAN, CycleGAN, StarGAN, DeepFake, AttGAN, STGAN, CramerGAN, MMDGAN, SNGAN, InfoMaxGAN, RelGAN, S3GAN, BEGAN; 28 diffusion/other sets including Wukong, Midjourney, SD1.4/1.5/v1/v2, ADM, VQDM, DDPM, iDDPM, PNDM, LDM, VQ-Diffusion, GLIDE variants, DALL-E</t>
  </si>
  <si>
    <t>45 generated-image sets total; Tan GAN set provides 4,000 test images/model with balanced real/fake; complete aggregate test count NR</t>
  </si>
  <si>
    <t>MULTI-FAMILY</t>
  </si>
  <si>
    <t>Broad multi-domain scenes, objects, faces, LSUN/ImageNet/CelebA-HQ/LAION content</t>
  </si>
  <si>
    <t>MULTIPLE</t>
  </si>
  <si>
    <t>Gaussian noise σ=5/255,15/255,25/255; blur 3x3,5x5,9x9; JPEG Q90/Q60/Q30; training also includes JPEG/blur augmentation</t>
  </si>
  <si>
    <t>ACC; AP; Precision; Recall; F1</t>
  </si>
  <si>
    <t>ProGAN source condition reaches approximately 99.9% ACC and 100% AP in ForenSynths evaluation</t>
  </si>
  <si>
    <t>17 unseen/mixed GAN targets: mean ACC 95.8%, AP 99.3%; 28 diffusion/other sets: mean ACC 91.3%, AP 97.8%; all 45 sets: mean ACC 93.0%, AP 98.4%; GenImage 88.1/95.8, DiffusionForensics 94.5 ACC, Ojha 93.3 ACC, Diffusion1Kstep 89.2/97.3</t>
  </si>
  <si>
    <t>Severe JPEG Q30: ACC 88.3% vs 93.0% clean, AP 94.6%; paper reports similar resilience under severe Gaussian blur/noise</t>
  </si>
  <si>
    <t>ProGAN-only training yields mean 93.0% ACC and 98.4% AP across 45 generator sets spanning GAN, diffusion and autoregressive sources</t>
  </si>
  <si>
    <t>GenImage remains hardest at 88.1% mean ACC; severe JPEG Q30 reduces ACC to 88.3%</t>
  </si>
  <si>
    <t>Residual generator/dataset dependence remains: GenImage is materially weaker than several other benchmarks, and JPEG Q30 causes a 4.7-point ACC loss</t>
  </si>
  <si>
    <t>Chai; Durall; Frank; Qian; Wang/CNNSpot; Mandelli; Shiohara; Ojha/UnivFD; Tan; NPR</t>
  </si>
  <si>
    <t>t-SNE; CAM heatmaps highlighting texture discontinuities, boundary misalignments and unnatural repetitions; radar/confidence analyses</t>
  </si>
  <si>
    <t>VERY HIGH</t>
  </si>
  <si>
    <t>Single ProGAN source; 45 broad target sets; cross-family/cross-dataset/content breadth; controlled degradation suite; extensive ablations and CAM evidence</t>
  </si>
  <si>
    <t>No open-set source rejection, continual adaptation, real social-media pipeline or adversarial test; only four source categories; code availability wording is future-oriented</t>
  </si>
  <si>
    <t>External benchmark shifts jointly change generator, real-image source, resolution and content; JPEG/blur are also training augmentations; benchmark families may share source/preprocessing artifacts</t>
  </si>
  <si>
    <t>One of the strongest papers here for broad zero-shot transfer from a single GAN source to multiple generator families/datasets, while still not a true open-world deployment test</t>
  </si>
  <si>
    <t>Shows structure/context artifacts plus DCT cues can support broad GAN-to-diffusion/autoregressive transfer and provides explicit post-processing degradation evidence</t>
  </si>
  <si>
    <t>Need future-generator open-world tests, genuine social-platform pipelines, adversarial/counter-forensic evaluation and deployment beyond curated benchmarks</t>
  </si>
  <si>
    <t>SCA-Det is trained on ProGAN and evaluated against 17 GAN architectures plus broader diffusion/autoregressive datasets. Testing datasets explicitly include DALL-E as autoregressive and Midjourney/DALL-E public samples. Mean unseen-GAN performance is 95.8% ACC/99.3% AP; external diffusion benchmarks remain strong. JPEG Q30 causes 93.0→88.3% ACC with AP 94.6. Repository is named but paper says it 'will be' openly available.</t>
  </si>
  <si>
    <t>Universal binary AI-image detection across unseen generators and visual scenes</t>
  </si>
  <si>
    <t>Multi-scale EfficientNet/FPN features + VAE-inspired feature disentanglement of content and generation factors + FFT frequency stream + spatial-frequency fusion/attention + supervised contrastive and dependency-minimization losses</t>
  </si>
  <si>
    <t>EfficientNet-B4 + FPN; variational feature-decoupling network; frequency encoder; spatial-frequency attention/fusion; lightweight B0 variant also studied</t>
  </si>
  <si>
    <t>SPATIAL + FREQUENCY + RECONSTRUCTION + LATENT</t>
  </si>
  <si>
    <t>Hierarchical multi-scale FPN features across pyramid levels capturing artifacts at different semantic depths</t>
  </si>
  <si>
    <t>2D FFT/log-magnitude spectral representations in a dedicated frequency stream</t>
  </si>
  <si>
    <t>Content/semantic factors are explicitly modeled and disentangled from generation factors</t>
  </si>
  <si>
    <t>VAE-inspired latent content/generation subspaces with reconstruction and KL losses on multi-scale features</t>
  </si>
  <si>
    <t>Cross-covariance/dependency minimization and supervised contrastive alignment</t>
  </si>
  <si>
    <t>GenImage SD v1.4 source protocol; separate ProGAN cross-scene benchmark model</t>
  </si>
  <si>
    <t>ImageNet-style real images for GenImage; CelebA, LSUN and ImageNet across ProGAN scene splits</t>
  </si>
  <si>
    <t>Stable Diffusion v1.4 for GenImage model; ProGAN for separate cross-scene model</t>
  </si>
  <si>
    <t>GenImage overall official split: 2,581,167 train + 100,000 validation, but exact SD v1.4 source-subset training count NR; ProGAN source-model count NR</t>
  </si>
  <si>
    <t>GenImage; ProGAN cross-scene benchmark; external recent-AIGC datasets/public sets for SD v3.0, SD v3.5, FLUX, DALL-E 2, DALL-E 3</t>
  </si>
  <si>
    <t>ImageNet-style real images; CelebA/LSUN/ImageNet scene domains; external public-set authentic sources NR</t>
  </si>
  <si>
    <t>Midjourney; SD v1.4; SD v1.5; ADM; GLIDE; Wukong; VQDM; BigGAN; ProGAN; StyleGAN; StyleGAN2; CycleGAN; StarGAN; GauGAN; Deepfake; SD v3.0; SD v3.5; FLUX; DALL-E 2; DALL-E 3</t>
  </si>
  <si>
    <t>GenImage benchmark has 100,000 validation images overall; SD v3.5 adds 500 generated images; other external recent-model test counts NR</t>
  </si>
  <si>
    <t>General ImageNet-style objects/scenes plus cross-scene CelebA/LSUN/ImageNet and recent text-to-image content</t>
  </si>
  <si>
    <t>Combined JPEG compression and Gaussian noise; JPEG Q90/70/50/30 and Gaussian noise σ=1/2/3</t>
  </si>
  <si>
    <t>ACC; AP; Precision; Recall; AUC</t>
  </si>
  <si>
    <t>SD v1.4 source: ACC 99.9%, AP 100%; ProGAN source: ACC 99.9%, AP 100%</t>
  </si>
  <si>
    <t>GenImage mean ACC 84.5%, AP 97.3%; unseen: Midjourney 79.7/98.0, SD1.5 99.8/99.9, ADM 66.8/94.1, GLIDE 88.8/99.3, Wukong 99.1/100, VQDM 84.9/97.7, BigGAN 56.6/89.4 ACC/AP. Cross-scene mean 90.7/98.7. External SD3.0 ACC84.65, SD3.5 73.60, FLUX77.69, DALL-E2 79.80, DALL-E3 85.85 with high AP/AUC</t>
  </si>
  <si>
    <t>Stable across JPEG Q90–30 and Gaussian noise σ1–3 on SD1.4 and VQDM; combined JPEG+noise causes only minor variation relative to NPR/CNNDet; exact plot values largely NR</t>
  </si>
  <si>
    <t>Same SD1.4-trained detector transfers without retraining to recent external DALL-E3 at 85.85% ACC, 98.69% AP and 98.88% AUC</t>
  </si>
  <si>
    <t>Cross-family BigGAN ACC is only 56.6% despite AP 89.4%</t>
  </si>
  <si>
    <t>Large ACC/AP mismatch and BigGAN/ADM/SD3.5 drops show threshold- and generator-dependence despite excellent ranking metrics</t>
  </si>
  <si>
    <t>CNNDet; GramNet; F3Net; DeiT-S; Swin-T; Spec; DIRE; Ojha/UnivFD; GenDet; FreqNet; NPR; plus Frank/Durall/BiHPF/FrePGAN/LGrad in cross-scene comparisons</t>
  </si>
  <si>
    <t>t-SNE; multi-scale/spectral feature visualizations; mutual-information/dependency trajectories and statistical analysis</t>
  </si>
  <si>
    <t>UNCLEAR</t>
  </si>
  <si>
    <t>Multiple clean generalization dimensions; cross-family BigGAN test; external modern generators; cross-scene protocol; corruption robustness; mechanistic ablations for disentanglement</t>
  </si>
  <si>
    <t>Cross-family ACC can collapse; no adversarial/open-set/social-platform evaluation; source subset sizes incompletely reported; no concrete MS-DCL repository in paper</t>
  </si>
  <si>
    <t>Different models are trained for GenImage and ProGAN benchmark protocols; high AP can mask weak fixed-threshold ACC; SD3.5 external set is only 500 generated samples; external source distributions vary</t>
  </si>
  <si>
    <t>Very strong broad-transfer evidence, but the BigGAN result is important negative evidence that 'universal' ranking quality does not guarantee reliable fixed-threshold detection</t>
  </si>
  <si>
    <t>Links reduced semantic-generation entanglement to better OOD transfer while exposing severe residual cross-family threshold failure</t>
  </si>
  <si>
    <t>Need stable calibration-free decisions on structurally novel future generators plus adversarial, social-media and true open-world testing</t>
  </si>
  <si>
    <t>GenImage model is trained on SD v1.4, while a separate model is trained for the ProGAN cross-scene benchmark; do not merge these as one detector. GenImage transfer averages 84.5% ACC and BigGAN falls to 56.6%. Cross-scene mean is 90.7% ACC/98.7% AP. The paper promises source code release upon publication but gives no concrete MS-DCL repository, hence Code_Available=UNCLEAR.</t>
  </si>
  <si>
    <t>Privacy-preserving binary artificial-image detection across federated edge clients</t>
  </si>
  <si>
    <t>Federated Multi-Attention CNN combining channel/feature amplification and spatial attention with decentralized federated aggregation; evaluated under IID and non-IID client distributions</t>
  </si>
  <si>
    <t>Custom multi-attention CNN with convolutional stages and attention modules; federated global aggregation; approximately 44.40M parameters</t>
  </si>
  <si>
    <t>Hierarchical CNN features with channel weighting and spatial-focus attention</t>
  </si>
  <si>
    <t>Attention-weighted discriminative regions; federated client heterogeneity is a training setting rather than a forensic cue</t>
  </si>
  <si>
    <t>RealAIGI; CIFAKE; FaceForensics++</t>
  </si>
  <si>
    <t>Real-world high-quality video frames for RealAIGI; CIFAKE authentic source NR in paper; FaceForensics++ authentic frames</t>
  </si>
  <si>
    <t>Sora for RealAIGI; CIFAKE generator NR in paper; FaceForensics++ manipulations include DeepFakes, Face2Face, FaceSwap and NeuralTextures</t>
  </si>
  <si>
    <t>RealAIGI: 10,015 AI-generated + 10,050 real images overall; each dataset uses 70% train/20% validation/10% test; exact per-dataset training counts NR</t>
  </si>
  <si>
    <t>Same dataset-specific authentic sources as training</t>
  </si>
  <si>
    <t>Same dataset-specific artificial/manipulation sources represented during training; Sora in RealAIGI</t>
  </si>
  <si>
    <t>10% held-out split for each dataset; exact counts NR</t>
  </si>
  <si>
    <t>Diverse generated imagery from Sora plus CIFAKE content and manipulated facial images from FaceForensics++</t>
  </si>
  <si>
    <t>Federated robustness to IID vs non-IID client data and scalability across 10, 20 and 40 clients; resource-constrained inference profiling</t>
  </si>
  <si>
    <t>ACC; Precision; Recall; F1; AUC</t>
  </si>
  <si>
    <t>MACNN across RealAIGI/CIFAKE/FF++ reports ACC 99.12%, Precision 98.92%, Recall 99.05%, F1 99.20%; conclusion reports 99.12% ACC</t>
  </si>
  <si>
    <t>NR; datasets are split and trained/evaluated within their own settings rather than transferring one fixed detector to an unseen dataset or generator</t>
  </si>
  <si>
    <t>Federated global accuracy reported around 98% across IID and non-IID distributions; performance decreases as client heterogeneity/count increases but remains around the high-90% range</t>
  </si>
  <si>
    <t>99.12% same-setting accuracy with multi-attention; attention removal falls to 88.42%</t>
  </si>
  <si>
    <t>No unseen-generator or cross-dataset transfer despite multi-dataset evaluation and generalization language</t>
  </si>
  <si>
    <t>All named datasets are partitioned for training/validation/testing, so benchmark diversity does not demonstrate OOD transfer to unseen generators</t>
  </si>
  <si>
    <t>DCCN; ViT; VGG16; CNN; Flower; FedAvg; FedProx; FedNova; FedSGD; other federated/artificial-image frameworks</t>
  </si>
  <si>
    <t>New Sora-based RealAIGI dataset; federated privacy focus; non-IID/client scalability tests; strong attention ablation</t>
  </si>
  <si>
    <t>No generator-disjoint transfer; no fixed-model cross-dataset test; no image-corruption robustness; mixed fully generated and manipulated-face source modalities</t>
  </si>
  <si>
    <t>Potential adjacent-frame dependence/leakage from video-derived RealAIGI if splitting is frame-level; reporting across three datasets is not clearly separated per dataset; Sora source is proprietary; FF++ and fully generated imagery are heterogeneous forensic tasks</t>
  </si>
  <si>
    <t>Shows that inclusion of a modern Sora dataset and federated heterogeneity does not by itself establish universal unseen-generator detection</t>
  </si>
  <si>
    <t>Provides a clear case where multi-dataset/federated robustness must be separated from true generator/dataset generalization</t>
  </si>
  <si>
    <t>Need leave-one-generator-out and zero-shot cross-dataset tests with video-source-disjoint splits and post-processing robustness</t>
  </si>
  <si>
    <t>RealAIGI is built from Sora-generated and real-video frames; the paper also uses CIFAKE and FF++ with 70/20/10 splits, so these are within-dataset evaluations rather than fixed-detector cross-dataset transfer. Attention ablation is 88.42% vs 99.12% ACC. Non-IID testing is framed as federated robustness/generalization, not unseen-generator evaluation. RealAIGI is publicly released with 10,015 AI + 10,050 real images.</t>
  </si>
  <si>
    <t>Binary real-vs-AI image detection using inter-patch dependency patterns designed to transfer beyond ProGAN</t>
  </si>
  <si>
    <t>SRM high-pass preprocessing; non-pretrained truncated ResNet50 feature extractor; dot-product/self-attention dependency matrix across all spatial patches; average pooling and compact linear authenticity classifier</t>
  </si>
  <si>
    <t>Non-pretrained ResNet50 truncated at Layer2, Layer3 or Layer4; Layer4 is main reported variant</t>
  </si>
  <si>
    <t>SRM residual maps and learned pairwise dependencies between all feature-map patches</t>
  </si>
  <si>
    <t>SRM noise residuals; inter-patch relational inconsistency</t>
  </si>
  <si>
    <t>CNNSpot-DS training set</t>
  </si>
  <si>
    <t>LSUN, 20 categories</t>
  </si>
  <si>
    <t>360,000 real + 360,000 ProGAN = 720,000 total</t>
  </si>
  <si>
    <t>CNNSpot-DS; GenImage</t>
  </si>
  <si>
    <t>CNNSpot-DS/LSUN-derived authentic images; GenImage/ImageNet authentic images</t>
  </si>
  <si>
    <t>CNNSpot-DS: ProGAN; CycleGAN; BigGAN; StyleGAN; GauGAN; StarGAN; Deepfakes; SITD; SAN; CRN; IMLE and other synthesis/loss variants. GenImage: Midjourney; SD v1.4; SD v1.5; ADM; GLIDE; Wukong; VQDM; BigGAN</t>
  </si>
  <si>
    <t>Broad LSUN categories transferred to ImageNet-style GenImage objects/scenes; includes face and translation/synthesis subsets</t>
  </si>
  <si>
    <t>Controlled JPEG compression and Gaussian blur; related CNNSpot training baselines use these augmentations at specified probabilities</t>
  </si>
  <si>
    <t>AP; mAP; ACC; average ACC</t>
  </si>
  <si>
    <t>Same-generator ProGAN performance is approximately ACC 99.94%, AP 99.99% for Layer4; broader CNNSpot-DS average ACC 79.33% includes many unseen synthesis methods</t>
  </si>
  <si>
    <t>Layer4 cross-dataset GenImage average ACC 82.71%; combined evaluation average ACC 81.40%, mAP 92.02%. GenImage examples: Midjourney 70.14%, SD1.4 79.64%, SD1.5 78.89%, ADM 84.42%, GLIDE 95.56%, Wukong 76.61%, VQDM 78.05%, BigGAN 93.13% ACC</t>
  </si>
  <si>
    <t>IPD-Net degrades more than the strongest baseline under post-processing, especially JPEG compression; exact numeric curve values NR in text</t>
  </si>
  <si>
    <t>ProGAN/LSUN-only training reaches 82.71% average ACC on cross-dataset GenImage, substantially outperforming reported baselines</t>
  </si>
  <si>
    <t>Post-processing robustness is explicitly weaker than the best baseline, especially for JPEG; Midjourney transfer is only about 70% ACC</t>
  </si>
  <si>
    <t>Transfer is nonuniform across generators and strong clean OOD performance does not translate to equal JPEG/blur robustness</t>
  </si>
  <si>
    <t>CNNSpot; Fusing; UnivFD</t>
  </si>
  <si>
    <t>t-SNE of dependency representations for ResNet Layer2/3/4 variants</t>
  </si>
  <si>
    <t>Precisely documented ProGAN-only 720k source training; zero-shot GenImage transfer; GAN-to-diffusion cross-family evidence; explicit negative robustness analysis</t>
  </si>
  <si>
    <t>JPEG/blur sensitivity; quadratic-to-quartic scaling issue for dependency computation at larger maps; no open-set/social/adversarial test; no newer post-2024 generators</t>
  </si>
  <si>
    <t>Cross-dataset transfer simultaneously changes real-image source/content and generator family; robustness interpretation is affected by augmentation choices; exact aggregate test sizes are not reported</t>
  </si>
  <si>
    <t>Strong evidence that relational residual cues can transfer from one GAN to diffusion-heavy external data, while highlighting a robustness/generalization trade-off</t>
  </si>
  <si>
    <t>Demonstrates genuine ProGAN-to-GenImage zero-shot transfer and preserves the important negative finding that JPEG robustness can remain weak</t>
  </si>
  <si>
    <t>Need computationally scalable inter-patch modeling that retains OOD gains under compression and future generator families</t>
  </si>
  <si>
    <t>Training is explicitly restricted to 360k LSUN real + 360k ProGAN fake images; all other generators are unseen during training. Cross-dataset GenImage ACC is 82.71% versus 79.33% on CNNSpot-DS average for Layer4; baselines fall sharply on GenImage. The authors explicitly report weaker post-processing robustness than the best baseline, especially JPEG compression.</t>
  </si>
  <si>
    <t>Binary synthetic-face detection with resilience to OSN-like transformations and analysis of cross-generator transfer</t>
  </si>
  <si>
    <t>Gradient of Colors (GoC): convert images into multiple colour domains; compute gradient magnitude/direction using Sobel, Scharr, Prewitt or Kirsch; classify with lightweight residual CNN RNet</t>
  </si>
  <si>
    <t>Custom RNet residual CNN with 8→16→32 filters, residual blocks, max pooling, global average pooling and sigmoid output; about 0.039M parameters</t>
  </si>
  <si>
    <t>Gradient magnitude and direction from RGB, LAB, YCrCb, YUV and HSV channels; luminance-chrominance edge/structure cues</t>
  </si>
  <si>
    <t>Colour-channel gradients and camera-vs-synthetic colour-formation differences</t>
  </si>
  <si>
    <t>Primary FFHQ/StyleGAN2 set; additional GAN/diffusion datasets retrained separately; DiffusionFace source-specific models for cross-generator study</t>
  </si>
  <si>
    <t>FFHQ; CelebA-HQ for DiffusionFace protocols</t>
  </si>
  <si>
    <t>Primary: StyleGAN2. Cross-generator transfer study separately trains on one of ADM, DDIM, DDPM, LDM or PNDM per source model</t>
  </si>
  <si>
    <t>Primary: 20,000 FFHQ real + 20,000 StyleGAN2 fake = 40,000 total; 60/20/20 split gives 24,000 train, 8,000 validation, 8,000 test. Other dataset protocols use 60/20/20 splits</t>
  </si>
  <si>
    <t>Primary FFHQ/StyleGAN2; StarGAN; AttGAN; whichfaceisreal; DeepFake; StyleGAN3; conditional-diffusion sets; DiffusionFace; post-processed/OSN experiments</t>
  </si>
  <si>
    <t>FFHQ; CelebA-HQ</t>
  </si>
  <si>
    <t>StyleGAN2; StarGAN; AttGAN; whichfaceisreal; DeepFake; StyleGAN3; SD1.5; SD2.1; SDXL; SD-Turbo; Midjourney; DALL-E3; DDIM; DDPM; ADM; LDM; PNDM; DiffSwap</t>
  </si>
  <si>
    <t>Primary test 8,000; conditional-diffusion source sets use 2,000 generated images/model; DiffusionFace uses 7,000 generated images/model before 60/20/20 splitting; exact cross-generator evaluation-pair counts NR</t>
  </si>
  <si>
    <t>Human faces/profile-image context</t>
  </si>
  <si>
    <t>Median filtering; CLAHE; gamma correction; average blur; actual upload/download feature analysis on WhatsApp, Facebook and Instagram</t>
  </si>
  <si>
    <t>ACC; AUC; Precision; Recall; F1; MSE; PSNR</t>
  </si>
  <si>
    <t>Primary StyleGAN2 clean test reaches up to 100% ACC/AUC/Precision/Recall/F1 for LAB+Sobel; HSV+Scharr also near-perfect</t>
  </si>
  <si>
    <t>Diffusion cross-generator transfer is highly asymmetric: PNDM-trained model stays 97.49–97.78% across five targets; DDIM→ADM/LDM/PNDM &gt;97% but DDIM→DDPM 77.51%; ADM→DDPM 52.52%; LDM→ADM 73.33% and &lt;60% on DDIM/DDPM/PNDM</t>
  </si>
  <si>
    <t>JPEG remains strong: Sobel ACC 98.88% at Q90 and 98.29% at Q50; robustness varies sharply by gradient/domain pairing. Simulated blur/filter/resize/noise suite shows HSV+Scharr/YUV variants generally strongest; actual OSN uploads are evaluated primarily via feature MSE/PSNR</t>
  </si>
  <si>
    <t>PNDM-trained HSV+Scharr detector transfers at roughly 97.5–97.8% ACC to all five diffusion generators</t>
  </si>
  <si>
    <t>LDM→DDPM falls to about 49.99% ACC; ADM→DDPM is 52.52%</t>
  </si>
  <si>
    <t>Clear asymmetric unseen-generator collapse: source generator choice strongly determines transfer; perfect clean performance and OSN robustness do not imply generator universality</t>
  </si>
  <si>
    <t>CSC-Net; Cross-CoNet; Co-Net; plus ResNet50/101 and prior gradient/co-occurrence detectors</t>
  </si>
  <si>
    <t>PCA+t-SNE feature separability and Grad-CAM activation maps</t>
  </si>
  <si>
    <t>Explicit source→target diffusion transfer matrix; actual OSN upload/download analysis; broad simulated degradation suite; lightweight handcrafted/deep hybrid; useful negative asymmetry</t>
  </si>
  <si>
    <t>Face-only; no clean GAN→diffusion zero-shot protocol; most other generator datasets are separately retrained; actual OSN validation uses limited samples and feature stability rather than a large platform-circulated detector benchmark</t>
  </si>
  <si>
    <t>Different real sources across protocols; simulated OSN operations only approximate proprietary pipelines; table uses 'validation pairs' as evaluation terminology; target-specific retraining in many dataset comparisons can be mistaken for transfer</t>
  </si>
  <si>
    <t>Important evidence that post-processing robustness and near-perfect in-domain accuracy can coexist with severe unseen-generator collapse</t>
  </si>
  <si>
    <t>Shows colour-gradient cues can be OSN-resilient yet generator transfer is strongly asymmetric, making source-generator choice a major universality threat</t>
  </si>
  <si>
    <t>Need face-to-general-domain, GAN↔diffusion, large real-OSN and open-world tests with stable calibration-free thresholds</t>
  </si>
  <si>
    <t>Primary dataset is 20k FFHQ real +20k StyleGAN2 fake with a 60/20/20 split. Other GAN/diffusion datasets are also split 60/20/20, so those results are retrained evaluations, not cross-dataset transfer. The true cross-generator study trains one diffusion source at a time and exposes severe asymmetry, including ADM→DDPM 52.52% and LDM mostly below 60%. Actual WhatsApp/Facebook/Instagram processing is analyzed.</t>
  </si>
  <si>
    <t>Binary authentic-vs-deepfake facial image detection with external cross-dataset evaluation</t>
  </si>
  <si>
    <t>ImageNet-pretrained InceptionResNetV2 for multiscale global features + stacked gated convolutional units to emphasize manipulated eyes/mouth/contours + global average pooling and dense classifier</t>
  </si>
  <si>
    <t>InceptionResNetV2 + stacked GCU blocks (512/256/128) + GAP + dense/softmax classification</t>
  </si>
  <si>
    <t>Multiscale convolutional facial features and gated high-salience local regions such as eyes, mouth and contours</t>
  </si>
  <si>
    <t>ImageNet-pretrained high-level InceptionResNetV2 representation</t>
  </si>
  <si>
    <t>Learned gating/attention over manipulation-prone facial regions</t>
  </si>
  <si>
    <t>Kaggle Deep Fake Dataset</t>
  </si>
  <si>
    <t>Kaggle deepfake dataset; original real-image provenance NR</t>
  </si>
  <si>
    <t>StyleGAN2 synthetic faces</t>
  </si>
  <si>
    <t>Paper reports 1,288 images with 700 fake and 589 real (arithmetic inconsistency); augmented counts also reported inconsistently; 70/30 source train-test split</t>
  </si>
  <si>
    <t>Kaggle source test; FaceForensics++; Celeb-DF v2; DFDC Preview</t>
  </si>
  <si>
    <t>Dataset-specific authentic facial frames</t>
  </si>
  <si>
    <t>StyleGAN2 in source data; external benchmark manipulation/generation methods represented in FaceForensics++, Celeb-DF v2 and DFDC Preview, exact per-method composition NR</t>
  </si>
  <si>
    <t>NR; external video datasets evaluated by representative frame extraction</t>
  </si>
  <si>
    <t>Human facial images; external deepfake video frames treated independently</t>
  </si>
  <si>
    <t>CROSS-DATASET</t>
  </si>
  <si>
    <t>Training augmentation includes flips, ±20° rotations, brightness/contrast variation and minor rescaling; no controlled corruption suite</t>
  </si>
  <si>
    <t>Kaggle source: ACC 97.93%, Precision 98.28%, Recall 97.53%, F1 97.86%, AUC 0.988</t>
  </si>
  <si>
    <t>FaceForensics++: ACC 94.18%, F1 94.29%, AUC 0.970; Celeb-DF v2: 91.87%, 91.71%, 0.961; DFDC: 89.45%, 89.41%, 0.949</t>
  </si>
  <si>
    <t>Zero-shot external FaceForensics++ frame-level ACC 94.18% and AUC 0.970 from a static-image-trained detector</t>
  </si>
  <si>
    <t>DFDC falls to 89.45% ACC, an 8.48-point drop from the source Kaggle result</t>
  </si>
  <si>
    <t>Performance degrades as external dataset diversity/compression increases; frame-based external testing does not establish full video or non-face AIGI generalization</t>
  </si>
  <si>
    <t>InceptionResNetV2 baseline and heterogeneous prior deepfake models including CNN/RNN/ResNet/3D-CNN methods; literature comparisons are not fully controlled</t>
  </si>
  <si>
    <t>Qualitative attention/gating visualizations over facial regions</t>
  </si>
  <si>
    <t>External fixed-model dataset tests; clear performance degradation quantified; component ablation; interpretable gated regions</t>
  </si>
  <si>
    <t>Face-only manipulation task; no diffusion/full-image AIGI; external videos reduced to frames; test frame counts/sampling and subject-disjointness incompletely specified</t>
  </si>
  <si>
    <t>Source sample arithmetic is internally inconsistent; possible identity/frame dependence; still-image-to-video-frame modality shift; target threshold/calibration details are not explicitly discussed</t>
  </si>
  <si>
    <t>Provides cross-dataset face-deepfake transfer evidence, but has limited direct applicability to universal full-image AI-generation detection</t>
  </si>
  <si>
    <t>Quantifies degradation from a static face dataset to three external deepfake benchmarks and illustrates the importance of separating facial manipulation from general AIGI detection</t>
  </si>
  <si>
    <t>Need standardized identity-disjoint external testing, explicit target calibration reporting, and cross-family full-image generator evaluation</t>
  </si>
  <si>
    <t>The external protocol explicitly evaluates the static-image-trained model frame-wise on FaceForensics++, Celeb-DF and DFDC. Reported ACC is 94.18% on FF++, 91.87% on Celeb-DF and 89.45% on DFDC versus 97.93% on Kaggle. Human validation should check the source dataset counts because the paper reports 1,288 total while listing 700 fake + 589 real, an arithmetic mismatch.</t>
  </si>
  <si>
    <t>Binary GAN-generated image detection using high-frequency and camera-noise residual cues that transfer across GANs and content categories</t>
  </si>
  <si>
    <t>Extract bilateral high-pass (BiHPF) and PRNU residual maps; concatenate into a 2-channel representation; split into 8x8 patches with positional encoding; classify using a compact 2-head multi-head-attention network and dense head</t>
  </si>
  <si>
    <t>Custom 2-channel patch embedding + positional encoding + 2-head multi-head attention + dense classifier; about 0.23M parameters</t>
  </si>
  <si>
    <t>Patchwise spatial relationships and positional context over residual maps</t>
  </si>
  <si>
    <t>Bilateral high-pass-filtered high-frequency patterns</t>
  </si>
  <si>
    <t>PRNU/noise residual fingerprints associated with camera-vs-GAN acquisition</t>
  </si>
  <si>
    <t>Wang et al./ForenSynths-style benchmark; auxiliary CelebA face cross-test</t>
  </si>
  <si>
    <t>LSUN; FFHQ depending protocol; CelebA in auxiliary face cross-test</t>
  </si>
  <si>
    <t>ProGAN only for main cross-category/cross-GAN experiments</t>
  </si>
  <si>
    <t>Main experiment count NR; auxiliary face cross-test uses 10,000 ProGAN fake + 10,000 CelebA real</t>
  </si>
  <si>
    <t>Wang et al. GAN benchmark; 20-category ProGAN benchmark; auxiliary CelebA/StyleGAN face test; colour-transformed test sets</t>
  </si>
  <si>
    <t>LSUN; FFHQ; CelebA</t>
  </si>
  <si>
    <t>ProGAN; StyleGAN; StyleGAN2; BigGAN; CycleGAN; StarGAN</t>
  </si>
  <si>
    <t>Main test counts NR; auxiliary face cross-test uses 1,000 unseen-generator fake + 1,000 CelebA real</t>
  </si>
  <si>
    <t>20 LSUN-style object/scene categories plus faces</t>
  </si>
  <si>
    <t>Test-only hue factor 0.2; brightness, saturation, contrast and gamma adjusted by 1.3</t>
  </si>
  <si>
    <t>ACC; AP</t>
  </si>
  <si>
    <t>ProGAN source in 1-class setting: ACC 98%, AP 96.37%; horse same-category condition: ACC 95%, AP 94.06%</t>
  </si>
  <si>
    <t>Cross-category horse→four unseen categories: ACC 77%, AP 68.25%; all 20 categories: 80/79.02. ProGAN-only 1-class cross-GAN mean 80.83/75.15; StyleGAN 75/68.18, StyleGAN2 66/59.8, BigGAN 67/60.32, CycleGAN 86/78.59, StarGAN 93/87.62 ACC/AP. Multi-class settings improve mean to roughly mid-80% ACC</t>
  </si>
  <si>
    <t>Test-only colour transformations: mean ACC 97.4%, AP 96.16%; minimum 97% ACC and 95.87% AP</t>
  </si>
  <si>
    <t>ProGAN-only detector retains approximately 97.4% mean ACC under test-only colour transformations and transfers across several unseen GANs</t>
  </si>
  <si>
    <t>StyleGAN2 transfer in the 1-class setting is only 66% ACC and 59.8% AP; cross-category ACC drops from 95% to 77%</t>
  </si>
  <si>
    <t>Same-family transfer remains strongly generator-dependent, especially StyleGAN2/BigGAN; content shift also causes a sizable drop despite strong colour robustness</t>
  </si>
  <si>
    <t>Wang/CNNSpot; Frank; Durall; Jeong/BiHPF; ResNet50 pixel baseline</t>
  </si>
  <si>
    <t>t-SNE cross-GAN face visualization; qualitative PRNU and BiHPF residual maps</t>
  </si>
  <si>
    <t>Clean ProGAN-only cross-GAN protocol; explicit cross-category test; test-only colour transformations; lightweight architecture; strong component ablation</t>
  </si>
  <si>
    <t>GAN-only; no diffusion/cross-dataset/social/JPEG/adversarial evaluation; sample sizes mostly NR; substantial unseen-GAN variability</t>
  </si>
  <si>
    <t>Real-image sources vary across experiment modes; benchmark/preprocessing artifacts may drive fingerprints; AP is approximated using a few thresholds; no external dataset transfer</t>
  </si>
  <si>
    <t>Strong evidence for within-GAN and content-shift transfer, but absence of diffusion testing prevents claims of universal modern AIGI detection</t>
  </si>
  <si>
    <t>Shows complementary high-frequency + PRNU cues generalize across GANs/categories and colour changes while preserving negative evidence of source-specific failures</t>
  </si>
  <si>
    <t>Need GAN-to-diffusion cross-family transfer, low-quality/compression robustness, external datasets and future-generator evaluation</t>
  </si>
  <si>
    <t>Main experiments use ProGAN fake training with LSUN/FFHQ real sources and test StyleGAN, StyleGAN2, BigGAN, CycleGAN and StarGAN. One-class cross-GAN StyleGAN2 is 66% ACC/59.8% AP and BigGAN 67%/60.32%. Colour transformations are applied only at test time. Mean transformed robustness is 97.4% ACC/96.16% AP; ablations show BiHPF-only 52%, PRNU-only 67%, fused+attention 98%.</t>
  </si>
  <si>
    <t>Binary real-vs-GAN face detection from inter-eye symmetry/inconsistency</t>
  </si>
  <si>
    <t>Dlib eye localisation + paired-eye Siamese similarity learning</t>
  </si>
  <si>
    <t>Shared modified XceptionNet branches; 512-D embeddings</t>
  </si>
  <si>
    <t>Left/right eye crops; iris/eye texture; bilateral spatial relation</t>
  </si>
  <si>
    <t>Inter-eye symmetry and facial-attribute consistency</t>
  </si>
  <si>
    <t>Iris/corneal and bilateral eye inconsistencies</t>
  </si>
  <si>
    <t>CelebA-HQ + FFHQ real; StyleGAN2 fake</t>
  </si>
  <si>
    <t>CelebA-HQ; FFHQ</t>
  </si>
  <si>
    <t>StyleGAN2</t>
  </si>
  <si>
    <t>85k real + 85k fake train; 5k+5k validation</t>
  </si>
  <si>
    <t>StyleGAN2; ProGAN; StyleGAN3; VIPPrint</t>
  </si>
  <si>
    <t>StyleGAN2; ProGAN; StyleGAN3</t>
  </si>
  <si>
    <t>10k each real/StyleGAN2/ProGAN/StyleGAN3; VIPPrint 10k+10k</t>
  </si>
  <si>
    <t>Human faces</t>
  </si>
  <si>
    <t>Median filtering; contrast; local manipulation; print-scan</t>
  </si>
  <si>
    <t>TPR; TNR; AUC; Pd@5%; FPR</t>
  </si>
  <si>
    <t>StyleGAN2 TPR/TNR 100/100%; AUC 100%</t>
  </si>
  <si>
    <t>ProGAN: TPR 87.2%, AUC 99.7%; StyleGAN3: TPR 84.4%, AUC 99.6%</t>
  </si>
  <si>
    <t>Strong under several transformations, but major degradation under noise/compression</t>
  </si>
  <si>
    <t>StyleGAN2-only training transfers to ProGAN/StyleGAN3 at ~99.6–99.7 AUC</t>
  </si>
  <si>
    <t>StyleGAN3 + Gaussian noise: TPR 8%, AUC 46.6%</t>
  </si>
  <si>
    <t>Excellent clean cross-generator AUC does not imply corruption robustness</t>
  </si>
  <si>
    <t>ResNet50-NoDown; Xception; Siamese-Xception; Siamese-ResNet50</t>
  </si>
  <si>
    <t>Grad-CAM; t-SNE; UMAP</t>
  </si>
  <si>
    <t>True unseen-GAN evaluation; semantic cue; extensive robustness</t>
  </si>
  <si>
    <t>Face-only; GAN-only; two unseen generators; landmark dependence</t>
  </si>
  <si>
    <t>Semantic face constraint; augmentation/test-operation overlap; no diffusion</t>
  </si>
  <si>
    <t>Useful evidence for semantic generalization, but narrow in domain/family</t>
  </si>
  <si>
    <t>Semantic relationships may transfer better than generator-specific whole-image artifacts</t>
  </si>
  <si>
    <t>Need broader semantic cues, diffusion/commercial tests, stronger noise robustness</t>
  </si>
  <si>
    <t>Training is StyleGAN2 only; ProGAN/StyleGAN3 are genuinely test-only. Clean unseen-generator transfer is strong, but Gaussian noise produces severe failure.</t>
  </si>
  <si>
    <t>Expert Systems With Applications</t>
  </si>
  <si>
    <t>Binary AI-generated/forged satellite-image detection</t>
  </si>
  <si>
    <t>Frozen ResNet34 + deformable spatial branch + DCT frequency branch + FDA + CFI + DGT</t>
  </si>
  <si>
    <t>Frozen ResNet34 with AMSF/SFFE/FDA/CFI</t>
  </si>
  <si>
    <t>Multiscale texture, geometry, non-rigid deformation</t>
  </si>
  <si>
    <t>DCT high-/low-frequency components; PSD/spectral energy</t>
  </si>
  <si>
    <t>ResNet contextual features</t>
  </si>
  <si>
    <t>Image entropy and adaptive thresholding</t>
  </si>
  <si>
    <t>SMTD + DeepFake_GeoSat component</t>
  </si>
  <si>
    <t>Google Earth; Sentinel-2; xView2/public RS</t>
  </si>
  <si>
    <t>StyleGAN2; CycleGAN; LDM/SD-style; ControlNet</t>
  </si>
  <si>
    <t>Self-built 20k total; 14k train/3k val/3k test</t>
  </si>
  <si>
    <t>SMTD; DM_AER_DeepFake_V1; Fake_Vaihingen; Geo_DefakeHop</t>
  </si>
  <si>
    <t>Remote-sensing real images</t>
  </si>
  <si>
    <t>Multiple external forgery pipelines</t>
  </si>
  <si>
    <t>External sizes NR</t>
  </si>
  <si>
    <t>Satellite/aerial imagery</t>
  </si>
  <si>
    <t>Resolution shift; target-validation threshold calibration</t>
  </si>
  <si>
    <t>Accuracy; Precision; Recall; F1</t>
  </si>
  <si>
    <t>SMTD ACC 98.95%; F1 98.96%</t>
  </si>
  <si>
    <t>Fixed external F1: 74.36%, 91.36%, 89.70%; calibrated: 79.07%, 92.55%, 94.44%</t>
  </si>
  <si>
    <t>Resolution increase strongly degrades performance</t>
  </si>
  <si>
    <t>Geo_DefakeHop calibrated: ACC 90%, F1 94.44%</t>
  </si>
  <si>
    <t>1024×1024 zero-shot: ACC 71.25%, F1 69.84%</t>
  </si>
  <si>
    <t>Scale and dataset statistics substantially affect spectral cues</t>
  </si>
  <si>
    <t>FLDCF; SFNet; MVSSNet; MoveNet; SCUNet</t>
  </si>
  <si>
    <t>ROC/PR; PSD/LBP/statistical analysis</t>
  </si>
  <si>
    <t>Explicit external datasets; fixed-vs-calibrated distinction; shift analysis</t>
  </si>
  <si>
    <t>Satellite-only; target validation used for best results; scale sensitivity</t>
  </si>
  <si>
    <t>Calibration gives target information; external generator membership partly unclear</t>
  </si>
  <si>
    <t>Useful for separating zero-shot transfer from target-adapted calibration</t>
  </si>
  <si>
    <t>Adaptive decision thresholds help OOD performance but do not solve representation shift</t>
  </si>
  <si>
    <t>Need calibration-free cross-sensor/cross-resolution transfer</t>
  </si>
  <si>
    <t>DGT coefficients are calibrated on each target benchmark’s validation split; therefore calibrated numbers should not be labelled pure zero-shot.</t>
  </si>
  <si>
    <t>Binary deepfake-face screening using heterogeneous detector ensembles</t>
  </si>
  <si>
    <t>Specialist detector scores combined using Random Forest</t>
  </si>
  <si>
    <t>Frozen DCT/Dolos/MesoNet detectors + RF</t>
  </si>
  <si>
    <t>CNN/patch-based face manipulation cues</t>
  </si>
  <si>
    <t>DCT forensic features</t>
  </si>
  <si>
    <t>Ensemble score patterns</t>
  </si>
  <si>
    <t>DeepFakeFace; FF++; IDDD; ProGAN; StarGAN; WhichFaceIsReal</t>
  </si>
  <si>
    <t>Dataset-specific</t>
  </si>
  <si>
    <t>SD1.5; SD inpainting; InsightFace; DeepFakes; Face2Face; FaceSwap; NeuralTextures; Faceswap-GAN; ProGAN; StarGAN; StyleGAN</t>
  </si>
  <si>
    <t>80% of benchmark pools for RF training</t>
  </si>
  <si>
    <t>Same six benchmark sources</t>
  </si>
  <si>
    <t>Same</t>
  </si>
  <si>
    <t>Same source distributions represented in training</t>
  </si>
  <si>
    <t>Remaining 20%; 5-fold CV</t>
  </si>
  <si>
    <t>Faces/biometrics</t>
  </si>
  <si>
    <t>Best ensemble ACC 79.2±1.5%; AUC 87.4±0.9%</t>
  </si>
  <si>
    <t>N/A — RF sees all evaluated source distributions during training</t>
  </si>
  <si>
    <t>Ensemble improves pooled held-out benchmark results</t>
  </si>
  <si>
    <t>No actual unseen-generator test; ACC only ~79%</t>
  </si>
  <si>
    <t>Testing on many generators is not generalization when all are represented during ensemble training</t>
  </si>
  <si>
    <t>Individual DCT models; Dolos; MesoNet; ensemble combinations</t>
  </si>
  <si>
    <t>Diverse ensemble; practical biometric framing</t>
  </si>
  <si>
    <t>No generator-disjoint test; modest accuracy; face-only</t>
  </si>
  <si>
    <t>RF may learn dataset/source-specific score combinations</t>
  </si>
  <si>
    <t>Important negative methodological example for SLR</t>
  </si>
  <si>
    <t>Demonstrates that generator diversity ≠ unseen-generator generalization</t>
  </si>
  <si>
    <t>Need leave-one-generator/dataset-out ensemble studies</t>
  </si>
  <si>
    <t>Should not be classified as genuine universal/generalization evidence for the proposed RF ensemble.</t>
  </si>
  <si>
    <t>ROBUSTNESS</t>
  </si>
  <si>
    <t>Uncertainty-aware detection with selective rejection under unseen generators/adversarial attacks</t>
  </si>
  <si>
    <t>Fisher information + MC-Dropout entropy + DKL-GP variance combined using PSO</t>
  </si>
  <si>
    <t>ResNet50; ViT comparison; GP/DKL head</t>
  </si>
  <si>
    <t>Deep CNN/ViT visual representation</t>
  </si>
  <si>
    <t>High-level pretrained representation</t>
  </si>
  <si>
    <t>Epistemic uncertainty and abstention</t>
  </si>
  <si>
    <t>GenImage SD1.5</t>
  </si>
  <si>
    <t>ImageNet</t>
  </si>
  <si>
    <t>Stable Diffusion v1.5</t>
  </si>
  <si>
    <t>GenImage OOD subsets + StyleGAN3 face set</t>
  </si>
  <si>
    <t>ImageNet; external face real source</t>
  </si>
  <si>
    <t>Midjourney; GLIDE; VQDM; BigGAN; StyleGAN3</t>
  </si>
  <si>
    <t>SD source 8k+8k; OOD GenImage targets 6k+6k each</t>
  </si>
  <si>
    <t>General images + external faces</t>
  </si>
  <si>
    <t>Selective rejection</t>
  </si>
  <si>
    <t>ACC; Precision; Recall; F1; rejection/acceptance</t>
  </si>
  <si>
    <t>Source ACC ~99.8%</t>
  </si>
  <si>
    <t>OOD ACC: Midjourney 66.02%; GLIDE 73.61%; VQDM 57.17%; BigGAN 55.97%; StyleGAN3 45.34%</t>
  </si>
  <si>
    <t>Combined uncertainty rejects ~61.4% successful FGSM/PGD attacks</t>
  </si>
  <si>
    <t>~70% of wrong unseen-generator predictions rejected</t>
  </si>
  <si>
    <t>StyleGAN3 ACC 45.34%</t>
  </si>
  <si>
    <t>Detector itself collapses under severe distribution shift; uncertainty mainly limits damage</t>
  </si>
  <si>
    <t>Probability; Fisher; MC-Dropout; GP/DKL; FreqNet; DIRE; texture baselines</t>
  </si>
  <si>
    <t>True unseen generators; cross-family shift; adversarial tests; selective-risk framing</t>
  </si>
  <si>
    <t>Poor raw OOD accuracy; abstention lowers coverage</t>
  </si>
  <si>
    <t>StyleGAN3 changes generator, semantic domain and real source simultaneously</t>
  </si>
  <si>
    <t>Useful distinction between universal detection and uncertainty-aware abstention</t>
  </si>
  <si>
    <t>Uncertainty can detect many failures without actually fixing generalization</t>
  </si>
  <si>
    <t>Need detectors with both high OOD accuracy and calibrated uncertainty</t>
  </si>
  <si>
    <t>Universal binary detection through diffusion reconstruction residuals</t>
  </si>
  <si>
    <t>UR2EA: DDIM/ADM reconstruction residual + lightweight ResNet + MCWA</t>
  </si>
  <si>
    <t>ADM/DDIM reconstruction + lightweight ResNet + MCWA</t>
  </si>
  <si>
    <t>RECONSTRUCTION + LATENT + SPATIAL</t>
  </si>
  <si>
    <t>Multiscale residual maps</t>
  </si>
  <si>
    <t>Diffusion inversion/reconstruction residual</t>
  </si>
  <si>
    <t>Reconstruction-quality differences across real/GAN/diffusion images</t>
  </si>
  <si>
    <t>UniversalForensics</t>
  </si>
  <si>
    <t>LSUN and benchmark-specific</t>
  </si>
  <si>
    <t>ProGAN; ADM</t>
  </si>
  <si>
    <t>240k total training images</t>
  </si>
  <si>
    <t>UniversalForensics; Self-Synthesis; GenImage; Chameleon</t>
  </si>
  <si>
    <t>LSUN; ImageNet; CelebA; COCO; LAION; others</t>
  </si>
  <si>
    <t>30 mainstream generators + community/LoRA sources</t>
  </si>
  <si>
    <t>UniversalForensics test ~241.7k; Chameleon NR</t>
  </si>
  <si>
    <t>Faces; objects; scenes; style transfer; AI art</t>
  </si>
  <si>
    <t>Crop; color jitter; combined perturbations</t>
  </si>
  <si>
    <t>High on source conditions</t>
  </si>
  <si>
    <t>Mean across 30 generators: ACC 96.5%, AP 98.8%; Midjourney 96.3%; SD1.5 98.0%; Chameleon 62.1%</t>
  </si>
  <si>
    <t>JPEG/noise/combined perturbations more damaging</t>
  </si>
  <si>
    <t>96.5% ACC / 98.8% AP across 30 generators</t>
  </si>
  <si>
    <t>Chameleon 62.1% ACC</t>
  </si>
  <si>
    <t>“Universal” curated-benchmark performance collapses considerably on realistic community images</t>
  </si>
  <si>
    <t>CNNDetection; FreDect; F3Net; LGrad; DIRE; UniFD; FreqNet; NPR; AIDE; Swin</t>
  </si>
  <si>
    <t>t-SNE; residual analysis</t>
  </si>
  <si>
    <t>Broadest generator coverage; GAN+diffusion source training; realistic Chameleon test</t>
  </si>
  <si>
    <t>Slow ~2.45 s/image reconstruction; Chameleon weakness; no open-set attribution</t>
  </si>
  <si>
    <t>Benchmark shifts mix generator/content/real-source effects</t>
  </si>
  <si>
    <t>Among strongest universal-detection papers, but realistic deployment remains unsolved</t>
  </si>
  <si>
    <t>Strong mechanism-level transfer plus critical failure on hard community images</t>
  </si>
  <si>
    <t>Need efficient reconstruction-free cues robust to high-fidelity community models</t>
  </si>
  <si>
    <t>Average benchmark numbers are genuinely strong, but Chameleon is essential negative evidence and should not be hidden behind the 30-generator average.</t>
  </si>
  <si>
    <t>Binary universal detection using subpixel and dual-domain artifacts</t>
  </si>
  <si>
    <t>SAP subpixel perturbation + DMAE Laplacian/Gabor dual-domain enhancement</t>
  </si>
  <si>
    <t>Modified 9-channel ResNet</t>
  </si>
  <si>
    <t>Subpixel responses; Laplacian residuals; boundaries/textures</t>
  </si>
  <si>
    <t>Multiscale Gabor high-pass filters</t>
  </si>
  <si>
    <t>Upsampling/subpixel misalignment artifacts</t>
  </si>
  <si>
    <t>Restricted ForenSynths ProGAN training</t>
  </si>
  <si>
    <t>ProGAN</t>
  </si>
  <si>
    <t>Four ProGAN subsets; exact count NR</t>
  </si>
  <si>
    <t>ForenSynths; Self-Synthesis; GenImage; DiffusionForensics; Ojha; Diffusion1Kstep</t>
  </si>
  <si>
    <t>Multiple benchmark real sources</t>
  </si>
  <si>
    <t>17 GAN + 28 diffusion/variant target sets</t>
  </si>
  <si>
    <t>45 generated-image sets</t>
  </si>
  <si>
    <t>Faces; scenes; objects</t>
  </si>
  <si>
    <t>ACC; AP; FPR95</t>
  </si>
  <si>
    <t>ProGAN source-only consolidated score NR</t>
  </si>
  <si>
    <t>45 sets: ACC 94.3%, AP 99.2%; GAN 96.3/99.5%; unseen diffusion 92.3/98.8%; GenImage 89.9/97.9%</t>
  </si>
  <si>
    <t>JPEG Q30 86.9/94.2%; blur 84.9/92.4%; noise 83.3/92.0%</t>
  </si>
  <si>
    <t>ProGAN-only training gives 94.3% mean ACC over 45 targets</t>
  </si>
  <si>
    <t>Severe Gaussian noise ACC 83.3%; Diffusion1Kstep 87%</t>
  </si>
  <si>
    <t>Ranking remains strong while thresholded ACC drops under harder shifts</t>
  </si>
  <si>
    <t>Chai; Durall; Frank; Qian; Wang; Mandelli; Shiohara; Ojha; Tan; NPR; Tao; Li</t>
  </si>
  <si>
    <t>t-SNE; CAM</t>
  </si>
  <si>
    <t>Single-source generator; broad cross-family tests; compact 1.44M model; strong robustness</t>
  </si>
  <si>
    <t>No open-set/rejection/social-media/adversarial testing</t>
  </si>
  <si>
    <t>Cross-dataset effects mix generator and content shifts</t>
  </si>
  <si>
    <t>Strong evidence for mechanism-based transferable artifacts</t>
  </si>
  <si>
    <t>Subpixel + dual-domain cues show unusually broad transfer from ProGAN-only training</t>
  </si>
  <si>
    <t>Need deployment-grade tests on future commercial generators and social-media processing</t>
  </si>
  <si>
    <t>Code repository is provided; exact composition of the four ProGAN source subsets should be manually confirmed.</t>
  </si>
  <si>
    <t>ATTRIBUTION</t>
  </si>
  <si>
    <t>Closed-set generator attribution plus diagnostic near-OOD rejection</t>
  </si>
  <si>
    <t>Spatial residual + DCT branch + Bi-CAM second-order cross-domain covariance + MSF + reconstruction regularizer</t>
  </si>
  <si>
    <t>DnCNN/residual branch + frequency branch + Bi-CAM/MSF</t>
  </si>
  <si>
    <t>SPATIAL + FREQUENCY + RECONSTRUCTION</t>
  </si>
  <si>
    <t>Residual anomalies; region-aware attention</t>
  </si>
  <si>
    <t>DCT spectral energy</t>
  </si>
  <si>
    <t>Low-frequency reconstruction constraint</t>
  </si>
  <si>
    <t>Cross-domain covariance fingerprint</t>
  </si>
  <si>
    <t>AIGC-Trace</t>
  </si>
  <si>
    <t>BigGAN; ADM; DDPM; DDIM; GLIDE; Stable Diffusion; Midjourney; VQDM; Sora</t>
  </si>
  <si>
    <t>30k train + 6k validation + 6k test/source; aggregate description inconsistent</t>
  </si>
  <si>
    <t>AIGC-Trace; ForenSynths; near-OOD set</t>
  </si>
  <si>
    <t>Known generators + SD1.4; SD1.5; SDXL; StyleGAN; StyleGAN2 unseen</t>
  </si>
  <si>
    <t>External/OOD counts NR</t>
  </si>
  <si>
    <t>Diverse synthetic imagery incl. Sora frames</t>
  </si>
  <si>
    <t>Sequential downsample→JPEG50→blur</t>
  </si>
  <si>
    <t>ACC; F1; AUROC; AUPR; Rej@FPR5</t>
  </si>
  <si>
    <t>Closed-set ACC 98.8%, F1 98.3%</t>
  </si>
  <si>
    <t>ForenSynths 97.3% ACC; near-OOD best AUROC only 0.583, rejection 6.84%</t>
  </si>
  <si>
    <t>Sequential propagation ACC 91.0%</t>
  </si>
  <si>
    <t>Closed-set 98.8% ACC</t>
  </si>
  <si>
    <t>Near-OOD AUROC 0.583</t>
  </si>
  <si>
    <t>Strongest example that closed-set attribution ≠ reliable unknown-source rejection</t>
  </si>
  <si>
    <t>VGG16; ResNet50; EfficientNet-B4; SSP; FIRE; Community-Forensics; MSP; Energy; Mahalanobis</t>
  </si>
  <si>
    <t>Failure visualisations; residual/spectral analysis</t>
  </si>
  <si>
    <t>Modern generators; compound degradation; explicit OOD diagnostic</t>
  </si>
  <si>
    <t>Open-set performance weak; primary objective remains closed-set</t>
  </si>
  <si>
    <t>OOD threshold protocol and source-count consistency need checking</t>
  </si>
  <si>
    <t>Highly relevant negative result for universal/open-world attribution</t>
  </si>
  <si>
    <t>Exposes major gap between known-generator attribution and emerging-generator rejection</t>
  </si>
  <si>
    <t>Need dedicated open-set objectives and uncertainty calibration</t>
  </si>
  <si>
    <t>Authors explicitly caution that near-OOD results are diagnostic and not evidence of strong open-set performance.</t>
  </si>
  <si>
    <t>Open-set verification of whether two synthetic images share a generating architecture</t>
  </si>
  <si>
    <t>EfficientNet-B4 Siamese embedding + contrastive loss + same/different classifier</t>
  </si>
  <si>
    <t>ImageNet-pretrained EfficientNet-B4 Siamese</t>
  </si>
  <si>
    <t>Learned architecture fingerprint</t>
  </si>
  <si>
    <t>Pairwise metric fingerprint</t>
  </si>
  <si>
    <t>Synthetic faces from 10 architecture pools</t>
  </si>
  <si>
    <t>5 in-set architectures/configuration from GAN/diffusion/transformer pool</t>
  </si>
  <si>
    <t>45k train + 2.5k validation + 500 test per in-set architecture; 450k training pairs/config</t>
  </si>
  <si>
    <t>Same 10-architecture pool + unknown-model variants</t>
  </si>
  <si>
    <t>5 held-out architectures/configuration + new model variants</t>
  </si>
  <si>
    <t>500 images/out-of-set architecture</t>
  </si>
  <si>
    <t>Synthetic human faces</t>
  </si>
  <si>
    <t>ACC; AUC; Pd@0.05</t>
  </si>
  <si>
    <t>Closed-set ACC/AUC 1.00</t>
  </si>
  <si>
    <t>Fully open AUC 0.92 / 0.81 / 0.85; known-architecture unknown-model tests AUC/ACC 1.00</t>
  </si>
  <si>
    <t>Perfect verification across retraining/configuration changes within known architecture</t>
  </si>
  <si>
    <t>LSGM config3 AUC 0.70; Pd@0.05 0.34</t>
  </si>
  <si>
    <t>Cross-family performance depends strongly on architecture families represented in training</t>
  </si>
  <si>
    <t>Open-set attribution baselines via rejection</t>
  </si>
  <si>
    <t>Genuine 5-known/5-unknown architecture partitions; cross-family config; public code</t>
  </si>
  <si>
    <t>Face-only; reference-based; not direct real/fake detector</t>
  </si>
  <si>
    <t>Requires target-reference images; shared face domain simplifies task</t>
  </si>
  <si>
    <t>Strong open-set attribution paper, though not universal detection</t>
  </si>
  <si>
    <t>Verification can handle unseen architectures more naturally than forced closed-set classification</t>
  </si>
  <si>
    <t>Need general-content and reference-free open-world attribution</t>
  </si>
  <si>
    <t>Config3 is especially informative because the in-set contains only GANs while diffusion/transformer architectures appear out-of-set.</t>
  </si>
  <si>
    <t>Binary text-to-image diffusion detection and content-dependent cross-generator transfer analysis</t>
  </si>
  <si>
    <t>CLIP/RoBERTa multimodal representations and CNN baselines</t>
  </si>
  <si>
    <t>CLIP; RoBERTa; MLP; ResNet50; Xception</t>
  </si>
  <si>
    <t>CNN/CLIP visual features</t>
  </si>
  <si>
    <t>Captions and CLIP image-text embeddings</t>
  </si>
  <si>
    <t>Image-text relation/content category</t>
  </si>
  <si>
    <t>MSCOCO+SD/GLIDE; Wikimedia+SD/GLIDE protocols</t>
  </si>
  <si>
    <t>MSCOCO; Wikimedia/WIT</t>
  </si>
  <si>
    <t>SD1.4 or GLIDE separately</t>
  </si>
  <si>
    <t>Per protocol: 6k+6k train; 1.5k+1.5k validation; 6k+6k test</t>
  </si>
  <si>
    <t>Same constructed protocols with opposite generator testing</t>
  </si>
  <si>
    <t>SD1.4; GLIDE</t>
  </si>
  <si>
    <t>12k/protocol test</t>
  </si>
  <si>
    <t>General photographic/object content</t>
  </si>
  <si>
    <t>ACC; AUC; Precision; Recall; F1</t>
  </si>
  <si>
    <t>Matched GLIDE ResNet ≈99.3–99.5% ACC, 99.9% AUC</t>
  </si>
  <si>
    <t>MSCOCO transfer sometimes moderate; Wikimedia cross-generator ResNet ≈49–51% ACC</t>
  </si>
  <si>
    <t>Near-perfect same-generator detection</t>
  </si>
  <si>
    <t>Wikimedia cross-generator transfer ≈chance</t>
  </si>
  <si>
    <t>Generalization is asymmetric and content-distribution dependent</t>
  </si>
  <si>
    <t>t-SNE; category analysis</t>
  </si>
  <si>
    <t>Explicit two-way unseen-generator testing; two semantic corpora</t>
  </si>
  <si>
    <t>Only SD1.4/GLIDE; no GANs; separate training per content corpus</t>
  </si>
  <si>
    <t>Semantic distribution materially affects apparent generalization</t>
  </si>
  <si>
    <t>Very useful negative evidence against assuming same-family transfer</t>
  </si>
  <si>
    <t>Shows generator signatures interact strongly with content domain</t>
  </si>
  <si>
    <t>Need multi-generator, multi-domain protocols controlling semantic composition</t>
  </si>
  <si>
    <t>Wikimedia result is particularly important: same-generator accuracy is near perfect while unseen-generator accuracy falls to approximately chance.</t>
  </si>
  <si>
    <t>Study interaction between AI fingerprints and smartphone-camera fingerprints</t>
  </si>
  <si>
    <t>Noise-residual/SPN fingerprint extraction + PCE correlation + resolution/cropping experiments</t>
  </si>
  <si>
    <t>Classical PRNU/SPN forensic pipeline</t>
  </si>
  <si>
    <t>Noise residual correlation</t>
  </si>
  <si>
    <t>Fingerprint spectrum/noise statistics</t>
  </si>
  <si>
    <t>Sensor-pattern noise; AI generator fingerprint</t>
  </si>
  <si>
    <t>PRNU Modern Devices + AI-generated reference images</t>
  </si>
  <si>
    <t>Smartphone photographs</t>
  </si>
  <si>
    <t>Adobe Firefly Image 4; ChatGPT 5</t>
  </si>
  <si>
    <t>AI refs: 3 images × 2 generators × 3 resolutions = 18</t>
  </si>
  <si>
    <t>PRNU smartphone images + AI query pools</t>
  </si>
  <si>
    <t>17 smartphone models / 22 devices</t>
  </si>
  <si>
    <t>Firefly 4; ChatGPT 5</t>
  </si>
  <si>
    <t>PRNU set 550 smartphone images; AI pools ~51 ChatGPT + 99 Firefly</t>
  </si>
  <si>
    <t>Photorealistic AI + smartphone photos</t>
  </si>
  <si>
    <t>Resolution mismatch; 512×512 centre crop</t>
  </si>
  <si>
    <t>PCE; FPR</t>
  </si>
  <si>
    <t>Same-source/same-resolution median PCE very high</t>
  </si>
  <si>
    <t>Fingerprint matching strongly resolution-dependent</t>
  </si>
  <si>
    <t>Center cropping eliminates camera false positives while preserving generator matching</t>
  </si>
  <si>
    <t>Standard SCI FPR reaches 61% Firefly and 100% ChatGPT</t>
  </si>
  <si>
    <t>Generator fingerprints can masquerade as camera fingerprints and fail across output resolutions</t>
  </si>
  <si>
    <t>Standard SPN/PCE SCI</t>
  </si>
  <si>
    <t>Residual/fingerprint spectra; correlation peaks</t>
  </si>
  <si>
    <t>Modern proprietary models; direct provenance consequences</t>
  </si>
  <si>
    <t>Only two generators; no unseen-generator protocol</t>
  </si>
  <si>
    <t>Service pipelines and output resolution can dominate fingerprint</t>
  </si>
  <si>
    <t>Important adjacent evidence for universal provenance systems</t>
  </si>
  <si>
    <t>Demonstrates AI content can fundamentally break camera-source attribution assumptions</t>
  </si>
  <si>
    <t>Need joint camera/AI open-world source attribution and resolution-invariant fingerprints</t>
  </si>
  <si>
    <t>Relevant primarily as attribution/provenance evidence rather than universal binary detector evidence.</t>
  </si>
  <si>
    <t>Binary detection across diffusion/GAN/deepfake sources using reconstruction consistency</t>
  </si>
  <si>
    <t>SDv2/DDIM reconstruction + DFT + BYOL-inspired IRL + Latent Consistency Loss</t>
  </si>
  <si>
    <t>SDv2 + EfficientNet-B0 or ViT-B/16</t>
  </si>
  <si>
    <t>RECONSTRUCTION + LATENT + FREQUENCY + SPATIAL</t>
  </si>
  <si>
    <t>Input/reconstruction residual features</t>
  </si>
  <si>
    <t>DFT spectral differences</t>
  </si>
  <si>
    <t>Learned invariant representations</t>
  </si>
  <si>
    <t>SD latent inversion/reconstruction + latent consistency</t>
  </si>
  <si>
    <t>Consistency across augmented views</t>
  </si>
  <si>
    <t>ForensicsImage protocols; separate GenImage SD1.4 protocol</t>
  </si>
  <si>
    <t>LSUN; CelebA-HQ; CelebDFv2; ImageNet</t>
  </si>
  <si>
    <t>LDM; DDIM; CelebDFv2 fake; LDM-t2i; separately SD1.4</t>
  </si>
  <si>
    <t>ForensicsImage total 439,901; exact split counts NR</t>
  </si>
  <si>
    <t>ForensicsImage unseen-source subsets; GenImage</t>
  </si>
  <si>
    <t>DDPM; IDDPM; GD; DALL-E; Imagen; Midjourney; SD variants; VQDM; Wukong; GAN/deepfake sources</t>
  </si>
  <si>
    <t>Aggregate ForensicsImage 439,901; exact test counts NR</t>
  </si>
  <si>
    <t>Bedrooms; faces; general objects/scenes</t>
  </si>
  <si>
    <t>Training augmentation includes erasing/crop/shift/blur/scale/noise</t>
  </si>
  <si>
    <t>AUC; ACC</t>
  </si>
  <si>
    <t>LDM 100/100%; DDIM 99.8/99.7%; LDM-t2i 99.7/99.3%</t>
  </si>
  <si>
    <t>LDM→DDPM AUC 99.9%; →IDDPM 99.4%; →DDIM 97.4%; GenImage SD1.4 protocol mean ACC 77.5%</t>
  </si>
  <si>
    <t>No dedicated corruption evaluation</t>
  </si>
  <si>
    <t>Very high LDM→other diffusion cross-testing AUC</t>
  </si>
  <si>
    <t>Broad GenImage mean ACC only 77.5%</t>
  </si>
  <si>
    <t>Broad generalization remains heterogeneous despite impressive related-diffusion transfer</t>
  </si>
  <si>
    <t>EfficientNet; GramNet; Fusing; DIRE; CNN-DCT; CNNSpot; F3Net; UniFD; Swin-T</t>
  </si>
  <si>
    <t>DFT spectra; reconstruction residuals</t>
  </si>
  <si>
    <t>Public code/data; explicit unseen-source experiments; reconstruction+consistency ablations</t>
  </si>
  <si>
    <t>No controlled post-processing/adversarial/open-set testing; diffusion processing costly</t>
  </si>
  <si>
    <t>Some “cross-dataset” terminology actually describes source holdouts within the constructed benchmark; GenImage is separately retrained</t>
  </si>
  <si>
    <t>Strong but not universal fixed-model evidence</t>
  </si>
  <si>
    <t>Consistency regularization plus diffusion reconstruction improves unseen-source transfer</t>
  </si>
  <si>
    <t>Need genuine fixed-model external dataset deployment without retraining</t>
  </si>
  <si>
    <t>GenImage results must be kept separate from ForensicsImage transfer because the model is trained directly on SD1.4 for that experiment.</t>
  </si>
  <si>
    <t>Cross-domain real-vs-AI detection under generator shift and image-scene/content shift.</t>
  </si>
  <si>
    <t>Artifact Purification Network (APN) with explicit spatial/frequency purification and implicit mutual-information-based purification.</t>
  </si>
  <si>
    <t>CNN-based APN with artifact-related/irrelevant feature decomposition and classifier.</t>
  </si>
  <si>
    <t>Spatial feature decomposition isolates artifact-related components.</t>
  </si>
  <si>
    <t>DFT-based suspicious frequency-band proposal and artifact-focused frequency features.</t>
  </si>
  <si>
    <t>Mutual-information minimization removes content/domain-irrelevant information.</t>
  </si>
  <si>
    <t>GenImage; DiffusionForensics; cross-scene ImageNet-based protocols.</t>
  </si>
  <si>
    <t>ImageNet; LSUN-Bedroom depending on experiment.</t>
  </si>
  <si>
    <t>One source generator per cross-generator run; cross-scene experiments include selected generators such as Stable Diffusion, ADM and Midjourney.</t>
  </si>
  <si>
    <t>DiffusionForensics source protocol: 40,000 real + 40,000 ADM; GenImage per-source used counts NR.</t>
  </si>
  <si>
    <t>GenImage; DiffusionForensics; LSUN-Bedroom cross-scene target.</t>
  </si>
  <si>
    <t>ImageNet and LSUN-Bedroom.</t>
  </si>
  <si>
    <t>Held-out GenImage/DiffusionForensics generators; corresponding generators under LSUN-Bedroom for cross-scene testing.</t>
  </si>
  <si>
    <t>DiffusionForensics: typically 1,000 images/generator, Midjourney 100, plus 1,000 real; other counts NR.</t>
  </si>
  <si>
    <t>ImageNet object categories and LSUN bedrooms.</t>
  </si>
  <si>
    <t>Accuracy.</t>
  </si>
  <si>
    <t>NR; paper focuses on cross-generator/cross-scene transfer.</t>
  </si>
  <si>
    <t>Average cross-generator ACC: 80.4% on GenImage and 98.7% on DiffusionForensics; cross-scene average drops only ~0.1 percentage point from in-scene.</t>
  </si>
  <si>
    <t>98.7% average on DiffusionForensics cross-generator evaluation; cross-scene performance is nearly unchanged.</t>
  </si>
  <si>
    <t>GenImage cross-generator average is 80.4%, leaving substantial unseen-generator error.</t>
  </si>
  <si>
    <t>Despite outperforming prior methods, GenImage mean remains far from perfect.</t>
  </si>
  <si>
    <t>Spec; CNNSpot; F3Net; GramNet; Patch-based methods; Swin-T; Patch5M; SIA; LNP; LGrad; UniversalDet, among 11 prior methods.</t>
  </si>
  <si>
    <t>YES ‚Äî artifact/frequency visualization and feature-focus analysis.</t>
  </si>
  <si>
    <t>Explicit generator-held-out and scene-held-out protocols; mechanism designed to suppress content-specific cues.</t>
  </si>
  <si>
    <t>No controlled post-processing robustness, open-set or continual evaluation; cross-scene study covers limited domains/generators.</t>
  </si>
  <si>
    <t>Generator and dataset statistics may still be entangled; exact per-run GenImage training sizes are not clearly reported.</t>
  </si>
  <si>
    <t>HIGH ‚Äî directly targets generator and semantic-domain shift.</t>
  </si>
  <si>
    <t>Demonstrates explicit purification of artifact features as a route to cross-generator and cross-scene transfer.</t>
  </si>
  <si>
    <t>Need joint generator+content+post-processing shift evaluation on future commercial models.</t>
  </si>
  <si>
    <t>Cross-dataset is NO because GenImage and DiffusionForensics are separate protocols rather than one fixed detector transferred between them.</t>
  </si>
  <si>
    <t>BENCHMARK</t>
  </si>
  <si>
    <t>Benchmark printer source attribution and test whether digital GAN-face detectors survive physical print-and-scan processing.</t>
  </si>
  <si>
    <t>VIPPrint dataset plus comparative evaluation of printer attribution and synthetic-face detectors; no new detector proposed.</t>
  </si>
  <si>
    <t>Evaluated DENSENET, INCEPTION-V3, XCEPTION, CONET and CROSSCONET.</t>
  </si>
  <si>
    <t>SPATIAL + TEXTURE / PRINTER ARTIFACTS</t>
  </si>
  <si>
    <t>CNN image/patch features on face images.</t>
  </si>
  <si>
    <t>NO explicit frequency branch in synthetic-image benchmark.</t>
  </si>
  <si>
    <t>Printer/scanner artifacts and source-linking cues.</t>
  </si>
  <si>
    <t>Digital face images corresponding to VIPPrint sources.</t>
  </si>
  <si>
    <t>Natural face images.</t>
  </si>
  <si>
    <t>StyleGAN2 for the reported synthetic-image detector benchmark.</t>
  </si>
  <si>
    <t>24,000 digital training images + 6,000 digital validation images, balanced real/fake.</t>
  </si>
  <si>
    <t>VIPPrint printed-and-scanned synthetic/natural face subset.</t>
  </si>
  <si>
    <t>Printed-and-scanned natural face images.</t>
  </si>
  <si>
    <t>Printed-and-scanned StyleGAN2 faces.</t>
  </si>
  <si>
    <t>2,000 printed-and-scanned test images, balanced real/fake.</t>
  </si>
  <si>
    <t>Human faces; physical printed documents.</t>
  </si>
  <si>
    <t>CROSS-DOMAIN</t>
  </si>
  <si>
    <t>Physical print-and-scan/rebroadcast transformation.</t>
  </si>
  <si>
    <t>Accuracy; Precision; Recall; F1.</t>
  </si>
  <si>
    <t>Digital validation: DENSENET/Inception/Xception 100% ACC; CONET 96%; CROSSCONET 99%.</t>
  </si>
  <si>
    <t>Printed-and-scanned target: all methods collapse to ~50% ACC.</t>
  </si>
  <si>
    <t>DENSENET/Inception/Xception/CONET show 0 fake precision/recall; CROSSCONET ~50% ACC with fake recall ~0.21.</t>
  </si>
  <si>
    <t>Near-perfect digital-domain synthetic-face detection.</t>
  </si>
  <si>
    <t>Print-and-scan transformation reduces detectors to approximately chance.</t>
  </si>
  <si>
    <t>VERY STRONG ‚Äî physical recapture removes or obscures synthetic traces learned from digital images.</t>
  </si>
  <si>
    <t>DENSENET; INCEPTION-V3; XCEPTION; CONET; CROSSCONET; multiple printer-attribution methods.</t>
  </si>
  <si>
    <t>Large physical-domain benchmark; directly measures a real-world laundering process.</t>
  </si>
  <si>
    <t>2021 GAN-only/face-only setting; synthetic detection benchmark mainly StyleGAN2; limited generator diversity for detection test.</t>
  </si>
  <si>
    <t>Physical acquisition pipeline/printer-scanner characteristics may dominate results; modern diffusion models are absent.</t>
  </si>
  <si>
    <t>HIGH as negative evidence ‚Äî universal detectors must survive physical recapture.</t>
  </si>
  <si>
    <t>Shows excellent digital synthetic-image detection can fail completely after print-and-scan.</t>
  </si>
  <si>
    <t>Need print/scan/rebroadcast-resistant universal detectors and broader physical-world benchmarks.</t>
  </si>
  <si>
    <t>VIPPrint contains additional ProGAN/StarGAN images, but the reported detector train‚Üíprint-scan experiment focuses on StyleGAN2; do not count the other generators as unseen tests.</t>
  </si>
  <si>
    <t>Binary classification of real versus AI-generated images using a fine-tuned Vision Transformer.</t>
  </si>
  <si>
    <t>Fine-tune pretrained ViT and optimize patch size, depth, number of heads and augmentation.</t>
  </si>
  <si>
    <t>Vision Transformer; selected configuration approximately 12 layers, 8 heads, 16√ó16 patches, pretrained weights.</t>
  </si>
  <si>
    <t>Patch-token relationships and fine-grained image patterns.</t>
  </si>
  <si>
    <t>Global self-attention/long-range contextual representations.</t>
  </si>
  <si>
    <t>Balanced Kaggle digital-image-forensics dataset.</t>
  </si>
  <si>
    <t>15,000 real images from various online repositories.</t>
  </si>
  <si>
    <t>Unspecified 'advanced GAN architectures'; exact generators NR.</t>
  </si>
  <si>
    <t>30,000 total; 80% training (~24,000), 20% validation (~6,000).</t>
  </si>
  <si>
    <t>Same Kaggle dataset validation split; no clearly independent external test set.</t>
  </si>
  <si>
    <t>Same source pool as training.</t>
  </si>
  <si>
    <t>Same generator/source pool as training.</t>
  </si>
  <si>
    <t>~6,000 validation images; independent test size NR.</t>
  </si>
  <si>
    <t>Mixed digital images; paper also ambiguously discusses manipulation categories.</t>
  </si>
  <si>
    <t>Training augmentation only.</t>
  </si>
  <si>
    <t>Accuracy; Precision; Recall; F1; ROC/AUC.</t>
  </si>
  <si>
    <t>Best reported ViT configuration: 98.2% accuracy.</t>
  </si>
  <si>
    <t>N/A ‚Äî no generator-disjoint or external-dataset transfer.</t>
  </si>
  <si>
    <t>98.2% accuracy on same-dataset held-out validation.</t>
  </si>
  <si>
    <t>No actual OOD test; training from scratch drops to ~91.2%.</t>
  </si>
  <si>
    <t>No direct failure experiment, but evidence is insufficient to support diverse-scenario robustness/generalization.</t>
  </si>
  <si>
    <t>CNN-based models including ResNet50/EfficientNet-style comparisons; ViT configuration variants.</t>
  </si>
  <si>
    <t>Clear ViT configuration analysis; strong same-distribution accuracy.</t>
  </si>
  <si>
    <t>No named generators, no unseen/cross-dataset test, and no clearly independent test set beyond validation.</t>
  </si>
  <si>
    <t>Dataset provenance/fake-generation methods are insufficiently specified; validation appears used for model selection.</t>
  </si>
  <si>
    <t>LOW-to-MODERATE ‚Äî useful architecture evidence but not universal-generalization evidence.</t>
  </si>
  <si>
    <t>Illustrates high same-dataset ViT performance and importance of patch size/pretraining.</t>
  </si>
  <si>
    <t>Need generator-disjoint, dataset-disjoint and corruption-aware ViT evaluation.</t>
  </si>
  <si>
    <t>Do not classify 98.2% as generalization: it is an 80/20 split of the same dataset with no held-out generator.</t>
  </si>
  <si>
    <t>Detect synthetic images across modern architectures using collaborative spatial-semantic and wavelet-frequency artifacts.</t>
  </si>
  <si>
    <t>SIDWA dual branch with DWT Stem, Artifact Alignment, Frequency-Semantic Resonance Projector and Deformable Sliding Window Cross-Attention.</t>
  </si>
  <si>
    <t>OverLoCK-derived semantic backbone + FPN; DWT frequency stream; DSWA; 98.3M parameters.</t>
  </si>
  <si>
    <t>SPATIAL + FREQUENCY + SEMANTIC</t>
  </si>
  <si>
    <t>Distorted edges, non-linear textures, adaptive/deformable receptive-field features.</t>
  </si>
  <si>
    <t>Multi-scale DWT sub-bands, especially high-frequency HH/HL residues.</t>
  </si>
  <si>
    <t>FPN-based multilevel semantic priors guiding frequency analysis.</t>
  </si>
  <si>
    <t>Frequency-semantic resonance and dynamic gated cross-modal alignment.</t>
  </si>
  <si>
    <t>SIDset = selected DiffusionForensics + selected GenImage + custom collection.</t>
  </si>
  <si>
    <t>LSUN-Bedroom; ImageNet/GenImage real; Unsplash, Pexels, Flickr, Xinhua and BBC custom real images.</t>
  </si>
  <si>
    <t>ADM; PNDM; IDDPM; Midjourney; VQDM; HunyuanImage; Seedream; FLUX.2.</t>
  </si>
  <si>
    <t>SIDset 350,000 total; 8:1:1 split = 280,000 train, 35,000 validation, 35,000 internal test.</t>
  </si>
  <si>
    <t>SIDset internal test plus external/held-out generator benchmarks reported in Tables 2‚Äì4.</t>
  </si>
  <si>
    <t>SIDset real sources and benchmark-specific real images.</t>
  </si>
  <si>
    <t>BigGAN; ADM; GLIDE; Midjourney; VQDM; Wukong; SD1.5; plus GLIDE, FLUX, DALL-E2, SD2, SD3, GigaGAN, MJv5, MJv6.1, DALL-E3.</t>
  </si>
  <si>
    <t>SIDset internal 35,000; external per-generator counts NR.</t>
  </si>
  <si>
    <t>Bedrooms, ImageNet classes, news/events, people, animals and broad web imagery.</t>
  </si>
  <si>
    <t>Rescaling; training also includes randomized JPEG preprocessing.</t>
  </si>
  <si>
    <t>Accuracy; AUC; Precision; Recall; F1; computational cost.</t>
  </si>
  <si>
    <t>SIDset full model: 95.74% ACC, 98.52% AUC; five-seed mean ACC 94.40¬±0.94%.</t>
  </si>
  <si>
    <t>External 9-generator ACC: GLIDE 96.4, FLUX 79.4, DALL-E2 88.3, SD2 88.6, SD3 73.2, GigaGAN 87.8, MJv5 86.4, MJv6.1 83.7, DALL-E3 78.3; avg 84.6%.</t>
  </si>
  <si>
    <t>Paper states JPEG, Gaussian-blur and rescaling tests, but numerical post-processing results are not clearly tabulated in retrieved experimental section; NR.</t>
  </si>
  <si>
    <t>96.4% on GLIDE in broad held-out-generator table; internal SIDset AUC 98.52%.</t>
  </si>
  <si>
    <t>73.2% on SD3 in broad generator evaluation.</t>
  </si>
  <si>
    <t>Advanced generators such as SD3 and DALL-E3 remain materially harder despite improved average transfer.</t>
  </si>
  <si>
    <t>CNNDet; FreqDet/FreDect; LGrad; DIRE; UnivFD; LNP; AIDE; DeFake; RINE; SPAI.</t>
  </si>
  <si>
    <t>YES ‚Äî artifact heatmaps/localization analysis.</t>
  </si>
  <si>
    <t>Large mixed SIDset; explicit held-out modern generators; cross-family GAN/diffusion coverage; strong ablation/statistical testing.</t>
  </si>
  <si>
    <t>Large 98.3M model; cross-dataset protocol not transparently separated from mixed-dataset training; robustness numbers poorly reported.</t>
  </si>
  <si>
    <t>Hyperparameters selected using GenImage validation; some baseline metrics sourced from another study; source/target separation for claimed cross-dataset tests insufficiently explicit.</t>
  </si>
  <si>
    <t>HIGH ‚Äî broad current-generator coverage and cross-family evidence.</t>
  </si>
  <si>
    <t>Combines wavelet artifacts with adaptive semantic guidance and tests newer generators including SD3/DALL-E3.</t>
  </si>
  <si>
    <t>Need cleaner fixed-source cross-dataset protocols and transparent quantitative corruption reporting.</t>
  </si>
  <si>
    <t>Cross_Dataset_Test is UNCLEAR rather than YES: training mixes DiffusionForensics, GenImage and custom data, and retrieved results do not isolate a fixed source‚Üíexternal dataset protocol.</t>
  </si>
  <si>
    <t>DETECTION+ATTRIBUTION</t>
  </si>
  <si>
    <t>Classify medical skin images as Real or exact generator, and separately as Real/GAN/Diffusion family.</t>
  </si>
  <si>
    <t>Dual-branch MobileNetV2 + InceptionV3 feature fusion with Domain-Specific Batch Normalization (DSBN).</t>
  </si>
  <si>
    <t>ImageNet-pretrained MobileNetV2 + InceptionV3; GAP; 3328-D fusion; FC 256/128; softmax; DSBN.</t>
  </si>
  <si>
    <t>Fine-grained texture/local lesion variation from MobileNetV2 and multi-scale convolutional structure.</t>
  </si>
  <si>
    <t>High-level contextual/multiscale features from InceptionV3.</t>
  </si>
  <si>
    <t>Domain-specific normalization statistics for Real/GAN/Diffusion families.</t>
  </si>
  <si>
    <t>Custom multiclass dataset derived from Kaggle Skin Cancer Malignant vs Benign dataset.</t>
  </si>
  <si>
    <t>1,497 malignant skin-cancer images.</t>
  </si>
  <si>
    <t>DCGAN; Pix2Pix GAN; DDPM; VQ-Diffusion.</t>
  </si>
  <si>
    <t>7,485 total (1,497 real + 1,497 per each of four generators); 70:30 stratified split; 5-fold CV.</t>
  </si>
  <si>
    <t>Same constructed skin-cancer dataset.</t>
  </si>
  <si>
    <t>Same skin-cancer real-image source.</t>
  </si>
  <si>
    <t>DCGAN; Pix2Pix; DDPM; VQ-Diffusion ‚Äî all represented during training.</t>
  </si>
  <si>
    <t>30% holdout of 7,485; exact integer allocation NR; 5-fold CV additionally reported.</t>
  </si>
  <si>
    <t>Medical dermoscopic/skin-cancer imagery.</t>
  </si>
  <si>
    <t>Training-only rotation/shift/zoom/flip/brightness augmentation.</t>
  </si>
  <si>
    <t>Accuracy; Precision; Recall; F1; AUC; confusion matrix.</t>
  </si>
  <si>
    <t>Hybrid generator-level 94.3¬±0.7% ACC; family-level Hybrid 90.25% ACC/AUC 0.992; Hybrid+DSBN 98.22% ACC/AUC 0.999.</t>
  </si>
  <si>
    <t>N/A ‚Äî same generators/families occur in train and test; paper explicitly states no cross-dataset evaluation.</t>
  </si>
  <si>
    <t>DSBN family-level classification reaches 98.22% ACC and AUC 0.999.</t>
  </si>
  <si>
    <t>Hybrid without DSBN family-level ACC 90.25%; no OOD evidence.</t>
  </si>
  <si>
    <t>Paper explicitly acknowledges cross-dataset generalizability remains untested.</t>
  </si>
  <si>
    <t>InceptionV3; MobileNetV2; ConvNet; AlexNet; Hybrid without DSBN.</t>
  </si>
  <si>
    <t>YES ‚Äî t-SNE, PCA and misclassification analysis.</t>
  </si>
  <si>
    <t>Generator-level and family-level formulation; both GAN/diffusion medical fakes; clear DSBN/augmentation ablations.</t>
  </si>
  <si>
    <t>Single skin-cancer dataset; all generators seen in training; no cross-dataset or post-processing tests.</t>
  </si>
  <si>
    <t>High scores may exploit generator- or dataset-specific intensity/statistical differences rather than transferable forensic cues.</t>
  </si>
  <si>
    <t>MODERATE as domain-specific attribution, LOW as evidence of universality.</t>
  </si>
  <si>
    <t>Shows domain-aware normalization can strongly separate known generator families within one medical dataset.</t>
  </si>
  <si>
    <t>Need unseen-generator/cross-medical-dataset evaluation plus robustness analysis.</t>
  </si>
  <si>
    <t>Do not interpret five-fold CV or family-level Real/GAN/Diffusion classification as cross-family generalization: the same four generators are in training/testing.</t>
  </si>
  <si>
    <t>Binary AI-generated image detection using complementary semantic and handcrafted texture representations.</t>
  </si>
  <si>
    <t>Three-branch RGB + edge-guided LBP + GLCM network with modality-specific autoencoder/CNN encoders, concatenation and MLP classifier.</t>
  </si>
  <si>
    <t>Three parallel convolutional autoencoder encoders + MLP fusion classifier.</t>
  </si>
  <si>
    <t>SPATIAL + SEMANTIC + TEXTURE + RECONSTRUCTION</t>
  </si>
  <si>
    <t>Canny-guided LBP micro-texture and structural discontinuities.</t>
  </si>
  <si>
    <t>NO explicit spectral transform; GLCM/LBP are spatial/statistical descriptors.</t>
  </si>
  <si>
    <t>RGB branch captures color, object coherence and scene layout.</t>
  </si>
  <si>
    <t>Autoencoder latent embeddings with optional reconstruction-loss regularization.</t>
  </si>
  <si>
    <t>GLCM contrast/correlation/homogeneity; edge-guided texture statistics.</t>
  </si>
  <si>
    <t>ForenSynths/ProGAN protocol; separate FF++ protocol for deepfake transfer.</t>
  </si>
  <si>
    <t>ForenSynths real images; FF++ real videos/frames in separate experiment.</t>
  </si>
  <si>
    <t>ProGAN for universal image tests; FF++ manipulation types for separate face protocol.</t>
  </si>
  <si>
    <t>ForenSynths; GenImage; FF++; Celeb-DF; WildDeepfake.</t>
  </si>
  <si>
    <t>Benchmark-specific real sources.</t>
  </si>
  <si>
    <t>StyleGAN; BigGAN; StarGAN; CycleGAN; Midjourney; SD1.4; SD1.5; Wukong; FF++/Celeb-DF/WildDeepfake manipulations.</t>
  </si>
  <si>
    <t>General objects/scenes plus face deepfakes.</t>
  </si>
  <si>
    <t>Laplacian image sharpening.</t>
  </si>
  <si>
    <t>Accuracy; Average Precision; AUC.</t>
  </si>
  <si>
    <t>ProGAN 100% ACC/100% AP; AUC 99.9%. FF++ 99.3% ACC/99.1% AUC.</t>
  </si>
  <si>
    <t>ProGAN‚ÜíStyleGAN 96.5% ACC; BigGAN 95.2%; StarGAN 100%; CycleGAN 98.5%. ProGAN‚ÜíGenImage: MJ 88.2%, SD1.4 86.5%, SD1.5 92.1%, Wukong 86.3%. FF++‚ÜíCeleb-DF 83.5%; ‚ÜíWildDeepfake 85.6%.</t>
  </si>
  <si>
    <t>BigGAN clean 95.2% ACC; JPEG Q50 89.1%; Gaussian blur 87.6%; sharpening 91.0%; adversarial attack 83.4%.</t>
  </si>
  <si>
    <t>Strong ProGAN-only transfer to both unseen GANs and unseen diffusion/text-to-image sources.</t>
  </si>
  <si>
    <t>Adversarial attack drops ACC to 83.4%; external Celeb-DF transfer is 83.5%.</t>
  </si>
  <si>
    <t>Performance declines on external deepfake datasets, cross-family diffusion sources and adversarial perturbations.</t>
  </si>
  <si>
    <t>Wang et al. 2020; Liu et al. 2022; Ojha et al. 2023; Zhou et al. 2023; Tan et al. 2024; Deressa et al. 2025.</t>
  </si>
  <si>
    <t>YES ‚Äî Grad-CAM and texture-focused visual interpretation.</t>
  </si>
  <si>
    <t>True ProGAN‚Üíunseen/cross-family transfer; separate FF++‚Üíexternal dataset transfer; explicit robustness tests.</t>
  </si>
  <si>
    <t>Training/test counts NR; no open-set/continual setting; performance degrades under blur/adversarial attacks.</t>
  </si>
  <si>
    <t>Internal reporting inconsistencies: BigGAN AUC differs across tables, and robustness prose names Celeb-DF while table is titled BigGAN.</t>
  </si>
  <si>
    <t>HIGH, though reporting inconsistencies require manual validation.</t>
  </si>
  <si>
    <t>Shows complementary RGB/LBP/GLCM texture fusion can transfer from ProGAN to GAN and diffusion sources.</t>
  </si>
  <si>
    <t>Need standardized reporting, stronger adversarial robustness and open-world testing.</t>
  </si>
  <si>
    <t>Human validation especially important: conflicting BigGAN AUC values and mismatched dataset naming in robustness paragraph/table.</t>
  </si>
  <si>
    <t>Compare PRNU-, ELA- and latent-reconstruction-based detectors under same-generator, unseen-generator and combined-generator settings.</t>
  </si>
  <si>
    <t>PRNU map + custom CNN; ELA map + custom CNN; LaRE2 latent reconstruction error + error-guided refinement/CLIP classifier.</t>
  </si>
  <si>
    <t>Custom CNN for PRNU/ELA; LaRE2 uses CLipClassifierWMapV6 with CLIP RN50 visual backbone.</t>
  </si>
  <si>
    <t>SPATIAL + SENSOR/COMPRESSION + RECONSTRUCTION + LATENT</t>
  </si>
  <si>
    <t>PRNU residual maps and ELA spatial error maps.</t>
  </si>
  <si>
    <t>NO explicit frequency-transform branch.</t>
  </si>
  <si>
    <t>CLIP RN50 features in LaRE2 implementation.</t>
  </si>
  <si>
    <t>LaRE2 single-step latent denoising prediction error and error-guided feature refinement.</t>
  </si>
  <si>
    <t>Camera sensor PRNU absence; JPEG recompression error patterns.</t>
  </si>
  <si>
    <t>Custom 25,000-image dataset built from Tiny GenImage plus locally generated FLUX images.</t>
  </si>
  <si>
    <t>ImageNet-derived real images from GenImage; unique real images across subsets.</t>
  </si>
  <si>
    <t>ADM; BigGAN; FLUX; Midjourney; SD1.5, one per per-generator run; all five in combined training.</t>
  </si>
  <si>
    <t>Each subset 5,000 (2,500 real/2,500 fake), split 80/20; per-generator training ~4,000. Combined effective size unclear because train/validation files are concatenated.</t>
  </si>
  <si>
    <t>Same custom five-subset benchmark under cross-model and combined-model evaluation.</t>
  </si>
  <si>
    <t>ImageNet-derived GenImage real images.</t>
  </si>
  <si>
    <t>ADM; BigGAN; FLUX; Midjourney; Stable Diffusion v1.5.</t>
  </si>
  <si>
    <t>~1,000 validation/evaluation images per generator subset; 108 total test cases reported.</t>
  </si>
  <si>
    <t>ImageNet 1,000-class general photographic content.</t>
  </si>
  <si>
    <t>N/A; common photographic modifications proposed as future work.</t>
  </si>
  <si>
    <t>Accuracy; AP; AUC; Recall; F1; loss.</t>
  </si>
  <si>
    <t>Nearly 100% for most same-generator cases; worst is PRNU Midjourney at ~90% ACC/F1.</t>
  </si>
  <si>
    <t>Highly variable. BigGAN-trained detectors almost fail on other generators; LaRE2 is strongest overall and transfers better among FLUX/Midjourney/SD1.5 and to unseen BigGAN.</t>
  </si>
  <si>
    <t>Combined-generator models exceed 99% ACC, though not unseen-generator evidence; LaRE2 is strongest cross-model method.</t>
  </si>
  <si>
    <t>Models trained on BigGAN almost completely fail on other generator subsets in cross-model tests.</t>
  </si>
  <si>
    <t>VERY STRONG ‚Äî cross-model results depend heavily on architecture similarity despite near-perfect same-generator/combined results.</t>
  </si>
  <si>
    <t>PRNU+CNN; ELA+CNN; LaRE2/CLIP-RN50 under identical protocols.</t>
  </si>
  <si>
    <t>Clean per-generator holdout design; includes GAN, diffusion, transformer-diffusion and commercial generator; preserves negative transfer results.</t>
  </si>
  <si>
    <t>Only five generators and 5,000 images/subset; no corruption tests; many exact cross-model values are only in figures.</t>
  </si>
  <si>
    <t>Real images all derive from ImageNet/GenImage; source-specific consistency may simplify discrimination.</t>
  </si>
  <si>
    <t>HIGH as benchmark evidence about why same-generator accuracy is misleading.</t>
  </si>
  <si>
    <t>Directly compares three fundamentally different forensic cues under true unseen-generator testing.</t>
  </si>
  <si>
    <t>Need detectors whose transfer is less dependent on source-target architecture similarity.</t>
  </si>
  <si>
    <t>Paper correctly distinguishes combined-generator performance (&gt;99%) from true unseen-generator performance; the latter is much weaker.</t>
  </si>
  <si>
    <t>Informatica</t>
  </si>
  <si>
    <t>Binary authenticity verification of AI-generated versus human-created interior-design images.</t>
  </si>
  <si>
    <t>Fine-tune and compare ViT-B16, ViT-B32, ViT-L16 and ViT-L32 on a balanced interior-design dataset.</t>
  </si>
  <si>
    <t>ImageNet-21k pretrained ViT-B/16, ViT-B/32, ViT-L/16 and ViT-L/32.</t>
  </si>
  <si>
    <t>16√ó16 or 32√ó32 patch embeddings capturing material textures, contours and shading.</t>
  </si>
  <si>
    <t>Global self-attention/context across image patches.</t>
  </si>
  <si>
    <t>Custom interior-design image dataset, capped at 1,000 samples per class.</t>
  </si>
  <si>
    <t>Camera-captured or professionally curated interior-design photographs.</t>
  </si>
  <si>
    <t>NR ‚Äî paper discusses DALL-E, Midjourney and Stable Diffusion as examples but does not state which models generated the actual dataset.</t>
  </si>
  <si>
    <t>2,000 total; 80% train = 1,600, 20% validation = 400.</t>
  </si>
  <si>
    <t>Same custom dataset validation split; additional noisy/imbalanced variants.</t>
  </si>
  <si>
    <t>Same custom real-image pool.</t>
  </si>
  <si>
    <t>Same unspecified AI-image source pool.</t>
  </si>
  <si>
    <t>400 validation images in main experiment; robustness variant counts NR.</t>
  </si>
  <si>
    <t>Interior design / architecture visualization.</t>
  </si>
  <si>
    <t>Random occlusion and 70/30 class-imbalance stress test.</t>
  </si>
  <si>
    <t>Accuracy; Precision; Recall; F1; loss; runtime/throughput.</t>
  </si>
  <si>
    <t>ViT-B16/ViT-L16: 96.25% ACC, F1 0.9625, precision 0.9637, recall 0.9625. ViT-B32 80.0%; ViT-L32 81.25%.</t>
  </si>
  <si>
    <t>N/A ‚Äî no generator-disjoint, cross-dataset or cross-style held-out evaluation.</t>
  </si>
  <si>
    <t>ViT-B16: 94.2% ACC/F1 0.945 under 70/30 imbalance; 93.5% ACC with Gaussian noise œÉ=0.05 + random occlusions; larger-patch models &lt;75% in noisy conditions.</t>
  </si>
  <si>
    <t>ViT-B16/ViT-L16 reach 96.25% validation accuracy.</t>
  </si>
  <si>
    <t>ViT-B32/ViT-L32 fall below 75% under noisy/occluded inputs; generator identities NR.</t>
  </si>
  <si>
    <t>No true generalization experiment; paper itself says future work must test different AI models/domains.</t>
  </si>
  <si>
    <t>ViT-B16; ViT-B32; ViT-L16; ViT-L32; literature-level CNN comparisons not on same protocol.</t>
  </si>
  <si>
    <t>Clear domain-specific ViT comparison; explicit noise/occlusion stress test.</t>
  </si>
  <si>
    <t>Small 2,000-image dataset; generator provenance NR; no unseen/cross-domain test; high ViT cost.</t>
  </si>
  <si>
    <t>May learn interior-design style/lighting biases rather than generator artifacts; validation is same-dataset and used during training.</t>
  </si>
  <si>
    <t>LOW as universal evidence; useful for domain-specific architecture/robustness observations.</t>
  </si>
  <si>
    <t>Shows fine patch granularity helps within-domain detection and noise robustness.</t>
  </si>
  <si>
    <t>Need generator-labeled interior-design benchmarks and cross-generator/cross-style external testing.</t>
  </si>
  <si>
    <t>Generator_Families is only a provisional controlled-category placeholder: actual AI generators used in the custom dataset are not reported; family booleans are UNCLEAR.</t>
  </si>
  <si>
    <t>Binary real-vs-DeepFake facial-image classification with supplementary testing on newer AI image generators.</t>
  </si>
  <si>
    <t>ImageNet-pretrained EfficientNet-B3 fine-tuned with custom 128‚Üí64‚Üí1 classifier head, dropout and augmentation.</t>
  </si>
  <si>
    <t>EfficientNet-B3 + fully connected 128/64 binary head.</t>
  </si>
  <si>
    <t>Hierarchical CNN texture/forgery patterns.</t>
  </si>
  <si>
    <t>Deep ImageNet-pretrained visual representations.</t>
  </si>
  <si>
    <t>Kaggle DeepFake and Real Images; balanced subset up to 5,000 real + 5,000 fake.</t>
  </si>
  <si>
    <t>Authentic facial images in Kaggle DeepFake and Real Images.</t>
  </si>
  <si>
    <t>NR ‚Äî article does not specify fake-source generator/manipulation provenance.</t>
  </si>
  <si>
    <t>Up to 10,000 total; 80% train / 20% test. Main 5K-per-class setting ‚âà8,000 training images.</t>
  </si>
  <si>
    <t>Internal Kaggle test split + supplementary AI-generated images from ChatGPT/DALL-E and Google Gemini.</t>
  </si>
  <si>
    <t>Internal Kaggle real faces; supplementary external set appears AI-generated only.</t>
  </si>
  <si>
    <t>Internal Kaggle fake source NR; unseen ChatGPT/DALL-E and Google Gemini.</t>
  </si>
  <si>
    <t>Internal test 2,000 (991 real, 1,009 fake); supplementary ChatGPT/Gemini size NR.</t>
  </si>
  <si>
    <t>Primarily human faces/DeepFake images; supplementary commercial AI images.</t>
  </si>
  <si>
    <t>Training-only horizontal flip and rotation; no controlled robustness test.</t>
  </si>
  <si>
    <t>Accuracy; Precision; Recall; F1; confusion matrix.</t>
  </si>
  <si>
    <t>Internal test ACC 97.95%; precision/recall/F1 ‚âà0.98; 1,959/2,000 correct.</t>
  </si>
  <si>
    <t>100% of small supplementary ChatGPT/Gemini set classified fake; sample count NR and no target real controls reported.</t>
  </si>
  <si>
    <t>N/A; paper explicitly states adversarial/compression/real-world distortion robustness was not evaluated.</t>
  </si>
  <si>
    <t>97.95% balanced internal test accuracy; all supplementary ChatGPT/Gemini samples detected as fake.</t>
  </si>
  <si>
    <t>41/2,000 internal errors; external generalization set too small/poorly specified for strong conclusions.</t>
  </si>
  <si>
    <t>No reported external errors, but evidence is weak because sample size is NR and target set appears one-class only.</t>
  </si>
  <si>
    <t>GLCM+RF; SVM+GLCM; SVM; RF+HOG; RF/XGBoost/SVM ensembles; InceptionV3+DenseNet121; fine-tuned InceptionV3; Simple CNN.</t>
  </si>
  <si>
    <t>Independent internal test; explicit unseen commercial-model mini-test; broad ML/DL baseline comparison.</t>
  </si>
  <si>
    <t>Single training dataset; fake-source provenance NR; unseen set small/count NR; no corruption/adversarial testing.</t>
  </si>
  <si>
    <t>100% external result lacks sample count and real negative controls; commercial generator family not established in paper.</t>
  </si>
  <si>
    <t>MODERATE ‚Äî useful unseen-commercial-source evidence but insufficient for strong universal claims.</t>
  </si>
  <si>
    <t>Shows face-trained EfficientNet can flag a small unseen ChatGPT/Gemini set, while illustrating weakly specified external tests.</t>
  </si>
  <si>
    <t>Need large balanced external commercial-generator benchmarks with known provenance and corruption testing.</t>
  </si>
  <si>
    <t>Cross_Dataset_Test=YES only in limited fixed-detector external-set sense; set size NR and appears to have no target-domain real images, so strength is capped at MODERATE.</t>
  </si>
  <si>
    <t>Binary natural-vs-synthetic face discrimination from differential learned-compression behaviour.</t>
  </si>
  <si>
    <t>Train identical learned compression models on real and synthetic faces; DWT-preprocess RGB channels; extract rate/distortion and reconstruction-quality features from both compressors; classify with a small dense network.</t>
  </si>
  <si>
    <t>Variational learned image-compression network with entropy/hyperprior-style coding + DWT preprocessing; classifier Dense-12 → Dense-8 → sigmoid.</t>
  </si>
  <si>
    <t>RECONSTRUCTION + FREQUENCY</t>
  </si>
  <si>
    <t>Image-quality/reconstruction statistics indirectly encode structural differences.</t>
  </si>
  <si>
    <t>Biorthogonal 4.4 DWT approximation, horizontal, vertical and diagonal subbands.</t>
  </si>
  <si>
    <t>Learned compression latent/code plus reconstructed-image quality; 54 features from bpp/loss/MSE/MS-SSIM/PSNR/SSIM.</t>
  </si>
  <si>
    <t>Synthetic images retain different quality after learned compression.</t>
  </si>
  <si>
    <t>CelebA-HQ real; separate StyleGAN or StyleGAN2 source training runs.</t>
  </si>
  <si>
    <t>CelebA-HQ.</t>
  </si>
  <si>
    <t>StyleGAN OR StyleGAN2; no Stable Diffusion used for source training.</t>
  </si>
  <si>
    <t>Per source run: 10,000 CelebA-HQ real + 10,000 synthetic for compressor training; source pools also provide 2,000 test images/source.</t>
  </si>
  <si>
    <t>Held-out CelebA-HQ; StyleGAN; StyleGAN2; external Stable-Diffusion face dataset.</t>
  </si>
  <si>
    <t>StyleGAN; StyleGAN2; Stable Diffusion.</t>
  </si>
  <si>
    <t>2,000 images per listed dataset/source available for testing; Stable Diffusion has 2,000 synthetic images.</t>
  </si>
  <si>
    <t>Human faces.</t>
  </si>
  <si>
    <t>Median filtering and center cropping.</t>
  </si>
  <si>
    <t>Accuracy; AUC; Precision; Recall.</t>
  </si>
  <si>
    <t>Clean StyleGAN/StyleGAN2 detection remains above 95% accuracy.</t>
  </si>
  <si>
    <t>StyleGAN- or StyleGAN2-trained detector reaches about 99.0–99.1% accuracy on unseen Stable-Diffusion faces, whereas ResNet50 is ~49.7%.</t>
  </si>
  <si>
    <t>Usually &gt;90% under tested attacks; median filtering causes about a 10-point StyleGAN drop but &lt;2 points on StyleGAN2; JPEG/cropping are comparatively stable.</t>
  </si>
  <si>
    <t>~99.1% accuracy on unseen cross-family Stable-Diffusion faces.</t>
  </si>
  <si>
    <t>StyleGAN accuracy drops roughly 10 points under 3×3 median filtering; resizing is acknowledged to reduce accuracy.</t>
  </si>
  <si>
    <t>Some source/post-processing combinations degrade materially, despite excellent Stable-Diffusion transfer.</t>
  </si>
  <si>
    <t>Modified ResNet50 without initial downsampling.</t>
  </si>
  <si>
    <t>Compression-quality and subband analysis; no formal saliency XAI.</t>
  </si>
  <si>
    <t>True unseen cross-family test; interpretable compression-quality mechanism; post-processing evaluation; relatively low classifier complexity.</t>
  </si>
  <si>
    <t>Face-only; source training uses only StyleGAN-family GANs; learned compression is computationally heavier than direct classifiers; low-resolution resizing hurts.</t>
  </si>
  <si>
    <t>All real faces come from CelebA-HQ and GANs are FFHQ-related, so source-content regularities may remain; external diffusion evaluation is still face-only.</t>
  </si>
  <si>
    <t>HIGH for cross-family face detection; limited for general-content universality.</t>
  </si>
  <si>
    <t>Shows compression/reconstruction response can transfer from GAN training to unseen diffusion faces.</t>
  </si>
  <si>
    <t>Need general-content, multi-real-source validation and cheaper compression-derived universal cues.</t>
  </si>
  <si>
    <t>Dataset/code links are provided in the paper. Cross-dataset is counted because a fixed source-trained detector is evaluated on an external Stable-Diffusion face dataset.</t>
  </si>
  <si>
    <t>Lightweight GAN-face detection robust to common post-processing and dataset/domain shift.</t>
  </si>
  <si>
    <t>RCD-Net using Relative Chrominance Distance, luminance and High-Frequency Residual features across perceptual colour spaces, followed by a tiny DNN classifier.</t>
  </si>
  <si>
    <t>Custom six-block shallow CNN/DNN; best RCD+L+HFR model ≈20k parameters.</t>
  </si>
  <si>
    <t>Relative chrominance differences and luminance information in LAB, YCbCr, HLS, LUV and YUV.</t>
  </si>
  <si>
    <t>High-Frequency Residual (HFR).</t>
  </si>
  <si>
    <t>Colour-space statistics and chrominance/luminance discrepancies.</t>
  </si>
  <si>
    <t>FFHQ real + StyleGAN2 synthetic faces.</t>
  </si>
  <si>
    <t>FFHQ.</t>
  </si>
  <si>
    <t>StyleGAN2.</t>
  </si>
  <si>
    <t>40,000 total: 20,000 FFHQ + 20,000 StyleGAN2; split 28,000 train, 8,000 validation, 4,000 test.</t>
  </si>
  <si>
    <t>Internal FFHQ/StyleGAN2 test; cross-dataset CelebA real + StyleGAN2 synthetic; post-processed/JPEG variants.</t>
  </si>
  <si>
    <t>FFHQ; unseen CelebA in cross-dataset test.</t>
  </si>
  <si>
    <t>StyleGAN2 only.</t>
  </si>
  <si>
    <t>Internal test 4,000; cross-dataset test 2,000 CelebA real + 2,000 StyleGAN2 synthetic.</t>
  </si>
  <si>
    <t>Median filter; CLAHE; gamma correction.</t>
  </si>
  <si>
    <t>Accuracy; AUC.</t>
  </si>
  <si>
    <t>Best internal Feature-Set-4 configuration reaches 99.20% accuracy and ~99.99 AUC; all reported colour-space models exceed 95% accuracy.</t>
  </si>
  <si>
    <t>Fixed FFHQ/StyleGAN2-trained model achieves 99.11% average accuracy on CelebA-real + StyleGAN2 cross-dataset test.</t>
  </si>
  <si>
    <t>Feature Set 4 averages 96.17–97.62% across post-processing; best YCbCr model remains strong over JPEG QF 90→50 and multiple corruptions.</t>
  </si>
  <si>
    <t>99.11% cross-dataset accuracy with ~20k-parameter detector.</t>
  </si>
  <si>
    <t>No unseen-generator test; robustness is high but confined to StyleGAN2 faces.</t>
  </si>
  <si>
    <t>No demonstrated generator shift; excellent cross-dataset result does not establish cross-generator universality.</t>
  </si>
  <si>
    <t>Co-Net; Cross-Co-Net; CSC-Net; Improved Xception; DCT+Classifier; Adjacency Matrix; Xception+proposed features; co-occurrence and RGB variants.</t>
  </si>
  <si>
    <t>Handcrafted features are interpretable; no formal saliency XAI.</t>
  </si>
  <si>
    <t>Very lightweight; strong corruption/JPEG robustness; true real-source cross-dataset test.</t>
  </si>
  <si>
    <t>GAN-only, StyleGAN2-only fake source; face-only; no diffusion or unseen-generator evaluation.</t>
  </si>
  <si>
    <t>Cross-dataset test changes the real source but keeps the same fake generator, so it cannot establish generator-independent forensic cues.</t>
  </si>
  <si>
    <t>MODERATE — robust lightweight features are useful, but universality evidence is narrow.</t>
  </si>
  <si>
    <t>Demonstrates carefully designed chrominance/frequency features can rival large CNNs under post-processing.</t>
  </si>
  <si>
    <t>Need to test RCD/HFR cues against unseen GANs, diffusion models and genuine OSN recompression pipelines.</t>
  </si>
  <si>
    <t>The paper calls the CelebA experiment cross-domain; under this review it is coded CROSS-DATASET because content remains faces and the fake generator remains StyleGAN2. Data are available on request.</t>
  </si>
  <si>
    <t>Parameter-efficient generalizable AIGI detection while suppressing content entanglement and preserving fast adaptation.</t>
  </si>
  <si>
    <t>GSDA: orthogonal/SVD residual adaptation on CLIP attention Q/K/O projections plus text-guided LoRA on V projections with authenticity-aware semantic anchoring.</t>
  </si>
  <si>
    <t>CLIP ViT-L/14; 24 Transformer blocks; SVD residual rank 1 on Q/K/O; LoRA rank 8 on V; frozen CLIP text encoder.</t>
  </si>
  <si>
    <t>Artifact-oriented edge/boundary/background responses preserved via geometric decoupling.</t>
  </si>
  <si>
    <t>CLIP visual/text embeddings and authenticity-prefixed cached captions.</t>
  </si>
  <si>
    <t>Orthogonal subspace constraints and projection-specific parameter-efficient adaptation.</t>
  </si>
  <si>
    <t>Separate standard protocols: UniversalFakeDetect ProGAN source; GenImage SD1.4 source; AIGIBench same-source training.</t>
  </si>
  <si>
    <t>Benchmark-specific real sources from UniversalFakeDetect/GenImage/AIGIBench.</t>
  </si>
  <si>
    <t>ProGAN in UniversalFakeDetect protocol; SD1.4 in GenImage protocol; per-source AIGIBench training.</t>
  </si>
  <si>
    <t>Standard UFD/GenImage source counts NR in paper extract; AIGIBench uses 2,000 train images/source.</t>
  </si>
  <si>
    <t>UniversalFakeDetect; GenImage; AIGIBench cross-model evaluation.</t>
  </si>
  <si>
    <t>UFD 19 source subsets including GANs and Guided/LDM/GLIDE/DALL-E; GenImage MJ/SD1.5/ADM/GLIDE/Wukong/VQDM/BigGAN; AIGIBench DALL-E, GLIDE variants, Guided, LDM variants.</t>
  </si>
  <si>
    <t>AIGIBench same-source test: 2,000/source; other benchmark target counts NR.</t>
  </si>
  <si>
    <t>Broad object/scene and face/manipulation content across multiple benchmarks.</t>
  </si>
  <si>
    <t>N/A; 'robustness across generative spectrum' is generator-shift testing, not a corruption benchmark.</t>
  </si>
  <si>
    <t>mAP; mAcc; Accuracy; AP.</t>
  </si>
  <si>
    <t>AIGIBench same-source: 99.7% average accuracy, 99.9% AP.</t>
  </si>
  <si>
    <t>UniversalFakeDetect: 99.44% mAP, 96.63% mAcc; GenImage SD1.4→other generators: 96.3% mAcc. AIGIBench-trained weights transfer strongly to GLIDE/LDM but Guided Diffusion is 62.0%.</t>
  </si>
  <si>
    <t>N/A — no controlled post-processing/adversarial robustness experiment.</t>
  </si>
  <si>
    <t>99.44% mAP / 96.63% mAcc on UniversalFakeDetect with only 0.1539% trainable parameters.</t>
  </si>
  <si>
    <t>62.0% accuracy on Guided Diffusion in AIGIBench cross-model transfer.</t>
  </si>
  <si>
    <t>Guided Diffusion remains difficult, showing generator-specific authenticity cues can still evade the method.</t>
  </si>
  <si>
    <t>UnivFD; Effort; FatFormer; C2P-CLIP; LASTED and other CNN/VFM generalization methods.</t>
  </si>
  <si>
    <t>YES — t-SNE, logit distributions and CLIP self-attention maps.</t>
  </si>
  <si>
    <t>Strong true held-out-generator/cross-family results; very parameter-efficient; explicit anti-content-entanglement design; extensive ablations/visualization.</t>
  </si>
  <si>
    <t>No corruption/open-set/continual evaluation; difficult diffusion variants still fail; benchmark-specific training protocols are separate.</t>
  </si>
  <si>
    <t>GenImage and UFD results use separately trained source models; they must not be counted as one detector transferred cross-dataset.</t>
  </si>
  <si>
    <t>VERY HIGH.</t>
  </si>
  <si>
    <t>Shows geometric decoupling plus semantic anchoring can preserve CLIP transfer while adapting only a tiny parameter subset.</t>
  </si>
  <si>
    <t>Need one fixed model across datasets, stronger hard-diffusion robustness, and corruption/open-world evaluation.</t>
  </si>
  <si>
    <t>Cross_Dataset_Test=NO under the review's strict rule because UniversalFakeDetect and GenImage use separate source training protocols. Code is public.</t>
  </si>
  <si>
    <t>Universal AIGI detection without using any actual AI-generated image during detector training.</t>
  </si>
  <si>
    <t>Use a small real-image set and transformed real-image proxies as synthetic negatives; adapt CLIP features with a linear adapter/fusion module and margin-based Donut loss.</t>
  </si>
  <si>
    <t>Pretrained CLIP image encoder + lightweight adapter/classifier; best proxy mix combines colour-transfer (CT) and elastic-transform (ET) proxies.</t>
  </si>
  <si>
    <t>Proxy transformations inject colour and shape deviations into real imagery.</t>
  </si>
  <si>
    <t>CLIP pretrained image representation.</t>
  </si>
  <si>
    <t>Domain-agnostic proxy negatives and Donut margin loss.</t>
  </si>
  <si>
    <t>Small subset of LSUN real images plus transformed proxy counterparts; no AIGI used.</t>
  </si>
  <si>
    <t>LSUN; additional real-source sensitivity tests use ImageNet and COCO.</t>
  </si>
  <si>
    <t>NONE — no generated images; CT/ET proxy transformations only.</t>
  </si>
  <si>
    <t>Best setting: 4,000 real + 4,000 proxy images, with proxy set 2,000 CT + 2,000 ET.</t>
  </si>
  <si>
    <t>UniversalFakeDetect-style multi-generator benchmark plus recent-generator evaluation.</t>
  </si>
  <si>
    <t>Benchmark real images from multiple source datasets.</t>
  </si>
  <si>
    <t>ProGAN, CycleGAN, BigGAN, StyleGAN, GauGAN, StarGAN, Deepfake; Guided diffusion/LDM/GLIDE/DALL-E; recent SD1.5, DALL-E3, DeepFloyd, RealVisXL V4, StyleGAN2, VAR.</t>
  </si>
  <si>
    <t>Broad benchmark source-specific counts reported in paper; exact aggregate NR here.</t>
  </si>
  <si>
    <t>Broad natural images, scenes, objects and faces.</t>
  </si>
  <si>
    <t>Gamma/color-correction sensitivity discussed separately.</t>
  </si>
  <si>
    <t>Accuracy; AP; mAP.</t>
  </si>
  <si>
    <t>No AIGI in-domain training target exists; proxy CT+ET setting is the main model.</t>
  </si>
  <si>
    <t>4K real + 4K CT/ET proxy training yields 95.58% average ACC and 99.39% mAP on broad unseen-generator tests; on recent generators: SD1.5 81.3, DALL-E3 79.9, DeepFloyd 88.1, RealVisXL 80.4, StyleGAN2 94.0, VAR 79.25.</t>
  </si>
  <si>
    <t>Tested JPEG Q90/80/70, Gaussian blur σ0.5/1/1.5 and FGSM; proxy model remains competitive under post-processing and more stable than baselines under FGSM.</t>
  </si>
  <si>
    <t>95.58% average ACC / 99.39% mAP without training on any AIGI.</t>
  </si>
  <si>
    <t>Recent VAR 79.25% and DALL-E3 79.9% ACC; gamma correction can reduce real-image detection.</t>
  </si>
  <si>
    <t>Recent generators remain substantially harder than the mature benchmark despite high mean results.</t>
  </si>
  <si>
    <t>UnivFD; same architecture trained on ProGAN; multiple supervised AIGI detectors.</t>
  </si>
  <si>
    <t>YES — t-SNE proxy/real/fake feature distributions.</t>
  </si>
  <si>
    <t>No AIGI training; low data requirement; broad multi-family transfer; explicit JPEG/blur/FGSM testing.</t>
  </si>
  <si>
    <t>Proxy construction is heuristic; dependence on CLIP; no open-set/continual test; recent-model performance is only ~79–94%.</t>
  </si>
  <si>
    <t>Proxy transformations may encode artificial shortcuts; real-source choice changes results; code is promised but no repository is identified in the PDF.</t>
  </si>
  <si>
    <t>Strong evidence that universal detection can be reframed as real-only/proxy-negative learning instead of enumerating generators.</t>
  </si>
  <si>
    <t>Need principled learnable proxy generation, stronger recent-generator performance and adaptive-attack robustness.</t>
  </si>
  <si>
    <t>Code_Available=UNCLEAR because the article says source code will be shared online upon publication but provides no repository link in the PDF.</t>
  </si>
  <si>
    <t>Continually learn newly emerging generators while retaining real/fake detection and source/copyright attribution under realistic replay constraints.</t>
  </si>
  <si>
    <t>CAID benchmark with full-replay, negative-only-replay and no-replay scenarios; negative-sample sharing; no-replay conversion framework combining knowledge distillation, cosine-normalized classifier and prompt tuning.</t>
  </si>
  <si>
    <t>Primarily ImageNet-pretrained ViT-B/16; prompt-tuning variant freezes the backbone and learns prompts/classifier.</t>
  </si>
  <si>
    <t>SEMANTIC</t>
  </si>
  <si>
    <t>ViT patch representations.</t>
  </si>
  <si>
    <t>Not used by detector; frequency spectra are analyzed for dataset difficulty.</t>
  </si>
  <si>
    <t>Pretrained ViT representations and learnable prompt tokens.</t>
  </si>
  <si>
    <t>Knowledge distillation, cosine logit normalization, replay control and catastrophic-forgetting mitigation.</t>
  </si>
  <si>
    <t>CAID sequential task stream: Task0 Stable Diffusion v1.5 + LAION-5B real; incremental DALL-E2, Imagen, Midjourney and Parti tasks.</t>
  </si>
  <si>
    <t>LAION-5B real images only in base task; no corresponding new real training images for later tasks.</t>
  </si>
  <si>
    <t>SD v1.5 → DALL-E2 → Imagen → Midjourney → Parti sequentially.</t>
  </si>
  <si>
    <t>Real train: SD task 62,154; later tasks none. Fake train: SD 65,556; DALL-E2 775; Imagen 178; Midjourney 4,306; Parti 155. Total train 133,124.</t>
  </si>
  <si>
    <t>CAID per-task held-out test stream.</t>
  </si>
  <si>
    <t>Per-task real test sets associated with the benchmark.</t>
  </si>
  <si>
    <t>SD v1.5; DALL-E2; Imagen; Midjourney; Parti.</t>
  </si>
  <si>
    <t>Real test: 1,030/186/44/1,027/38; fake test: 1,086/196/46/1,077/40; total 4,770.</t>
  </si>
  <si>
    <t>General text-to-image content from modern generators.</t>
  </si>
  <si>
    <t>FINE-TUNED</t>
  </si>
  <si>
    <t>N/A; resilience is evaluated as catastrophic forgetting, not image corruption.</t>
  </si>
  <si>
    <t>AA; mAP; AF; copyright/source-identification accuracy (CA).</t>
  </si>
  <si>
    <t>Joint-training upper bounds are reported; continual scenarios are the primary focus.</t>
  </si>
  <si>
    <t>Not zero-shot generalization: each new generator supplies incremental training data before evaluation.</t>
  </si>
  <si>
    <t>Scenario 3 replay-free baselines collapse to ~50% AA; conversion framework raises AA to ~65% and drives AF near zero. Scenario 1 Foster reaches 75.57% AA / 60.27% CA with 1,000-buffer; Scenario 2 S-Prompts reaches 67.90% AA and AF −2.77%.</t>
  </si>
  <si>
    <t>No-replay conversion rescues collapsed continual methods from ~50% to ~65% AA while largely suppressing forgetting.</t>
  </si>
  <si>
    <t>Unmodified replay-free methods collapse to random-guess-level ~50% AA under single-class incremental tasks.</t>
  </si>
  <si>
    <t>Strong evidence that train-once and naive continual methods fail as generators evolve; success requires explicit adaptation.</t>
  </si>
  <si>
    <t>iCaRL; BiC; GEM; Coil; FOSTER; LwF; EWC; S-Prompts; ViT-FT/PT upper bounds.</t>
  </si>
  <si>
    <t>YES — t-SNE feature-drift visualization and generator-frequency spectrum analysis.</t>
  </si>
  <si>
    <t>First dedicated continual-AIGI benchmark; realistic mixed two-class/single-class constraint; evaluates replay regimes; includes source attribution.</t>
  </si>
  <si>
    <t>Only five sequential generators; adaptation uses target-generator samples; no zero-shot, corruption or open-set evaluation.</t>
  </si>
  <si>
    <t>Generator order and severe dataset-size imbalance can affect continual-learning results; later tasks have very small sample counts.</t>
  </si>
  <si>
    <t>VERY HIGH — exposes continual adaptation as a complementary requirement to static universality.</t>
  </si>
  <si>
    <t>Introduces the continual-detection dimension and shows catastrophic forgetting is a major unaddressed failure mode.</t>
  </si>
  <si>
    <t>Need universal detectors that combine strong zero-shot transfer with safe continual updating under little/no real replay.</t>
  </si>
  <si>
    <t>Generalization fields are intentionally conservative: the model is trained on each newly arriving target generator, so this is continual adaptation, not unseen-generator generalization. Data and code are open.</t>
  </si>
  <si>
    <t>Generalized real-vs-forged detection by jointly modeling spatial, frequency and texture evidence from a single source training generator.</t>
  </si>
  <si>
    <t>MFF-Net: multi-level spatial global/local branches + dual-frequency module + GramTexture ResNet18 branch + adaptive-weight multi-head-attention fusion (AWAFFM).</t>
  </si>
  <si>
    <t>Multi-branch CNN; GramTexture is improved ResNet18; dynamic feature-fusion attention.</t>
  </si>
  <si>
    <t>SPATIAL + FREQUENCY + TEXTURE</t>
  </si>
  <si>
    <t>Global macrostructure and sliding/local microdetail features.</t>
  </si>
  <si>
    <t>Dual-frequency analysis with global/local frequency statistics.</t>
  </si>
  <si>
    <t>Deep global image representation in spatial branch.</t>
  </si>
  <si>
    <t>Gram-matrix shallow texture statistics and adaptive view weighting.</t>
  </si>
  <si>
    <t>10% of ProGAN/LSUN benchmark.</t>
  </si>
  <si>
    <t>LSUN, 20 categories.</t>
  </si>
  <si>
    <t>ProGAN only.</t>
  </si>
  <si>
    <t>72,000 total: 36,000 LSUN real + 36,000 ProGAN fake.</t>
  </si>
  <si>
    <t>18 datasets: ProGAN, CycleGAN, BigGAN, StyleGAN, GauGAN, StarGAN, SITD, CRN, IMLE, DALL-E mini, Guided, LDM-200, LDM-100, WFIR, StyleGAN2, ADM, VQDM, Wukong.</t>
  </si>
  <si>
    <t>LSUN, ImageNet, COCO, CelebA, raw camera, GTA, LAION, FFHQ and source-specific real sets.</t>
  </si>
  <si>
    <t>17 held-out sources plus ProGAN; includes GAN, diffusion and DALL-E-mini-style generation.</t>
  </si>
  <si>
    <t>18 balanced real/fake datasets totaling ~128,520 images; per-source counts range 180/180 to 8k/8k.</t>
  </si>
  <si>
    <t>Broad scenes/objects, style transfer, raw-camera images, GTA imagery and faces.</t>
  </si>
  <si>
    <t>AP; mAP.</t>
  </si>
  <si>
    <t>ProGAN AP 100%.</t>
  </si>
  <si>
    <t>Overall mAP 96.13% across 18 datasets; source APs include CycleGAN 99.85, BigGAN 99.66, ADM 99.31, VQDM 93.37, Guided 90.19 and Wukong 64.72.</t>
  </si>
  <si>
    <t>Under Gaussian blur σ up to 3 and JPEG quality down to 40, average performance remains &gt;90%.</t>
  </si>
  <si>
    <t>96.13% mAP over 18 diverse sets after training on only 72k ProGAN/LSUN images.</t>
  </si>
  <si>
    <t>Wukong AP falls to 64.72%, exposing a substantial unseen-source weakness.</t>
  </si>
  <si>
    <t>Yes — one difficult unseen source drops to 64.72% AP despite excellent mean performance.</t>
  </si>
  <si>
    <t>Gram; Freq-Anal; Trained-CNN; Grad; Fusing-GL; Wavelet; Freq-Mask; FreqNet.</t>
  </si>
  <si>
    <t>Feature-space intra/inter-class distance and visualization; no formal causal XAI.</t>
  </si>
  <si>
    <t>True ProGAN-only broad transfer; 18 diverse datasets; multi-family/domain testing; strong JPEG/blur robustness; low source-data fraction.</t>
  </si>
  <si>
    <t>Large multi-branch model; weakest modern source remains poor; no open-set/adversarial/continual testing.</t>
  </si>
  <si>
    <t>Benchmark real-source correlations and heterogeneous dataset construction may influence results; use of training augmentations may advantage certain corruptions.</t>
  </si>
  <si>
    <t>Strong evidence that complementary spatial/frequency/texture views improve cross-generator generalization.</t>
  </si>
  <si>
    <t>Need mechanisms that eliminate catastrophic source-specific drops such as Wukong while retaining robustness and efficiency.</t>
  </si>
  <si>
    <t>The paper publicly provides its implementation and reports formal module ablations.</t>
  </si>
  <si>
    <t>Learn face embeddings less dependent on the specific GAN generation algorithm, improving transfer to unseen GAN faces.</t>
  </si>
  <si>
    <t>Three-stream Siamese network with triplet loss; best nonlinear log-exp triplet loss encourages generator-independent real/fake facial embeddings.</t>
  </si>
  <si>
    <t>Custom five-convolution embedding network with shared weights and 100-D embedding; ResNet50 Siamese variant also explored.</t>
  </si>
  <si>
    <t>SPATIAL + LATENT</t>
  </si>
  <si>
    <t>CNN face texture/structure representations.</t>
  </si>
  <si>
    <t>Learned face embeddings.</t>
  </si>
  <si>
    <t>Triplet-loss embedding space; no reconstruction.</t>
  </si>
  <si>
    <t>Metric-learning distances between anchor, positive and negative face samples.</t>
  </si>
  <si>
    <t>Case II: FFHQ real + StyleGAN fake.</t>
  </si>
  <si>
    <t>StyleGAN.</t>
  </si>
  <si>
    <t>Case II: 40,000 FFHQ real + 40,000 StyleGAN fake.</t>
  </si>
  <si>
    <t>PGAN unseen fake-face set; Case I also uses same-source FFHQ/StyleGAN test.</t>
  </si>
  <si>
    <t>N/A in Case-II unseen-generator test; Case I uses FFHQ.</t>
  </si>
  <si>
    <t>PGAN in Case II; StyleGAN in Case I.</t>
  </si>
  <si>
    <t>Case II PGAN: 40,000 images; Case I test: 10,000 FFHQ real + 10,000 StyleGAN fake.</t>
  </si>
  <si>
    <t>Accuracy; Precision; Recall; F1; Cohen's Kappa; ROC/AUC; PRC.</t>
  </si>
  <si>
    <t>Case I proposed model 94.8% ACC; conventional ResNet50 reaches 98.9%.</t>
  </si>
  <si>
    <t>StyleGAN/FFHQ→PGAN: proposed Siamese 54.75% ACC; VGG19 17.81%, VGG16 16.67%, ResNet50 4.27%, InceptionV3 2.45%, Xception 5.81%.</t>
  </si>
  <si>
    <t>54.75% unseen-PGAN accuracy is ~3× the closest conventional pretrained baseline.</t>
  </si>
  <si>
    <t>Absolute unseen-generator accuracy is only 54.75%, barely above chance for a balanced binary interpretation.</t>
  </si>
  <si>
    <t>VERY STRONG — same-source &gt;90% collapses sharply under generator shift; proposed model remains weak in absolute terms.</t>
  </si>
  <si>
    <t>VGG16; VGG19; ResNet50; InceptionV3; Xception; alternative triplet-loss formulations.</t>
  </si>
  <si>
    <t>Embedding visualization (Figure 7); no saliency XAI.</t>
  </si>
  <si>
    <t>Explicit generator-disjoint evaluation; exposes severe shortcut failure of standard CNNs; metric-learning formulation.</t>
  </si>
  <si>
    <t>GAN-only; face-only; no corruption testing; absolute cross-generator performance remains poor.</t>
  </si>
  <si>
    <t>Case-II target appears to contain PGAN fake images without a paired target-domain real set, so 'accuracy' does not fully characterize binary deployment performance.</t>
  </si>
  <si>
    <t>HIGH as negative evidence; LOW as a practical universal detector.</t>
  </si>
  <si>
    <t>Early direct evidence that triplet metric learning improves relative unseen-GAN transfer but does not solve the universality problem.</t>
  </si>
  <si>
    <t>Need truly generator-invariant features that remain high-performing absolutely, not merely relative to collapsing baselines.</t>
  </si>
  <si>
    <t>The DOI is retained as printed because PDF parsing renders it with spaces. The cross-generator result must be interpreted conservatively: 54.75% is a major absolute failure despite relative improvement.</t>
  </si>
  <si>
    <t>Automate architecture design for accurate, robust and generalizable deepfake face detection using forensic colour/frequency inputs.</t>
  </si>
  <si>
    <t>Genetic-algorithm network-structure search produces GeA-Net; detector consumes Color Space Correlation Difference (CSCD) and Low-Frequency Spectrum (LFS) streams with feature fusion.</t>
  </si>
  <si>
    <t>Genetically searched two-branch GeA-Net using depthwise-separable convolution, pooling and fully connected layers.</t>
  </si>
  <si>
    <t>CSCD colour-space correlation-difference representation.</t>
  </si>
  <si>
    <t>Low-Frequency Spectrum (LFS).</t>
  </si>
  <si>
    <t>Network-architecture search/evolution using detection fitness.</t>
  </si>
  <si>
    <t>D_train assembled from FF++, DFFD and seeprettyface source subsets.</t>
  </si>
  <si>
    <t>FF++, FFHQ/source-matched real faces.</t>
  </si>
  <si>
    <t>FaceSwap; NeuralTextures; FaceAPP; StyleGAN (DFFD); StyleGAN (seeprettyface).</t>
  </si>
  <si>
    <t>Five source subsets × 5,000 training images = 25,000; each also has 500 validation and 500 fitness-search images.</t>
  </si>
  <si>
    <t>D_test_in five seen-source subsets; D_test_cross ten unseen subsets from FF++, DFFD, Celeb-DF, seeprettyface, DFDC and DiFF.</t>
  </si>
  <si>
    <t>Source-matched real faces across the above benchmark datasets.</t>
  </si>
  <si>
    <t>Unseen Deepfake, Face2Face, StarGAN, PGGAN, Celeb-DF DeepFake, StyleGAN2, DFDC, DreamBooth, CoDiff, DCFace.</t>
  </si>
  <si>
    <t>Seen-source test ≈2,500; cross set ≈5,500 based on 500/subset except DFDC 1,000.</t>
  </si>
  <si>
    <t>Human faces and face manipulations.</t>
  </si>
  <si>
    <t>Random black-block occlusion covering 5–7%.</t>
  </si>
  <si>
    <t>Aggregate D_test_in: 0.9504 ACC / 0.9899 AUC.</t>
  </si>
  <si>
    <t>D_test_cross aggregate: 0.6590 ACC / 0.7746 AUC, ranking first among 13 methods; per-source ranges from PGGAN 0.986/0.9974 to StyleGAN2 0.498/0.4916.</t>
  </si>
  <si>
    <t>JPEG Q50 0.9392/0.9851; Gaussian noise var0.1 0.9288/0.9781; Gaussian blur 0.7016/0.8119; block 0.6052/0.8174.</t>
  </si>
  <si>
    <t>Rank-1 cross-set AUC; 98.6% ACC / 99.74% AUC on unseen PGGAN.</t>
  </si>
  <si>
    <t>Near-chance StyleGAN2 transfer: 49.8% ACC / 49.16% AUC; block corruption ACC 60.52%.</t>
  </si>
  <si>
    <t>Strong — aggregate unseen accuracy is only 65.9% and several external sources are near chance despite best rank.</t>
  </si>
  <si>
    <t>Xception; ResNet34+AutoGAN; ResNet50; Xception+MAM; SPSL; Xception+Multi-attention; CORE; RECCE; LGrad; NPR; SFIConv; FreqNet.</t>
  </si>
  <si>
    <t>YES — feature-map visualization plus extensive branch/structure ablations.</t>
  </si>
  <si>
    <t>True cross-dataset/cross-family tests; strong corruption suite; systematic NAS rather than manual architecture tuning.</t>
  </si>
  <si>
    <t>Face-only; expensive architecture search; absolute cross-dataset accuracy remains modest; no open-set/continual test.</t>
  </si>
  <si>
    <t>The network structure is searched using a dedicated fitness split from source distributions; strong rank does not imply deployment-level unseen performance.</t>
  </si>
  <si>
    <t>HIGH for methodology and negative evidence; MODERATE as a universal solution.</t>
  </si>
  <si>
    <t>Shows architecture search plus colour/frequency priors can improve robustness/generalization but still leaves large source-specific failures.</t>
  </si>
  <si>
    <t>Need objectives that optimize worst-case unseen-source performance rather than source fitness or mean accuracy.</t>
  </si>
  <si>
    <t>Data are available on request; no study code release is stated.</t>
  </si>
  <si>
    <t>Cross-demographic evaluation of pretrained deepfake detectors on synthetic faces across ethnicity, gender, and age</t>
  </si>
  <si>
    <t>Benchmarking pretrained deepfake detectors across demographic subsets without retraining</t>
  </si>
  <si>
    <t>ResNet50; Diffusion Models (DDIM); CNN Spotting</t>
  </si>
  <si>
    <t>Local image patches; up-sampling pixel artifacts</t>
  </si>
  <si>
    <t>Local frequency up-sampling artifacts</t>
  </si>
  <si>
    <t>Inverse DDIM reconstruction residual; Gaussian noise trajectory features</t>
  </si>
  <si>
    <t>Demographic subgroup attributes (ethnicity, gender, age)</t>
  </si>
  <si>
    <t>DiffSynFace; FairFace; CelebA-HQ</t>
  </si>
  <si>
    <t>FairFace; CelebA-HQ</t>
  </si>
  <si>
    <t>Stable Diffusion 1.0; Stable Diffusion 2.0; Stable Diffusion XL; Stable Diffusion XL-Turbo; DALLE 3; Adobe Firefly; Midjourney</t>
  </si>
  <si>
    <t>&gt;40,000 total synthetic face images</t>
  </si>
  <si>
    <t>DIRE lsun_pndm ACC 80.207%, AP 81.745% (South Asian); WildRF LaDeDa ACC 84.453%, AP 93.021% (Female); DIRE celebahq_sdv2 ACC 76.311%, AP 80.452% (20s)</t>
  </si>
  <si>
    <t>Pretrained detectors exhibit minimal demographic performance gaps (&lt;3.5% across genders, 1-2% across ethnicities for modern diffusion detectors)</t>
  </si>
  <si>
    <t>Ricker et al. Mandelli2022 checkpoint ACC 38.49% on East Asian faces</t>
  </si>
  <si>
    <t>GAN-trained detectors show severe transfer degradation when tested on unseen diffusion generators, though demographic performance remains balanced</t>
  </si>
  <si>
    <t>Ricker et al. (Wang2020, Grag2021, Mandelli2022); DIRE; DNF; LaDeDa; DistilDIRE; NPR</t>
  </si>
  <si>
    <t>Evaluation of multiple pretrained detector checkpoints; inclusion of modern latent diffusion and commercial generators; balanced cross-demographic test set</t>
  </si>
  <si>
    <t>Empirical study only; does not propose new detector architecture or training strategy; limited to single face image modality</t>
  </si>
  <si>
    <t>Pretrained checkpoint training sets differ in real/fake distributions; demographic annotations synthetically prompted</t>
  </si>
  <si>
    <t>Demonstrates that zero-shot transfer failure to new generator architectures is predominantly an architectural/artifact mismatch rather than a demographic subgroup bias</t>
  </si>
  <si>
    <t>Evaluates cross-family and unseen-generator transfer across demographic attributes, confirming fairness across subgroups despite variable generator transfer performance</t>
  </si>
  <si>
    <t>Lack of robust zero-shot cross-family generalization (GAN to diffusion) in legacy detector architectures</t>
  </si>
  <si>
    <t>This is a survey/benchmark paper. Pretrained checkpoints evaluated include Ricker et al., DIRE, DNF, LaDeDa, DistilDIRE, and NPR. Evaluation performed on DiffSynFace dataset. Test generators span SD1.0, SD2.0, SDXL, SDXL-Turbo, DALLE 3, Adobe Firefly, Midjourney. Zero-shot protocol with no target adaptation.</t>
  </si>
  <si>
    <t>Compare feature families of AIGI detectors across GAN, diffusion, transformer and Midjourney sources, including post-processing and visualization.</t>
  </si>
  <si>
    <t>Comparative benchmark of six detectors grouped as artifact-, spectrum- and image-encoder-feature approaches; no new detector.</t>
  </si>
  <si>
    <t>CNNDetection; no-down; Patch Selection Module; ViT; Deep Image Fingerprint; Universal Fake Detect/CLIP.</t>
  </si>
  <si>
    <t>MULTI-METHOD: SPATIAL + FREQUENCY + SEMANTIC</t>
  </si>
  <si>
    <t>CNN/patch artifact features.</t>
  </si>
  <si>
    <t>Spectrum/fingerprint methods.</t>
  </si>
  <si>
    <t>UFD CLIP image-encoder and ViT representations.</t>
  </si>
  <si>
    <t>Grad-CAM and t-SNE comparison of attention and feature distributions.</t>
  </si>
  <si>
    <t>Two separate source protocols: ProGAN/LSUN for GAN tests; LDM + LSUN/COCO real for diffusion/transformer/Midjourney tests.</t>
  </si>
  <si>
    <t>LSUN for ProGAN protocol; LSUN + COCO for LDM protocol.</t>
  </si>
  <si>
    <t>ProGAN OR latent diffusion, depending evaluation family.</t>
  </si>
  <si>
    <t>ProGAN protocol: 364k fake + 364k real, with 4k/class held validation; LDM: 200k fake + 200k real, with 20k/class validation.</t>
  </si>
  <si>
    <t>Compiled 23 AIGI datasets: 10 GAN, 8 diffusion, 4 transformer plus Midjourney; paired real CC3M/COCO/ImageNet sets.</t>
  </si>
  <si>
    <t>CC3M; COCO; ImageNet.</t>
  </si>
  <si>
    <t>GAN: ProGAN, BigGAN, CycleGAN, GauGAN, StarGAN/2, StyleGAN/2/3, EG3D; diffusion: LDM, SD-V1/V2, Realistic Vision, Lexica, ADM, GLIDE, IF; transformer: DALL-E mini, DALL-E, DALL-E2, Taming Transformer; Midjourney.</t>
  </si>
  <si>
    <t>39.3k GAN + 32k diffusion + 13k transformer/Midjourney synthetic; real sets are size-matched per family.</t>
  </si>
  <si>
    <t>Broad CC3M/COCO/ImageNet, art, scenes, objects and model-specific content.</t>
  </si>
  <si>
    <t>Accuracy; subgroup/family total accuracy; qualitative Grad-CAM and t-SNE.</t>
  </si>
  <si>
    <t>ProGAN-trained artifact detectors are typically near-perfect on ProGAN/real source settings; exact value is method-dependent.</t>
  </si>
  <si>
    <t>UFD is strongest on diffusion-generated images (86.66% synthetic accuracy) and transformer+Midjourney combined (80.86%); UFD exceeds 98% on DALL-E mini, DALL-E and Taming Transformer but only 56.04% on Midjourney. IF is exceptionally hard, averaging 19.98% across methods.</t>
  </si>
  <si>
    <t>JPEG and Gaussian blur often reduce accuracy; no-down and CNNDetection are most stable overall; UFD falls to 74.14% at JPEG Q50 and loses ~20.14 points at blur σ1 on diffusion images.</t>
  </si>
  <si>
    <t>Image-encoder UFD generalizes strongly to several diffusion/transformer sources despite source-family mismatch.</t>
  </si>
  <si>
    <t>No method solves Midjourney: best is 56.04%; IF average detection is only 19.98%.</t>
  </si>
  <si>
    <t>VERY STRONG — feature families have complementary but severe blind spots; no single detector is universal.</t>
  </si>
  <si>
    <t>CNNDetection; no-down; Patch Selection Module (PSM); Vision Transformer; Deep Image Fingerprint (DIF); Universal Fake Detect (UFD).</t>
  </si>
  <si>
    <t>YES — Grad-CAM and t-SNE.</t>
  </si>
  <si>
    <t>Large multi-family benchmark; separate source protocols; explicit negative results; corruption tests and visualization reveal feature-family failure modes.</t>
  </si>
  <si>
    <t>Not a new detector; two different source-training protocols mean no single fixed universal detector is evaluated across all families; benchmark predates newer models such as SDXL/DALL-E3.</t>
  </si>
  <si>
    <t>Method-specific training/augmentation and preprocessing differ; validation-selected checkpoints and separate ProGAN/LDM source models complicate direct universality comparisons.</t>
  </si>
  <si>
    <t>VERY HIGH as comparative evidence.</t>
  </si>
  <si>
    <t>Empirically shows artifact features favour GANs while CLIP/image-encoder features transfer better to diffusion/transformer images, but neither is universally reliable.</t>
  </si>
  <si>
    <t>Need one fixed detector combining complementary low-level and foundation-model cues, robust to post-processing and latest commercial generators.</t>
  </si>
  <si>
    <t>Cross-dataset/cross-family applies within each fixed source-trained evaluation protocol; the paper does not evaluate one single model across the entire 23-dataset suite. Study-code release is not stated.</t>
  </si>
  <si>
    <t>Simultaneous binary detection, architecture-level model identification, and prompt prediction via linguistic profiling</t>
  </si>
  <si>
    <t>Fine-tuned Vision-Language Model (Qwen3-VL 8B) for multi-task linguistic profiling</t>
  </si>
  <si>
    <t>Qwen3-VL 8B (Vision Encoder + Qwen3 LLM)</t>
  </si>
  <si>
    <t>TEXTURE + SEMANTIC</t>
  </si>
  <si>
    <t>RGB images; DINOv2 spatial features for retrieval</t>
  </si>
  <si>
    <t>Multimodal vision-language representations; prompt instruction semantics; textual concept embeddings</t>
  </si>
  <si>
    <t>Prompt text predictions; grammar structures; model identification candidate choices</t>
  </si>
  <si>
    <t>DFLIP-3K</t>
  </si>
  <si>
    <t>LAION-5B; Safebooru</t>
  </si>
  <si>
    <t>AuraFlow; Chroma; FLUX.1 [dev]; FLUX.1 [schnell]; FLUX.2 [dev]; GPT-Image 1; HiDream-11; Hunyuan-DiT; Illustrious; Imagen 4; Kolors; Nano-Banana; Nano-Banana Pro; NoobAI; PixArt; Playground v2; Pony Diffusion v6; Pony Diffusion v7; Qwen-Image; Stable Diffusion 1; Stable Diffusion 2; Stable Diffusion 3.5 Large; Stable Diffusion 3.5 Medium; Stable Diffusion XL; SeeDream; Stable Cascade; Z-Image Turbo</t>
  </si>
  <si>
    <t>768,586 real + 768,586 fake = 1,537,172 total</t>
  </si>
  <si>
    <t>DFLIP-3K Test Set</t>
  </si>
  <si>
    <t>General</t>
  </si>
  <si>
    <t>RETRAINED</t>
  </si>
  <si>
    <t>ACC; AP; Precision; Recall; F1; CLIP-Score; LPIPS; Aesthetic</t>
  </si>
  <si>
    <t>Overall ACC 92.3%, AP 98.6%; Model Identification ACC 81.1%, F1 81.0%</t>
  </si>
  <si>
    <t>JPEG Q50: Acc 89.0%, AP 96.1%; JPEG Q30: Acc 85.4%, AP 93.6%</t>
  </si>
  <si>
    <t>Overall detection Acc 92.3% and AP 98.6% across 27 base architectures; model attribution Acc 81.1%</t>
  </si>
  <si>
    <t>Hunyuan-DiT detection ACC 81.2% (lowest among tested generators for proposed method)</t>
  </si>
  <si>
    <t>Model attribution accuracy drops on intra-family variants with high structural similarity</t>
  </si>
  <si>
    <t>SPrompts; NPR; UniFD; RINE; AIDE; ResNet-50; EfficientNet; Swin-T; ConvNeXt-T; BLIP; BLIP-2; Qwen3-VL; GPT-4o</t>
  </si>
  <si>
    <t>Prompt prediction; visual-linguistic reasoning via MLLM</t>
  </si>
  <si>
    <t>Unprecedented database scale (3,162 community checkpoints, 27 base architectures); joint linguistic profiling framework (detection + attribution + prompt prediction); includes open-source and commercial T2I generators</t>
  </si>
  <si>
    <t>Evaluated on held-out random split of DFLIP-3K rather than isolated unseen generators; does not test true zero-shot cross-generator/cross-family transfer; fine-grained checkpoint attribution remains unresolved</t>
  </si>
  <si>
    <t>Train and test sets share the same 27 base architecture classes; potential content bias from community-crawled images</t>
  </si>
  <si>
    <t>Introduces a massive multi-architecture benchmark demonstrating that multimodal vision-language models outperform vision-only backbones in multi-class generator attribution and explainable prompt recovery</t>
  </si>
  <si>
    <t>Demonstrates that MLLMs can unify binary detection, multi-class model attribution, and explainable prompt prediction within a single linguistic profiling framework</t>
  </si>
  <si>
    <t>Fine-grained checkpoint-level attribution across thousands of intra-family community fine-tunes remains an open problem due to high structural similarity</t>
  </si>
  <si>
    <t>Large-scale dataset/benchmark paper. Evaluated baseline models and proposed fine-tuned Qwen3-VL on random train/test splits of DFLIP-3K spanning 27 base architectures. Does not isolate unseen generators for generalization testing (Unseen_Generator_Test = NO, Generalization_Strength = LOW). Evaluated JPEG post-processing robustness.</t>
  </si>
  <si>
    <t>Ingénierie des Systèmes d'Information</t>
  </si>
  <si>
    <t>Binary classification of real vs. AI-generated face images using dual-branch spatial and spectral vision transformers</t>
  </si>
  <si>
    <t>Dual-branch Vision Transformer combining RGB spatial features and 2D FFT spectrogram embeddings via feature concatenation and linear fusion</t>
  </si>
  <si>
    <t>Dual vit_base_patch16_224 (ImageNet pretrained)</t>
  </si>
  <si>
    <t>224x224 RGB image spatial texture representations</t>
  </si>
  <si>
    <t>2D Fast Fourier Transform (FFT) log-scaled spectrogram representations</t>
  </si>
  <si>
    <t>Local texture inconsistencies; global spectral/signal anomalies</t>
  </si>
  <si>
    <t>Custom Face Dataset</t>
  </si>
  <si>
    <t>CelebA-HQ</t>
  </si>
  <si>
    <t>Custom StyleGAN3 Test Set</t>
  </si>
  <si>
    <t>StyleGAN3</t>
  </si>
  <si>
    <t>ACC; F1; AUC</t>
  </si>
  <si>
    <t>Epoch 10 Val AUC 0.9807; Val ACC 87.32%</t>
  </si>
  <si>
    <t>Test ACC 93% on unseen StyleGAN3 samples</t>
  </si>
  <si>
    <t>Validation AUC of 0.9807 and Test ACC of 93% on unseen StyleGAN3 images</t>
  </si>
  <si>
    <t>Epoch 5 transient performance drop in real image recall (311 real images misclassified)</t>
  </si>
  <si>
    <t>Transient over-reliance on high-frequency cues causes natural high-frequency details (hair, lighting reflections) to be misclassified as synthetic artifacts</t>
  </si>
  <si>
    <t>Standard ViT; XceptionNet; Multi-Branch CNN</t>
  </si>
  <si>
    <t>Effective fusion of dual-branch ViT (spatial + FFT) for GAN detection; demonstrated zero-shot cross-generator generalization from StyleGAN2 to StyleGAN3; lightweight architecture</t>
  </si>
  <si>
    <t>Limited to facial image domain; only tested on GAN family models (no diffusion or autoregressive models); small training dataset size</t>
  </si>
  <si>
    <t>Potential dataset composition bias from CelebA-HQ; lack of testing against post-processing perturbations (JPEG, blur, noise)</t>
  </si>
  <si>
    <t>Demonstrates that combining frequency-domain spectral analysis with spatial Vision Transformers enhances zero-shot generalization against newer GAN architectures</t>
  </si>
  <si>
    <t>Proposes a dual-stream ViT framework that merges spatial RGB pixel cues with FFT frequency spectrograms to improve AI face forgery detection</t>
  </si>
  <si>
    <t>Limited exploration of dual-stream Vision Transformers on modern latent diffusion models and complex post-processing perturbations</t>
  </si>
  <si>
    <t>Evaluated on CelebA-HQ, StyleGAN2, and zero-shot transfer to StyleGAN3. Fuses spatial ViT and FFT-based frequency ViT. AUC 0.9807 achieved at epoch 10. No post-processing robustness testing performed.</t>
  </si>
  <si>
    <t>OTHER</t>
  </si>
  <si>
    <t>Three-level architecture for binary classification (real vs. fake) and multi-class source model attribution of text-to-image deepfakes</t>
  </si>
  <si>
    <t>Multi-level framework combining Level-0 deep CNN backbones, Level-1 ensemble meta-classifier (logistic regression/AdaBoost/Random Forest), and Level-2 multi-class classifier</t>
  </si>
  <si>
    <t>DenseNet201; DenseNet121; ResNet34; ResNet50; ResNet101; EfficientNet-B1/B2/B3</t>
  </si>
  <si>
    <t>RGB images; spatial texture and edge/boundary artifacts</t>
  </si>
  <si>
    <t>High-level semantic features from deep CNN backbones</t>
  </si>
  <si>
    <t>Source generator fingerprint patterns</t>
  </si>
  <si>
    <t>DeepGuardDB</t>
  </si>
  <si>
    <t>MS-COCO; Flickr30k</t>
  </si>
  <si>
    <t>Stable Diffusion 3; Imagen; DALL-E 3; GLIDE</t>
  </si>
  <si>
    <t>DeepGuardDB Test Set</t>
  </si>
  <si>
    <t>ACC; Precision; Recall; F1</t>
  </si>
  <si>
    <t>Binary ACC 99.87% - 99.90% (Level-1 Meta-Classifier); Level-0 DenseNet201 ACC 99.83%; Multi-Class Attribution ACC 92.55% (ResNet50)</t>
  </si>
  <si>
    <t>Level-1 AdaBoost/Random Forest Meta-Classifier ACC 99.90%, F1 99.90%; Level-0 DenseNet201 ACC 99.83%</t>
  </si>
  <si>
    <t>Level-2 Multi-Class Attribution F1 score of 87.03% for Imagen class (ResNet50)</t>
  </si>
  <si>
    <t>Lower attribution precision for DALL-E 3 (84.50%) and Imagen (88.75%) due to visual similarity and feature space overlap</t>
  </si>
  <si>
    <t>EfficientNet-B1/B2/B3; ResNet34/50/101; DenseNet121/201; Logistic Regression; AdaBoost; Random Forest</t>
  </si>
  <si>
    <t>Three-level hierarchical architecture combining individual CNNs with ensemble meta-classification and multi-class attribution; releases DeepGuardDB benchmark (13K paired real/fake images across modern diffusion models)</t>
  </si>
  <si>
    <t>Evaluated on random held-out test splits sharing training generators; does not evaluate zero-shot transfer to unseen architectures or post-processing robustness (JPEG, blur, noise)</t>
  </si>
  <si>
    <t>Prompts for synthetic images matched directly with real image captions, potentially biasing evaluation to specific prompt domains; GPU resource constraints limited model choices</t>
  </si>
  <si>
    <t>Proposes a stacked ensemble framework showing that meta-classification over deep CNN outputs yields high binary detection accuracy and source attribution on modern text-to-image diffusion models</t>
  </si>
  <si>
    <t>Demonstrates a 3-level detection and attribution pipeline using ensemble learning on top of CNN backbones to detect and attribute modern T2I diffusion models (SD3, DALL-E 3, Imagen)</t>
  </si>
  <si>
    <t>Difficulty in distinguishing fine-grained source attribution between commercial T2I generators with similar visual fidelity (DALL-E 3 vs. Imagen)</t>
  </si>
  <si>
    <t>Evaluated on custom DeepGuardDB dataset. Level-0 CNN backbones feed into Level-1 ensemble meta-classifier (Logistic Regression / AdaBoost / Random Forest). Level-2 handles 4-class generator attribution. No zero-shot unseen generator or post-processing robustness evaluation performed (Unseen_Generator_Test = NO, Robustness_Tested = NO, Generalization_Strength = LOW).</t>
  </si>
  <si>
    <t>Binary detection of AI-generated images across diverse GAN and diffusion generators using an attention-aware CLIP-ViT adapter</t>
  </si>
  <si>
    <t>Attention-Guided Saliency Cropping (AGSC) paired with a LoRA-FFN fine-tuned CLIP-ViT and multi-layer learnable [CLS] token fusion</t>
  </si>
  <si>
    <t>CLIP ViT-L/14</t>
  </si>
  <si>
    <t>Saliency-guided spatial image crops; multi-layer ViT patch attention maps</t>
  </si>
  <si>
    <t>High-frequency textural artifacts captured via FFN adaptation</t>
  </si>
  <si>
    <t>Multi-layer weighted [CLS] token semantic representations</t>
  </si>
  <si>
    <t>Layer-wise ViT attention maps; patch saliency highlight counts</t>
  </si>
  <si>
    <t>CNNSpot</t>
  </si>
  <si>
    <t>Benchmark suite compiled by PatchCraft</t>
  </si>
  <si>
    <t>LSUN; ImageNet; Web sources</t>
  </si>
  <si>
    <t>ProGAN; StyleGAN; StyleGAN2; BigGAN; CycleGAN; StarGAN; GauGAN; ADM; GLIDE; WFIR; Wukong; SDv1.4; SDv1.5; VQ-Diffusion; DALL-E 2; Midjourney</t>
  </si>
  <si>
    <t>ACC</t>
  </si>
  <si>
    <t>100.0% (ProGAN)</t>
  </si>
  <si>
    <t>94.4% average across 16 test generators</t>
  </si>
  <si>
    <t>JPEG ACC 83.7%; Resize ACC 87.5%; Blur ACC 79.6%</t>
  </si>
  <si>
    <t>Average cross-generator detection accuracy of 94.4% across 16 test models</t>
  </si>
  <si>
    <t>Midjourney detection ACC 87.0% (lowest among tested generators)</t>
  </si>
  <si>
    <t>Fine-tuning query/value (q, v) self-attention matrices causes severe generalization degradation when evaluating on diffusion models (DALL-E 2 ACC drops to 55.9%)</t>
  </si>
  <si>
    <t>CNNSpot; Patchfor; LGrad; DIRE-G; DIRE-D; UFD; PatchCraft; RINE</t>
  </si>
  <si>
    <t>Attention-guided saliency cropping prevents artifact destruction during preprocessing; LoRA-FFN tuning captures universal high-frequency fingerprints while preventing self-attention overfitting; robust cross-family zero-shot generalization</t>
  </si>
  <si>
    <t>Requires pre-processing forward pass through early ViT layers to extract attention heatmaps for cropping; evaluated on moderate image resolutions</t>
  </si>
  <si>
    <t>Potential dataset distribution biases in benchmark test sets</t>
  </si>
  <si>
    <t>Demonstrates that fine-tuning FFN layers of vision-language backbones isolates universal high-frequency generative traces applicable to both GANs and latent diffusion models</t>
  </si>
  <si>
    <t>Proposes a specialized preprocessing (AGSC) and parameter-efficient adaptation (LoRA-FFN + multi-layer fusion) strategy to repurpose CLIP for universal deepfake detection</t>
  </si>
  <si>
    <t>Standard self-attention (q,v) tuning in vision-language models leads to overfitting on low-frequency GAN artifacts, causing failure on modern high-quality diffusion models</t>
  </si>
  <si>
    <t>Evaluated on ProGAN training set and benchmarked across 16 test generators spanning GANs and Diffusion models. Utilizes CLIP ViT-L/14 with LoRA applied to FFN layers. Robustness against JPEG, Blur, and Resize post-processing evaluated.</t>
  </si>
  <si>
    <t>Cross-generator binary detection of AI-generated images using small-scale supervised training combining low-level noise artifacts and multi-scale semantic representations</t>
  </si>
  <si>
    <t>NSFF framework combining Gaussian high-pass filtered noise features from poor-texture patches with global (class token) and local (pooled patch tokens) semantic features from DINOv2:ViT-L/14 fused via channel concatenation into a linear classifier</t>
  </si>
  <si>
    <t>DINOv2:ViT-L/14</t>
  </si>
  <si>
    <t>Pixel fluctuations; low-texture image patches</t>
  </si>
  <si>
    <t>High-frequency noise extracted via Gaussian High-Pass Filter (GHPF)</t>
  </si>
  <si>
    <t>Global class token and average patch tokens from DINOv2</t>
  </si>
  <si>
    <t>Low-level camera/sensor noise discrepancies in low-texture areas</t>
  </si>
  <si>
    <t>Custom subset from AIGCDetectBenchmark</t>
  </si>
  <si>
    <t>Custom benchmark test set (compiled from AIGCDetectBenchmark, UniversalFakeDetect, Chameleon, FakeBench)</t>
  </si>
  <si>
    <t>Various benchmark real sources</t>
  </si>
  <si>
    <t>BigGAN; CycleGAN; GauGAN; StyleGAN; StyleGAN2; LDM-200-cfg; VQDM; Glide; Midjourney; SDXL; Wukong; DALL-E 3; CogView2; Chameleon</t>
  </si>
  <si>
    <t>NLM Denoising; Resampling</t>
  </si>
  <si>
    <t>ACC; AP; ROC-AUC; ECE; Brier</t>
  </si>
  <si>
    <t>ProGAN / ADM in-domain training performance incorporated in small-scale supervised split</t>
  </si>
  <si>
    <t>80.82% average accuracy across 14 unseen generator/dataset test categories</t>
  </si>
  <si>
    <t>JPEG ACC 79.55%; Gaussian Blur ACC 79.17%; Resample ACC 80.67%; Gaussian Noise ACC 73.33%; NLM Denoise ACC 76.18%</t>
  </si>
  <si>
    <t>Average detection accuracy of 80.82% and AP of 88.52% across 14 unseen test categories using only 2,000 training samples</t>
  </si>
  <si>
    <t>Chameleon test set accuracy drops to 61.92% (AP 58.29%) due to real-world scene complexity</t>
  </si>
  <si>
    <t>Marked performance drop on the real-world scene benchmark Chameleon (61.92% ACC) and susceptibility to noise-modifying post-processing</t>
  </si>
  <si>
    <t>CNNSpot; UnivFD; NPR; AIDE; FSD</t>
  </si>
  <si>
    <t>High data efficiency (requires only 2,000 training images); effective fusion of low-level GHPF noise from poor-texture patches with multi-scale DINOv2 semantic features; lightweight linear classification head prevents overfitting</t>
  </si>
  <si>
    <t>Sensitive to post-processing operations that directly corrupt or alter pixel-level noise statistics (e.g., NLM denoising, Gaussian noise addition); relatively lower accuracy on complex real-world scene datasets</t>
  </si>
  <si>
    <t>Data distribution shift in real-world benchmark datasets causing lower calibration accuracy (ECE bias)</t>
  </si>
  <si>
    <t>Demonstrates that combining low-level frequency noise features from poor-texture regions with high-level vision transformer semantics enables cross-generator detection using extremely small training sample sizes</t>
  </si>
  <si>
    <t>Proposes a lightweight noise-semantic fusion framework (NSFF) achieving strong zero-shot cross-generator generalization with minimal training data (2k samples)</t>
  </si>
  <si>
    <t>Sensitivity of low-level noise-based detection cues to noise manipulation operations like denoising or sensor noise injection</t>
  </si>
  <si>
    <t>Distinguish between authentic and synthetic skin cancer images and identify the specific generative model used (DCGAN, WGAN, Stable Diffusion) to prevent medical insurance fraud</t>
  </si>
  <si>
    <t>Fine-tuned DenseNet169 transfer learning model with last 20 layers unfrozen (excluding batch normalization) combined with a custom classification head (GlobalAveragePooling2D, Dense, Dropout, SoftMax)</t>
  </si>
  <si>
    <t>DenseNet169</t>
  </si>
  <si>
    <t>Hierarchical spatial feature maps extracted by dense convolutional layers</t>
  </si>
  <si>
    <t>Deep high-level image features pre-trained on ImageNet and adapted to dermoscopic skin lesion imagery</t>
  </si>
  <si>
    <t>Generative model-specific subtle artifacts in synthetic medical images</t>
  </si>
  <si>
    <t>Custom Multiclass Dataset</t>
  </si>
  <si>
    <t>Kaggle Skin Cancer Malignant Dataset</t>
  </si>
  <si>
    <t>DCGAN; WGAN; Stable Diffusion</t>
  </si>
  <si>
    <t>Custom Multiclass Test Set</t>
  </si>
  <si>
    <t>Medical (Dermoscopic Skin Lesions)</t>
  </si>
  <si>
    <t>Accuracy; Precision; Recall; F1-Score; ROC-AUC; Confusion Matrix</t>
  </si>
  <si>
    <t>Train Acc: 99.67%, Val Acc: 97.50%, Test Acc: 98.50%</t>
  </si>
  <si>
    <t>N/A (Evaluated only on in-domain known generator classes)</t>
  </si>
  <si>
    <t>N/A (Robustness transformations not tested)</t>
  </si>
  <si>
    <t>Perfect 100% precision and recall for WGAN, and perfect 1.000 ROC-AUC for all 4 classes</t>
  </si>
  <si>
    <t>Recall of 94.00% for the real malignant class (6 real images misclassified as synthetic)</t>
  </si>
  <si>
    <t>N/A (No cross-generator or unseen dataset testing performed)</t>
  </si>
  <si>
    <t>DenseNet121; ResNet101V2; ConvNeXtTiny; ConvNeXtSmall (under Partial, Full, and No ImageNet Pretraining regimes)</t>
  </si>
  <si>
    <t>High accuracy (98.50%) on 4-class synthetic medical deepfake identification; effectively identifies both real images and the specific generative model used; clear fine-tuning strategy evaluation</t>
  </si>
  <si>
    <t>Limited dataset size (2,000 images total); restricted to dermoscopic skin images; no testing on unseen generators or image post-processing robustness; lacks real-world clinical validation</t>
  </si>
  <si>
    <t>In-domain test split bias; synthetic images may not fully reflect real-world adversarial fraud attempts</t>
  </si>
  <si>
    <t>Demonstrates that fine-tuned transfer learning backbones can achieve near-perfect multiclass classification between real medical images and multiple GAN/Diffusion generators</t>
  </si>
  <si>
    <t>Proposes a multiclass medical deepfake detection framework achieving 98.50% accuracy on real vs. DCGAN vs. WGAN vs. Stable Diffusion skin lesion images</t>
  </si>
  <si>
    <t>Lack of cross-modality and zero-shot cross-generator evaluation in medical AI forensics</t>
  </si>
  <si>
    <t>Photo Authenticity Detection Using Machine Learning for Deepfake and AI-Generated Content Verification</t>
  </si>
  <si>
    <t>Verification of photo authenticity and detection of deepfake and AI-generated images</t>
  </si>
  <si>
    <t>Hybrid CNN-Transformer architecture combining CNN for local feature extraction, Vision Transformer for global context modeling, and feature engineering via DFT/DCT frequency domain analysis and noise residual modeling</t>
  </si>
  <si>
    <t>Hybrid CNN + Vision Transformer (ViT)</t>
  </si>
  <si>
    <t>Local texture artifacts, compression traces, localized noise patterns</t>
  </si>
  <si>
    <t>Frequency domain representations extracted via Discrete Fourier Transform (DFT) and Discrete Cosine Transform (DCT)</t>
  </si>
  <si>
    <t>Global semantic context and long-range patch dependencies captured via multi-head self-attention</t>
  </si>
  <si>
    <t>Noise residual modeling and environmental inconsistencies</t>
  </si>
  <si>
    <t>Curated collection of real, deepfake, and AI-generated images</t>
  </si>
  <si>
    <t>Open-source public high-quality photography repositories (landscapes, portraits, cities)</t>
  </si>
  <si>
    <t>FaceForensics++, Deepfake Detection Challenge (DFDC), Celeb-DF generators</t>
  </si>
  <si>
    <t>Not Specified</t>
  </si>
  <si>
    <t>FaceForensics++ (Testing), Deepfake Detection Challenge (DFDC), StyleGAN-Generated Dataset, Unseen GAN Variants, Novel Face Swap, Synthetic Object Insertion</t>
  </si>
  <si>
    <t>Benchmark datasets real subsets</t>
  </si>
  <si>
    <t>FaceForensics++, DFDC, StyleGAN, Unseen GAN Variants, Face Swaps, Synthetic Object Insertion</t>
  </si>
  <si>
    <t>Faces; General (Landscapes, Cities)</t>
  </si>
  <si>
    <t>Accuracy; Precision; Recall; F1-Score</t>
  </si>
  <si>
    <t>Accuracy: 94.8%, Precision: 93.6%, Recall: 94.2%, F1-Score: 93.9%</t>
  </si>
  <si>
    <t>Cross-dataset accuracy: 94.2% (FaceForensics++), 95.1% (DFDC), 93.6% (StyleGAN). Unseen manipulation accuracy: 91.7% (Unseen GANs), 92.6% (Novel Face Swap), 90.9% (Synthetic Object Insertion)</t>
  </si>
  <si>
    <t>N/A (Perturbation robustness like JPEG compression/blur not explicitly tested)</t>
  </si>
  <si>
    <t>95.1% accuracy and 94.4% F1-score on the Deepfake Detection Challenge (DFDC) test set</t>
  </si>
  <si>
    <t>90.9% fake image detection accuracy on synthetic object insertion manipulations</t>
  </si>
  <si>
    <t>N/A (Maintained &gt;90% accuracy across all unseen test conditions)</t>
  </si>
  <si>
    <t>Traditional CNN Model, Transformer-Only Model</t>
  </si>
  <si>
    <t>Effective fusion of local spatial CNN features, global transformer attention, and frequency-domain/noise feature engineering; strong cross-dataset performance and generalization to unseen forgery types</t>
  </si>
  <si>
    <t>Lacks explicit post-processing robustness evaluations (JPEG, noise, blur); specific sample sizes and exact CNN/ViT layer configurations not fully detailed</t>
  </si>
  <si>
    <t>Potential dataset overlap in pre-curated benchmark collections</t>
  </si>
  <si>
    <t>Demonstrates the utility of hybrid local-global feature extraction enhanced by DFT/DCT frequency analysis for universal deepfake and synthetic content verification</t>
  </si>
  <si>
    <t>Proposes a hybrid CNN-Transformer framework incorporating frequency and noise residual modeling for robust cross-dataset and unseen forgery detection</t>
  </si>
  <si>
    <t>Limited integration of explainable AI (XAI) and real-time continuous learning mechanisms in current deepfake detection models</t>
  </si>
  <si>
    <t>Model evaluated across multiple benchmarks (FaceForensics++, DFDC, StyleGAN) and unseen forgery types (Unseen GANs, Face Swaps, Object Insertion).</t>
  </si>
  <si>
    <t>Evade GAN-generated image detectors by removing inherent GAN fingerprints using a learned contrastive perturbation in a black-box setting</t>
  </si>
  <si>
    <t>Encoder-decoder anti-forensic network trained with contrastive loss using paired GAN images and simulated real images (generated via GANPrintR)</t>
  </si>
  <si>
    <t>Custom Encoder-Decoder (4 Conv / 3 MaxPool encoder, 1 Dilated TransConv / 3 MaxUnpool / 1 TransConv decoder)</t>
  </si>
  <si>
    <t>SPATIAL + RECONSTRUCTION_LATENT</t>
  </si>
  <si>
    <t>Contrastive spatial perturbation vectors added to synthetic input images</t>
  </si>
  <si>
    <t>Hierarchical multi-scale latent features ($32\times28\times28$ channel tensor)</t>
  </si>
  <si>
    <t>Autoencoder reconstructed images ($I^A$)</t>
  </si>
  <si>
    <t>Removal of intrinsic GAN fingerprints/artifacts</t>
  </si>
  <si>
    <t>Custom dataset of GAN-generated images paired with simulated real images</t>
  </si>
  <si>
    <t>Simulated real images (GANPrintR-processed fake images filtered by Gragnaniello detector)</t>
  </si>
  <si>
    <t>StarGAN2; StyleGAN; StyleGAN2</t>
  </si>
  <si>
    <t>14,000 image pairs per GAN type (42,000 total pairs)</t>
  </si>
  <si>
    <t>Testing set across 6 GAN generators</t>
  </si>
  <si>
    <t>N/A (Only GAN-generated images tested for attack success rate)</t>
  </si>
  <si>
    <t>ProGAN; StarGAN; StarGAN2; StyleGAN; StyleGAN2; StyleGAN3</t>
  </si>
  <si>
    <t>36,000 images (6,000 per GAN)</t>
  </si>
  <si>
    <t>Faces</t>
  </si>
  <si>
    <t>Median Filtering</t>
  </si>
  <si>
    <t>Detection Rate ($P_d$); PSNR; SSIM</t>
  </si>
  <si>
    <t>Attack reduces detection accuracy across StarGAN2, StyleGAN, and StyleGAN2 (e.g., Wang detector $P_d$ drops to 42.98% on StyleGAN2)</t>
  </si>
  <si>
    <t>Attack successfully transfers to unseen GANs (ProGAN $P_d$ drops to 82.38%, StarGAN to 90.48%, StyleGAN3 to 67.82% on Wang detector)</t>
  </si>
  <si>
    <t>Outperforms common image post-processing (Gaussian Filter, Median Filter, Resizing) which fail to fool detectors</t>
  </si>
  <si>
    <t>Reduces Wang detector detection rate on StyleGAN2 to 42.98% while maintaining 31.2 dB PSNR and 0.915 SSIM</t>
  </si>
  <si>
    <t>Lower attack efficiency on StarGAN ($P_d$ remains 97.80% on Gragnaniello detector) due to lower initial quality</t>
  </si>
  <si>
    <t>Higher residual detection rates on low-quality or poorly generated GAN samples like StarGAN</t>
  </si>
  <si>
    <t>Gaussian Filtering ($3\times3$, $5\times5$); Median Filtering ($3\times3$, $5\times5$); Resizing ($256\times256$, $512\times512$); GANPrintR</t>
  </si>
  <si>
    <t>Black-box attack requiring only input-output access; superior attack performance compared to traditional filtering and GANPrintR; preserves high visual quality (34.4 dB PSNR, 0.945 SSIM)</t>
  </si>
  <si>
    <t>Lower success rate compared to white-box attacks; less effective on poorly generated images (e.g., StarGAN); restricted to GAN face images</t>
  </si>
  <si>
    <t>Target detectors re-trained with anti-forensic perturbation dataset could negate attack effectiveness</t>
  </si>
  <si>
    <t>Demonstrates the vulnerability of state-of-the-art GAN detectors to black-box contrastive perturbation attacks that erase GAN fingerprints</t>
  </si>
  <si>
    <t>Introduces a contrastive learning black-box anti-forensic framework that removes GAN fingerprints using simulated real-fake paired data</t>
  </si>
  <si>
    <t>Vulnerability of deep-learning GAN detectors to lightweight black-box autoencoder perturbations without white-box gradient access</t>
  </si>
  <si>
    <t>PLOS One</t>
  </si>
  <si>
    <t>Distinguish authentic real images from diffusion-generated synthetic images by probing latent-space diffusion reconstruction stability</t>
  </si>
  <si>
    <t>Adversarial Diffusion Reconstruction Distance (ADRD) framework that applies an optimized latent perturbation probe, performs LDM reconstruction, and classifies the resulting error tensor via a lightweight CNN</t>
  </si>
  <si>
    <t>Stable Diffusion v1.5 (LDM) frozen feature extractor + Custom CNN classifier (BetterCNN)</t>
  </si>
  <si>
    <t>Difference maps between original perturbed latents and reconstructed latents</t>
  </si>
  <si>
    <t>Captured implicitly through VAE/LDM latent representations</t>
  </si>
  <si>
    <t>Latent-space reconstruction discrepancy under active probing perturbation</t>
  </si>
  <si>
    <t>Differential sensitivity/stability of real vs. generated images on the diffusion manifold</t>
  </si>
  <si>
    <t>GenImage; WildFake</t>
  </si>
  <si>
    <t>ImageNet (GenImage); LAION-5B, COCO, ImageNet (WildFake)</t>
  </si>
  <si>
    <t>ADM; BigGAN; Glide; Midjourney; SD v1.4; SD v1.5; VQDM; Wukong; DALL-E; DDIM; DDPM; Imagen; SD</t>
  </si>
  <si>
    <t>1,000 images per subset (70% train / 30% val in single-generator setups)</t>
  </si>
  <si>
    <t>ImageNet; LAION-5B; COCO</t>
  </si>
  <si>
    <t>8,000 images</t>
  </si>
  <si>
    <t>General (ImageNet, LAION-5B, COCO content)</t>
  </si>
  <si>
    <t>Gaussian Blur ($\sigma = 0, 0.05, 0.1, 0.5$)</t>
  </si>
  <si>
    <t>ACC; AP; AUC</t>
  </si>
  <si>
    <t>In-domain single-generator tests yield high accuracy (e.g., SD v1.5 self-test on GenImage achieves ~71.8% ACC / 78.5% AP)</t>
  </si>
  <si>
    <t>Mixed-training GenImage avg: 68.9% ACC, 74.9% AP, 73.9% AUC. Leave-one-model-out avg: 61.2% ACC, 65.1% AP, 65.9% AUC</t>
  </si>
  <si>
    <t>Highly robust to JPEG compression (minimal drop across quality 40–100); performance drops under severe Gaussian blur ($\sigma &gt; 0.1$)</t>
  </si>
  <si>
    <t>86.2% ACC and 92.0% AP when evaluated on Glide (GenImage mixed-training)</t>
  </si>
  <si>
    <t>54.5% ACC and 53.8% AP on Wukong (GenImage mixed-training)</t>
  </si>
  <si>
    <t>Weaker AP/ACC on SD v1.4, SD v1.5, and Wukong due to less distinct probe-induced reconstruction separation</t>
  </si>
  <si>
    <t>CNNSpot; Gram; UnivFD; LNP; DIRE; AIDE; C2P-CLIP; FIRE</t>
  </si>
  <si>
    <t>Active probing paradigm moves beyond passive static reconstruction error; robust to JPEG compression; faster than full DIRE reconstruction (0.94 GPU hrs vs 11.04 GPU hrs per 8k images)</t>
  </si>
  <si>
    <t>Inconsistent cross-generator performance (struggles on SD v1.4/v1.5 and Wukong); degradation under heavy Gaussian blur; relies on GPU-heavy diffusion inversion</t>
  </si>
  <si>
    <t>Reconstruction parameters (DDIM steps, noise strength) dictate detection capability</t>
  </si>
  <si>
    <t>Demonstrates active perturbation probing as a generalizable alternative to passive reconstruction error for diffusion deepfake detection</t>
  </si>
  <si>
    <t>Proposes ADRD, an active latent-probing framework that measures dynamic reconstruction response to distinguish authentic vs. diffusion images</t>
  </si>
  <si>
    <t>Static reconstruction errors (e.g., DIRE) are passive and vulnerable; ADRD addresses this by measuring dynamic sensitivity under controlled perturbation</t>
  </si>
  <si>
    <t>Comprehensive benchmark across GenImage and WildFake datasets including 13 generator sources and 8 baselines. Code made publicly available.</t>
  </si>
  <si>
    <t>DETECTION+LOCALIZATION</t>
  </si>
  <si>
    <t>Multi-level detection and pixel-level forgery localization of AI-generated and manually edited images</t>
  </si>
  <si>
    <t>HPUNet: Dual-attention spatial-frequency extraction + multi-scale feature interaction + hierarchical UNet decoder with soft-threshold constraints (t-CBAM)</t>
  </si>
  <si>
    <t>UNet with multi-scale feature interaction network</t>
  </si>
  <si>
    <t>RGB features; noise features</t>
  </si>
  <si>
    <t>Multiple Laplacian operators</t>
  </si>
  <si>
    <t>Color space fluctuations; dynamic thresholding via feedback</t>
  </si>
  <si>
    <t>AITfake</t>
  </si>
  <si>
    <t>COCO2017; ImageNet</t>
  </si>
  <si>
    <t>BigGAN; DDPM; FuseDream; GLIDE; Inpaint Anything; Paint by Example; StyleCLIP; Copy-Move</t>
  </si>
  <si>
    <t>24,000 total (3k per category)</t>
  </si>
  <si>
    <t>AITfake test set; CoCoGLIDE; HIFI-IFDL; GenImage; CASIA</t>
  </si>
  <si>
    <t>COCO; ImageNet; NR</t>
  </si>
  <si>
    <t>BigGAN; DDPM; FuseDream; GLIDE; Inpaint Anything; Paint by Example; StyleCLIP; Copy-Move; various external benchmark generators</t>
  </si>
  <si>
    <t>General objects and scenes</t>
  </si>
  <si>
    <t>ACC; F1</t>
  </si>
  <si>
    <t>Detection AVG ACC 99.56%, F1 98.03%; Localization AVG ACC 93.27%, F1 92.20%</t>
  </si>
  <si>
    <t>Cross-dataset Detection ACC: CoCoGLIDE 54.19%, HIFI-IFDL 82.97%, GenImage 80.28%, CASIA 77.16%</t>
  </si>
  <si>
    <t>High performance on in-domain multi-level detection and localization on AITfake dataset</t>
  </si>
  <si>
    <t>CoCoGLIDE cross-dataset detection ACC drops to 54.19% (F1 48.97%)</t>
  </si>
  <si>
    <t>Detection accuracy degrades significantly when evaluated on unseen out-of-domain cross-datasets like CoCoGLIDE (54.19% ACC)</t>
  </si>
  <si>
    <t>Trufor; PSCC-Net; HIFI-IFDL; CNNDet; ResNet50; ManTra-Net; DIRE; UNet; DA-HFNet</t>
  </si>
  <si>
    <t>t-SNE visualization</t>
  </si>
  <si>
    <t>Hierarchical multi-task learning combining detection and localization; integration of spatial and frequency features</t>
  </si>
  <si>
    <t>Significant performance drop under severe cross-dataset distribution shifts; no classical post-processing/robustness testing</t>
  </si>
  <si>
    <t>Confounding between multi-generator training and target test sets in external benchmark cross-dataset evaluations</t>
  </si>
  <si>
    <t>Highlights the performance drop of multi-feature hierarchical detectors when transferred to external unseen cross-datasets</t>
  </si>
  <si>
    <t>Demonstrates that fine-grained progressive supervision helps in-domain localization but does not prevent severe performance degradation on out-of-distribution targets</t>
  </si>
  <si>
    <t>Cross-dataset generalization to unseen editing models remains unresolved under real-world domain shifts</t>
  </si>
  <si>
    <t>HPUNet evaluated on AITfake dataset (trained on 8 categories including BigGAN, DDPM, FuseDream, GLIDE, Inpaint Anything, Paint by Example, StyleCLIP, Copy-Move). Cross-dataset zero-shot transfer tested on CoCoGLIDE, HIFI-IFDL, GenImage, and CASIA without target data calibration. Significant accuracy drop to 54.19% on CoCoGLIDE exposes substantial generalization limits despite high in-domain scores.</t>
  </si>
  <si>
    <t>Binary detection and local region anomaly identification of AI-generated digital artworks</t>
  </si>
  <si>
    <t>SCADET: Dynamic Frequency Attention Network (DFAN) + Contrastive Spectral Analysis Network (CSAN) with multi-positive sample contrastive learning</t>
  </si>
  <si>
    <t>ResNet-50 (DFAN backbone) + ViT-B/16 (CSAN encoder)</t>
  </si>
  <si>
    <t>Brush strokes; line gradients; texture details; shape curvature; spatial anomaly maps</t>
  </si>
  <si>
    <t>Fourier transform; wavelet transform; discrete cosine transform; Walsh transform; adaptive frequency band filtering</t>
  </si>
  <si>
    <t>Compositional relationships; remote semantic consistency; element association network</t>
  </si>
  <si>
    <t>Color complexity; style distance to real and AI artwork manifolds</t>
  </si>
  <si>
    <t>AI-ArtBench</t>
  </si>
  <si>
    <t>ArtBench-10</t>
  </si>
  <si>
    <t>Latent Diffusion; Standard Diffusion</t>
  </si>
  <si>
    <t>126,000 total (42,000 ArtBench-10 real + 42,000 Latent Diffusion + 42,000 Standard Diffusion)</t>
  </si>
  <si>
    <t>AI-ArtBench test set; unseen generator evaluation set</t>
  </si>
  <si>
    <t>Latent Diffusion; Standard Diffusion; StyleGAN2; Midjourney; DALL-E; MAE; Midjourney V5; DALL-E 3</t>
  </si>
  <si>
    <t>36,000 AI-ArtBench test images + unseen model test set</t>
  </si>
  <si>
    <t>Digital art and artistic paintings</t>
  </si>
  <si>
    <t>AUC; Accuracy; F1</t>
  </si>
  <si>
    <t>CNN-DCT</t>
  </si>
  <si>
    <t>Binary detection of GAN-generated synthetic images across diverse generation tasks (image-to-image, sketch-to-image, text-to-image)</t>
  </si>
  <si>
    <t>Fine-tuned EfficientNetB4 on multi-task synthetic dataset (RSI) with CAM-based localization and LIME interpretability</t>
  </si>
  <si>
    <t>EfficientNetB4</t>
  </si>
  <si>
    <t>Global image patches; background/foreground artifacts</t>
  </si>
  <si>
    <t>Background distortion and smoothed texture artifacts</t>
  </si>
  <si>
    <t>Real or Synthetic Images (RSI)</t>
  </si>
  <si>
    <t>COCO-Stuff</t>
  </si>
  <si>
    <t>OASIS; CC-FPSE; SPADE; Taming-transformers; S2I-DetectoRS; S2I-HTC; S2I-QueryInst; S2I-MaskRCNN; AttnGAN; DM-GAN+CL; DF-GAN; ControlGAN</t>
  </si>
  <si>
    <t>24,000 total (12,000 real + 12,000 synthetic)</t>
  </si>
  <si>
    <t>RSI test set; ADE20K; Sketchy; Caltech-UCSD Birds-200-2011 (CUB-200-2011)</t>
  </si>
  <si>
    <t>COCO-Stuff; ADE20K; Sketchy; CUB-200-2011</t>
  </si>
  <si>
    <t>12,000 (RSI test set); ADE20K subset (2000 real + 2000 fake); Sketchy subset (2470 real + 2470 fake); CUB-200-2011 subset (5794 real + 5794 fake)</t>
  </si>
  <si>
    <t>General objects and scene parsing</t>
  </si>
  <si>
    <t>Precision; Recall; F1; Accuracy; AP; ROC-AUC; FPR; FNR</t>
  </si>
  <si>
    <t>Accuracy 100%; AP 1.00; ROC-AUC 1.00; FPR 0.0; FNR 0.0 on RSI test set</t>
  </si>
  <si>
    <t>Cross-dataset accuracy: ADE20K (OASIS) 88.9%, Sketchy (S2I-DetectoRS) 94.3%, CUB-200-2011 (AttnGAN) 97.8%; Modality leave-one-out ACC: S2I/T2I-&gt;I2I 99%, I2I/S2I-&gt;T2I 95%, I2I/T2I-&gt;S2I 83%</t>
  </si>
  <si>
    <t>Perfect 100% classification accuracy on the multi-task RSI test set using fine-tuned EfficientNetB4</t>
  </si>
  <si>
    <t>Performance drops to 83% accuracy when transferring to sketch-to-image models due to background enhancement/refinement post-processing</t>
  </si>
  <si>
    <t>Leaving out S2I modality during training reduces zero-shot accuracy to 83% (FPR 0.347); cross-dataset accuracy drops to 88.9% on ADE20K</t>
  </si>
  <si>
    <t>VGG19; ResNet50; ResNet101; ResNet152; Inception V3; Xception; DenseNet121; InceptionResNetV2; MixConv; MaxViT</t>
  </si>
  <si>
    <t>GradCAM; AblationCAM; LayerCAM; Faster ScoreCAM; LIME</t>
  </si>
  <si>
    <t>Broad multi-task dataset (I2I, S2I, T2I); explicit leave-one-modality-out generalization protocol; integration of explainability methods (CAMs, LIME)</t>
  </si>
  <si>
    <t>No diffusion models included; no classical robustness/post-processing testing (JPEG, blur, noise); accuracy drops significantly on post-processed/refined backgrounds</t>
  </si>
  <si>
    <t>Shared underlying datasets (COCO derivatives) across several generators may introduce real-source dataset bias</t>
  </si>
  <si>
    <t>Evaluates transferability across distinct task modalities (sketch/text/mask-to-image) and cross-dataset shifts in GAN detection</t>
  </si>
  <si>
    <t>Demonstrates that background refinement and post-processing steps degrade zero-shot detection performance significantly</t>
  </si>
  <si>
    <t>Zero-shot generalization across modern non-GAN architectures (e.g., Diffusion Models) and robust post-processing remains unexamined</t>
  </si>
  <si>
    <t>Model trained on RSI dataset (12 GAN/transformer generators across 3 input modalities). Modality leave-one-out and cross-dataset testing on ADE20K, Sketchy, and CUB-200-2011 confirm zero-shot cross-generator/cross-dataset protocols without target calibration. RSI dataset public access available upon reasonable request.</t>
  </si>
  <si>
    <t>Universal binary detection of AI-generated synthetic images across diverse generators and content domains using shallow artifact learning</t>
  </si>
  <si>
    <t>GADNet: Central Differential Convolutions + Gradient-Aware Enhancement Module (GAEM) with Gram matrix channel attention + Complex Feature Guidance Module (CFGM)</t>
  </si>
  <si>
    <t>ResNet-50 (first two stages only)</t>
  </si>
  <si>
    <t>Edge-level neighborhood differences; directional multi-orientation gradient maps; spatially complex region features</t>
  </si>
  <si>
    <t>Indirect frequency artifacts captured via differential convolutions and up-sampling correlations</t>
  </si>
  <si>
    <t>Inter-channel second-order correlation deviations via Gram matrices</t>
  </si>
  <si>
    <t>LSUN subset (4 categories: car, cat, chair, horse)</t>
  </si>
  <si>
    <t>36,000 total (18,000 real + 18,000 synthetic)</t>
  </si>
  <si>
    <t>AIGCDetectBenchmark test set; Self-Synthesis dataset; Ojha et al. Diffusion test set</t>
  </si>
  <si>
    <t>LSUN; ImageNet; Flickr; LAION</t>
  </si>
  <si>
    <t>ProGAN; StyleGAN; BigGAN; CycleGAN; StarGAN; GauGAN; StyleGAN2; WFIR; ADM; Glide; SDv1.4; SDv1.5; Midjourney; DALL-E2; VQDM; Wukong; AttGAN; BEGAN; CramerGAN; InfoMaxGAN; MMDGAN; RelGAN; S3GAN; SNGAN; STGAN; LDM_100; LDM_200; LDM_200_cfg</t>
  </si>
  <si>
    <t>16 models in AIGCDetectBenchmark (4K images each); 9 models in Self-Synthesis (8K images each); 8 diffusion models in Ojha et al. dataset</t>
  </si>
  <si>
    <t>General natural scenes and objects</t>
  </si>
  <si>
    <t>ACC; AP; Attention Area Ratio (AAR)</t>
  </si>
  <si>
    <t>ProGAN ACC 99.95%; AP 100.00%</t>
  </si>
  <si>
    <t>Mean ACC 90.97% and AP 96.62% on AIGCDetectBenchmark (16 models); Self-Synthesis 9 GANs ACC 94.7% / AP 99.3%; Ojha et al. 8 DMs ACC 93.0% / AP 97.7%</t>
  </si>
  <si>
    <t>Resizing (0.5–1.5 scale) ACC &gt; 80% / AP &gt; 90%; Gaussian blur ($\sigma$=0–0.6) ACC &gt; 85.7% / AP &gt; 93.9%; Significant drop under JPEG compression</t>
  </si>
  <si>
    <t>Overall mean ACC 90.97% across 16 unseen generators in AIGCDetectBenchmark trained on only 36K ProGAN images</t>
  </si>
  <si>
    <t>Performance drops under JPEG compression (e.g., QF=60 ACC drops sharply below 50%)</t>
  </si>
  <si>
    <t>Performance degrades under JPEG compression because local pixel correlations are discarded by JPEG quantization; diffusion models show feature overlap with real images in t-SNE</t>
  </si>
  <si>
    <t>CNNSpot; FreDect; GramNet; Fusing; LNP; LGrad; DIRE; UniFD; PatchCraft; FMask; NPR; Cozzolino et al.; DRCT; C2P-CLIP</t>
  </si>
  <si>
    <t>Grad-CAM and Attention Area Ratio (AAR); t-SNE feature visualizations</t>
  </si>
  <si>
    <t>High parameter efficiency (2.32M parameters, ~1/10th of standard detectors); extreme training data efficiency (36K images vs 720K baselines); Gram matrix channel attention for fine-grained inter-channel correlations; multi-directional gradient reparameterization</t>
  </si>
  <si>
    <t>Poor robustness against severe JPEG compression due to reliance on spatial pixel correlations; lower accuracy on diffusion models compared to GANs</t>
  </si>
  <si>
    <t>Standard ProGAN-based training protocol may inherit dataset-specific biases despite high cross-generator generalization</t>
  </si>
  <si>
    <t>Demonstrates that shallow gradient-aware features and Gram matrix inter-channel correlations enable lightweight universal detection across GANs, Diffusion, and Commercial models</t>
  </si>
  <si>
    <t>Provides a highly parameter- and sample-efficient benchmark (2.32M params, 36K training samples) proving that deep semantic backbones are unnecessary for AIGI detection</t>
  </si>
  <si>
    <t>High vulnerability of shallow spatial correlation-based detectors to JPEG compression artifacts remains an unsolved trade-off</t>
  </si>
  <si>
    <t>Model trained on ProGAN/LSUN (36K images). Extensive zero-shot testing conducted across 27 generative models across 3 distinct test benchmarks (AIGCDetectBenchmark, Self-Synthesis, Ojha et al.). Code availability not explicitly stated in PDF text; datasets are standard public benchmarks.</t>
  </si>
  <si>
    <t>Universal binary detection of AI-generated synthetic images across diverse generative models by fusing local regional artifacts and global semantic representations</t>
  </si>
  <si>
    <t>Dual-path architecture: Canny edge-based selection of texture-rich and texture-poor local patches combined with global image into frozen CLIP-ViT-L/14, fused via 1D Attention Feature Fusion Module (1D-AFF) with MS-CAM and classified via Self-Attention + FC</t>
  </si>
  <si>
    <t>CLIP-ViT-L/14 (penultimate layer features frozen)</t>
  </si>
  <si>
    <t>Local artifact cues from texture-rich and texture-poor patch regions</t>
  </si>
  <si>
    <t>High-level global visual semantics</t>
  </si>
  <si>
    <t>Regional generation/reconstruction loss disparity cues</t>
  </si>
  <si>
    <t>UniversalFakeDetect (UFD) training split (8 generators); GenImage (SD v1.4 split)</t>
  </si>
  <si>
    <t>LSUN; LAION; ImageNet; RAISE; Unsplash</t>
  </si>
  <si>
    <t>ProGAN; BigGAN; ADM; GLIDE; SD v1.5; VQDM; Wukong; Midjourney; SD v1.4</t>
  </si>
  <si>
    <t>160,000 total in Benchmark 1 (8 generators x 10K paired real/fake samples); Full SD v1.4 training set in Benchmark 2/3/4</t>
  </si>
  <si>
    <t>UniversalFakeDetect (UFD); GenImage; Synthbuster; Chameleon; B-Free</t>
  </si>
  <si>
    <t>ProGAN; CycleGAN; BigGAN; StyleGAN; StyleGAN2; GauGAN; StarGAN; Deepfakes; SAN; Guided Diffusion; LDM; GLIDE; DALL-E; DALL-E 2; DALL-E 3; Stable Diffusion (SD v1.3, SD v1.4, SD v1.5, SD v2, SDXL); VQDM; Wukong; ADM; Midjourney; Firefly</t>
  </si>
  <si>
    <t>UFD test split; GenImage test split (120k val per generator); Synthbuster test set; Chameleon dataset (11,170 synthetic + 14,830 real); B-Free dataset</t>
  </si>
  <si>
    <t>General real-world scenes, objects, animals, humans, art, and scene parsing</t>
  </si>
  <si>
    <t>Accuracy (ACC); Average Precision (AP); balanced Accuracy over time (bAcc)</t>
  </si>
  <si>
    <t>Benchmark 1 In-Domain (ID) ACC 99.5% / AP 99.9%</t>
  </si>
  <si>
    <t>Benchmark 1 Out-Of-Domain (OOD) ACC 93.0% / AP 97.3% (Total ACC 95.7% / AP 98.6%); Benchmark 2 GenImage mean ACC 90.71%; Benchmark 3 Chameleon ACC 67.83% (trained SD v1.4) / 68.09% (trained All); Benchmark 4 Synthbuster mean ACC 78.18%</t>
  </si>
  <si>
    <t>Robustness under JPEG compression (QF=95 ACC 87.84%, QF=50 ACC 82.79%); Gaussian blur ($\sigma$=3.0 ACC 83.43%); B-Free social media viral image bAcc drops from 88% to ~80% over 100 days</t>
  </si>
  <si>
    <t>Achieves SOTA total accuracy of 95.7% and total AP of 98.6% on Benchmark 1 (UFD/GenImage mix) and 90.71% mean accuracy on Benchmark 2 (GenImage zero-shot)</t>
  </si>
  <si>
    <t>Performance on Chameleon dataset drops to ~68%; B-Free social media viral tracking accuracy drops to 80% over 100 days due to heavy web compression/resizing</t>
  </si>
  <si>
    <t>Accuracy degrades to 67.83% on Chameleon due to human-turing-passed high-fidelity/post-processed images; drops to 80% on B-Free due to local texture feature sensitivity under repeated web-scraped post-processing</t>
  </si>
  <si>
    <t>CNNSpot; LNP; DIRE; UFD; D3; AIDE; ResNet-50; DeiT-S; Swin-T; Spec; F3Net; GramNet; GenDet; PatchCraft; FreDetect; Fusing; NPR</t>
  </si>
  <si>
    <t>Canny edge loss heatmaps; t-SNE feature projections across patch selection types (whole, texture-poor, random, texture-rich)</t>
  </si>
  <si>
    <t>Explicitly exploits regional generation loss disparity (texture-rich vs. texture-poor); dual-path fusion of local artifacts and global semantics via 1D-AFF module; comprehensive evaluation across 5 benchmark suites including viral social media data (B-Free)</t>
  </si>
  <si>
    <t>Relies heavily on local texture features which are susceptible to heavy social media post-processing and web re-compression; struggles on extreme high-fidelity hand-tuned outputs (Chameleon)</t>
  </si>
  <si>
    <t>Heavy reliance on CLIP-ViT-L/14 backbone features; fixed patch size (56x56) may fail on extreme resolution shifts</t>
  </si>
  <si>
    <t>Demonstrates that combining local texture-disparity patch artifacts with global semantic features in a dual-path CLIP framework significantly enhances cross-generator transferability</t>
  </si>
  <si>
    <t>Provides a comprehensive benchmark evaluation showcasing how local patch selection (texture-rich + texture-poor) complements global vision-language features to improve AIGI zero-shot detection</t>
  </si>
  <si>
    <t>Identifies ongoing vulnerability of local-texture-dependent detectors against real-world social media distortions (viral web-scraped images) and high-fidelity human-passed synthetics</t>
  </si>
  <si>
    <t>Model trained on UFD / GenImage splits. Evaluated extensively on unseen generators across multiple benchmarks (Synthbuster, Chameleon, B-Free). Code repository publicly declared.</t>
  </si>
  <si>
    <t>Reliable detection of synthetic images with explicitly modeled predictive uncertainty to identify out-of-distribution (OOD) failure cases and post-processing confusions</t>
  </si>
  <si>
    <t>Bayesian Neural Network (BNN) with Stochastic Variational Inference (SVI) via Flipout, Noise Contrastive Priors (NCP), 4-branch 2D Discrete Wavelet Transform (Daubechies 5), multi-class Sigmoid output (real, synthetic, compressed), and Grad-CAM SSIM abstain criterion</t>
  </si>
  <si>
    <t>Custom 4-branch CNN with Wavelet input decomposition (3 conv blocks per branch + FC layers + Flipout weight sampling)</t>
  </si>
  <si>
    <t>Spatial sub-band features from wavelet transform</t>
  </si>
  <si>
    <t>Frequency sub-band components from 2D Discrete Wavelet Transform</t>
  </si>
  <si>
    <t>Predictive variance across Monte Carlo draws; Grad-CAM feature activation SSIM between output classes</t>
  </si>
  <si>
    <t>Wang et al. dataset (LSUN + ProGAN); COCO + Stable Diffusion dataset</t>
  </si>
  <si>
    <t>LSUN; COCO</t>
  </si>
  <si>
    <t>ProGAN (20 models); Stable Diffusion</t>
  </si>
  <si>
    <t>725,000 images (363K real LSUN + 362K ProGAN); 236,000 images (118K real COCO + 118K SD)</t>
  </si>
  <si>
    <t>Corvi et al. benchmark suite; TrueFace social media dataset; OOD generator suite</t>
  </si>
  <si>
    <t>COCO; ImageNet; UCID; LSUN; UFDD; Real pre/post social media captures</t>
  </si>
  <si>
    <t>StyleGAN2; StyleGAN3; BigGAN; DALL-E mini; DALL-E 2; Stable Diffusion; Latent Diffusion; Taming Transformer; GLIDE; DDPM; NCSNPP; EG3D; StyleGAN1</t>
  </si>
  <si>
    <t>6,500 images in Corvi test suite (500 synth per generator + 2,500 real); 100 images per category in TrueFace</t>
  </si>
  <si>
    <t>General object categories, faces, unconstrained natural scenes</t>
  </si>
  <si>
    <t>Precision; Recall; F1-Score; AU-ROC; Balanced Accuracy (Acc); AUC; Error Rate; Abstain Rate</t>
  </si>
  <si>
    <t>F1-Score 0.970 / AU-ROC 0.993 on in-distribution test set</t>
  </si>
  <si>
    <t>Uncompressed OOD Avg Acc 70.4% (Raw), 72.3% (Activation Abstain), 73.8% (Uncertainty Abstain); Resized &amp; Compressed OOD Avg Acc 65.2% (Raw), 66.4% (Activation Abstain), 67.7% (Uncertainty Abstain)</t>
  </si>
  <si>
    <t>Robustness enhanced via uncertainty thresholding ($\sigma_{abstain}$) and SSIM feature activation similarity, reducing OOD error rates drastically (e.g., TrueFace Twitter synth error dropped from 0.900 to 0.140)</t>
  </si>
  <si>
    <t>In-distribution F1-score 0.97; ProGAN detection accuracy 99.5% with uncertainty abstain; error rate reduced to 0.000 across multiple OOD sets with combined abstain policy</t>
  </si>
  <si>
    <t>Uncompressed StyleGAN3 accuracy 50.0% / AUC 66.8%; Resized/compressed StyleGAN3 accuracy 49.2% / AUC 65.0%; Synth Twitter error rate 0.900 without abstain</t>
  </si>
  <si>
    <t>Performance degradation on StyleGAN3 and DALL-E 2 due to severe domain mismatch; high initial error rate (90%) on post-social Twitter images when evaluated without uncertainty/SSIM abstain</t>
  </si>
  <si>
    <t>Spec; PatchForensics; Wang et al. (ResNet50); Gragnaniello et al.; Standard CNN; BNN without NCP</t>
  </si>
  <si>
    <t>Grad-CAM feature activation maps across output classes; predictive variance visualizations</t>
  </si>
  <si>
    <t>Explicit quantification of predictive uncertainty using BNN and NCP; three complementary abstain mechanisms (activation, uncertainty, SSIM-based Grad-CAM similarity); high reliability in flagging OOD inputs and post-processing confusions</t>
  </si>
  <si>
    <t>Raw classification accuracy on uncompressed OOD data is slightly lower than non-Bayesian SOTA (Gragnaniello et al.); higher computational complexity due to Monte Carlo sampling (20 draws)</t>
  </si>
  <si>
    <t>BNN parameters are doubled due to variational distribution (mean and variance per weight); trade-off between lower error rate and higher abstain rate depends on threshold tuning</t>
  </si>
  <si>
    <t>Establishes predictive uncertainty estimation and Bayesian learning as a core requirement for trustworthy, deployment-ready AIGI detection under unseen distribution shifts</t>
  </si>
  <si>
    <t>Demonstrates how Bayesian Neural Networks with Noise Contrastive Priors can convert classification ambiguity into actionable abstain decisions, mitigating false positives on out-of-distribution AIGI samples</t>
  </si>
  <si>
    <t>Highlights the vulnerability of standard deterministic CNNs to overconfident false predictions when encountering unseen generative models or social media post-processing</t>
  </si>
  <si>
    <t>Model trained on ProGAN/LSUN and SD/COCO datasets. Evaluated zero-shot across multiple OOD benchmarks (StyleGAN2/3, BigGAN, DALL-E, Latent Diffusion, TrueFace social media). Public dataset URLs provided in text.</t>
  </si>
  <si>
    <t>Empirical evaluation and comparative taxonomy of general-purpose vs. Deepfake-specific forensic detection tools on realistic, multi-tool synthetic media</t>
  </si>
  <si>
    <t>Dual-perspective taxonomy (application-oriented &amp; methodological) and SAFL benchmark dataset; comparative evaluation of off-the-shelf forensic tools</t>
  </si>
  <si>
    <t>Pre-trained models (ResNet/CNN for Image Forgery CNN, MesoNet CNN, Xception/PyTorch for Deepfake-Detection, MTCNN/FaceNet for Deepware)</t>
  </si>
  <si>
    <t>HYBRID / MULTI-CUE</t>
  </si>
  <si>
    <t>ELA, noise residuals, pixel inconsistencies</t>
  </si>
  <si>
    <t>Discrete Fourier Transform (DFT)</t>
  </si>
  <si>
    <t>Facial semantic features and expression landmarks</t>
  </si>
  <si>
    <t>Metadata, compression artifacts, block alignment</t>
  </si>
  <si>
    <t>Pre-trained third-party datasets (CASIA v2.0, FaceForensics++, etc., depending on tool)</t>
  </si>
  <si>
    <t>Tool-dependent (CASIA v2.0, FF++, etc.)</t>
  </si>
  <si>
    <t>Tool-dependent</t>
  </si>
  <si>
    <t>Pre-trained models evaluated off-the-shelf without retraining</t>
  </si>
  <si>
    <t>SAFL (Synthetic and Authentic Forensic Lab)</t>
  </si>
  <si>
    <t>CelebA, Celeb-DF</t>
  </si>
  <si>
    <t>FaceApp, DeepFaceLab, DALL-E, Avatarify, ThisPersonDoesNotExist</t>
  </si>
  <si>
    <t>4,197 images (2,102 real, 2,095 fake); 406 videos (202 real, 204 fake)</t>
  </si>
  <si>
    <t>Human faces, expressions, and synthetic person generations</t>
  </si>
  <si>
    <t>Precision, Recall, F1-Score, Accuracy, Confusion Matrix</t>
  </si>
  <si>
    <t>N/A (evaluated as zero-shot off-the-shelf tools on SAFL)</t>
  </si>
  <si>
    <t>Forensically: Image Acc 86.9% / F1 87.0%, Video Acc 98.6% / F1 98.6%; Deepware Scanner: Video Acc 91.2% / F1 84.1%; Autopsy plugin: Image Acc 69.5% / F1 71.3%</t>
  </si>
  <si>
    <t>N/A (no explicit robustness perturbations applied)</t>
  </si>
  <si>
    <t>Forensically achieved 98.6% video accuracy and 86.9% image accuracy; Deepware Scanner achieved 91.2% video accuracy</t>
  </si>
  <si>
    <t>Image Forgery Detection CNN achieved 50.8% image accuracy (1.6% recall); MesoNet achieved 50.7% image accuracy (3.0% recall)</t>
  </si>
  <si>
    <t>Deep Learning models (MesoNet, Image Forgery CNN) collapsed to ~50% accuracy on SAFL due to severe dataset shift / overfitting</t>
  </si>
  <si>
    <t>Forensically, Image Forgery Detection CNN, Autopsy plugin, MesoNet, Deepfake-Detection, Deepware Scanner</t>
  </si>
  <si>
    <t>ELA and noise residual maps in Forensically</t>
  </si>
  <si>
    <t>Establishes a unified reference framework categorizing general-purpose vs. Deepfake-specific tools; demonstrates that general blind forensic tools with expert oversight still outperform dedicated ML detectors on unseen image manipulations</t>
  </si>
  <si>
    <t>Automated Deep Learning detectors severely suffer from overfitting/domain shift on unseen real-world generation tools; human expert intervention is required for top-performing blind tools</t>
  </si>
  <si>
    <t>Small selection of open-source reproducible tools tested; evaluation restricted to the SAFL dataset without systematic perturbation sweeps</t>
  </si>
  <si>
    <t>Evaluates practical real-world applicability and zero-shot cross-generator generalization of accessible forensic detection toolkits on modern Deepfakes</t>
  </si>
  <si>
    <t>Provides empirical evidence that single-purpose deep learning detectors fail to generalize across consumer Deepfake creation tools, advocating for hybrid ensemble toolkits</t>
  </si>
  <si>
    <t>Exposes the extreme vulnerability and domain-lock of automated deep learning detectors when applied to newly generated synthetic content outside their training distribution</t>
  </si>
  <si>
    <t>Evaluated zero-shot off-the-shelf tools on the new SAFL dataset. Code and dataset repository made publicly available on GitHub.</t>
  </si>
  <si>
    <t>Universal detection of AI-generated synthetic images across diverse GANs and diffusion models using multi-domain feature fusion</t>
  </si>
  <si>
    <t>Multi-domain Transformer network integrating parallel EfficientNet-B0 encoders for spatial (RGB + Laplacian map), frequency (block-wise DCT), and wavelet (DWT) streams, fused via Cross-Domain Attention Fusion (CDAF) and classified via Swin Transformer Tiny</t>
  </si>
  <si>
    <t>Parallel EfficientNet-B0 encoders (spatial, frequency, wavelet) + Swin Transformer Tiny backbone</t>
  </si>
  <si>
    <t>RGB textures, edge maps, Laplacian gradient-based local distortions</t>
  </si>
  <si>
    <t>Mid- and high-frequency Discrete Cosine Transform (DCT) coefficients</t>
  </si>
  <si>
    <t>High-level global semantic representations from Swin Transformer</t>
  </si>
  <si>
    <t>Discrete Wavelet Transform (DWT) subband coefficients (LL, LH, HL, HH)</t>
  </si>
  <si>
    <t>ForenSynths (ProGAN split) / DFDC / Celeb-DF (80/20 train/test splits)</t>
  </si>
  <si>
    <t>LSUN; CelebA / YouTube captures</t>
  </si>
  <si>
    <t>ProGAN; DeepFake</t>
  </si>
  <si>
    <t>80% split of benchmark datasets (e.g., ForenSynths ProGAN training split)</t>
  </si>
  <si>
    <t>Celeb-DF; DFDC; ForenSynths (8 GAN models); Diffusion model dataset (PNDM, Guided, DALL-E, VQ-Diffusion)</t>
  </si>
  <si>
    <t>YouTube (Celeb-DF); Real videos (DFDC); LSUN / ImageNet</t>
  </si>
  <si>
    <t>ProGAN; StyleGAN; StyleGAN2; BigGAN; CycleGAN; StarGAN; GauGAN; Deepfake; PNDM; Guided Diffusion; DALL-E; VQ-Diffusion</t>
  </si>
  <si>
    <t>20% test splits across Celeb-DF, DFDC, ForenSynths, and Diffusion datasets</t>
  </si>
  <si>
    <t>General objects, natural scenes, animals, and human faces</t>
  </si>
  <si>
    <t>Accuracy (ACC); Average Precision (AP)</t>
  </si>
  <si>
    <t>Celeb-DF ACC 96.3% / AP 95.9%; DFDC ACC 95.4% / AP 94.2%</t>
  </si>
  <si>
    <t>ForenSynths GAN Mean ACC 96.0% / AP 99.1%; Diffusion Dataset Mean ACC 92.2% / AP 96.6%</t>
  </si>
  <si>
    <t>N/A (no explicit post-processing perturbation tests reported)</t>
  </si>
  <si>
    <t>99.6% ACC / 99.9% AP on ProGAN; 97.3% ACC / 99.2% AP on DALL-E; 98.8% ACC on StarGAN</t>
  </si>
  <si>
    <t>82.0% ACC on Guided Diffusion; 91.7% ACC on StyleGAN2; 92.3% ACC on Deepfake</t>
  </si>
  <si>
    <t>Performance drops slightly on Guided Diffusion (82.0% ACC) due to high visual fidelity and subtle spatial/frequency signatures</t>
  </si>
  <si>
    <t>Xception; F3-Net; TAN-GFD; WMamba; Wang et al.; Frank et al.; BiHPF; FrePGAN; UniFD; FreqNet</t>
  </si>
  <si>
    <t>DCT frequency domain spectrum visualizations for real vs. fake images</t>
  </si>
  <si>
    <t>Multi-domain feature integration (spatial + DCT + DWT) captures complementary forgery signatures; CDAF attention mechanism dynamically fuses cross-domain cues; Swin Transformer backbone captures global semantic context; leading cross-generator performance across 12 generative models</t>
  </si>
  <si>
    <t>No explicit robustness testing against common image post-processing operations (e.g., JPEG compression, Gaussian blur, resizing); increased computational complexity from tri-branch EfficientNet pre-encoders</t>
  </si>
  <si>
    <t>Pre-trained EfficientNet encoders and Swin Transformer may inherit ImageNet feature biases; lack of post-processing perturbations leaves real-world deployment robustness unverified</t>
  </si>
  <si>
    <t>Demonstrates that integrating multi-domain signals (spatial, DCT, DWT) into a Swin Transformer backbone achieves superior zero-shot cross-generator detection across both GANs and Diffusion models</t>
  </si>
  <si>
    <t>Establishes a multi-domain fusion benchmark showing that combining spatial gradients, mid/high DCT frequency spectra, and multi-scale DWT coefficients overcomes single-domain detection failure modes</t>
  </si>
  <si>
    <t>Highlights the ongoing difficulty of detecting advanced diffusion models (e.g., Guided Diffusion) compared to traditional GANs, pointing to the need for low-latency, edge-optimized multi-domain architectures</t>
  </si>
  <si>
    <t>Model evaluated across face datasets (Celeb-DF, DFDC), 8 GAN models (ForenSynths), and 4 Diffusion models. Ablation studies validate the incremental gain of each domain and module. Datasets used are standard public benchmarks.</t>
  </si>
  <si>
    <t>Classification of authentic vs. AI-generated images using channel-wise feature recalibration</t>
  </si>
  <si>
    <t>SE-ResNet50: ResNet-50 augmented with Squeeze-and-Excitation (SE) attention blocks in each residual block</t>
  </si>
  <si>
    <t>ResNet-50 + Squeeze-and-Excitation (SE) attention layers</t>
  </si>
  <si>
    <t>SPATIAL + ATTENTION</t>
  </si>
  <si>
    <t>Unnatural textures, edge inconsistencies, spatial distortions, semantic patterns</t>
  </si>
  <si>
    <t>High-level convolutional representations recalibrated by SE channel attention</t>
  </si>
  <si>
    <t>Squeeze-and-Excitation channel weight recalibration maps</t>
  </si>
  <si>
    <t>CIFAKE (40,000 train/val split)</t>
  </si>
  <si>
    <t>CIFAR-10 real images</t>
  </si>
  <si>
    <t>Stable Diffusion v1.4 (CIFAKE synthetic generation pipeline)</t>
  </si>
  <si>
    <t>40,000 images (80% split)</t>
  </si>
  <si>
    <t>CIFAKE (10,000 test split)</t>
  </si>
  <si>
    <t>Stable Diffusion v1.4</t>
  </si>
  <si>
    <t>10,000 images (5000 real, 5000 AI-generated)</t>
  </si>
  <si>
    <t>General objects, animals, vehicles, scenes (CIFAR-10 categories)</t>
  </si>
  <si>
    <t>Accuracy, Precision, Recall, F1-Score, ROC-AUC, McNemar's Test</t>
  </si>
  <si>
    <t>ACC 96.12%, Precision 97.04%, Recall 88.94%, F1 92.82%, AUC 0.9862</t>
  </si>
  <si>
    <t>N/A (tested only on CIFAKE test split)</t>
  </si>
  <si>
    <t>N/A (no perturbation or post-processing experiments conducted)</t>
  </si>
  <si>
    <t>Test Accuracy 96.12%, Precision 97.04%, ROC-AUC 0.9862</t>
  </si>
  <si>
    <t>Recall 88.94% (1,106 false negatives on highly realistic/clean synthetic samples)</t>
  </si>
  <si>
    <t>Model misclassified highly photorealistic synthetic images with clean edges as real (FN = 1,106)</t>
  </si>
  <si>
    <t>ResNet-50, VGGNet-16, DenseNet-121, Fine-tuned ViT (Kumar baseline)</t>
  </si>
  <si>
    <t>SE attention channel weight visualization and analysis</t>
  </si>
  <si>
    <t>Efficient integration of SE blocks into ResNet-50; high precision (97.04%) and AUC (0.9862) on CIFAKE; fast training convergence (318s/epoch); McNemar's test confirms statistical significance over DenseNet.</t>
  </si>
  <si>
    <t>Evaluated exclusively on a single benchmark dataset (CIFAKE); no cross-dataset, cross-generator, or out-of-distribution generalization testing; no robustness testing against JPEG compression, blur, or noise.</t>
  </si>
  <si>
    <t>Severe threat of dataset-specific overfitting to CIFAKE (CIFAR-10 vs. Stable Diffusion v1.4 artifacts); lack of adversarial and post-processing evaluation.</t>
  </si>
  <si>
    <t>Demonstrates channel-wise SE attention integration into CNN backbones for low-cost generative artifact sensitivity.</t>
  </si>
  <si>
    <t>Establishes a lightweight SE-ResNet50 benchmark on CIFAKE, proving that channel-wise feature recalibration improves accuracy over plain ResNet-50 and ViT baselines under low computational budgets.</t>
  </si>
  <si>
    <t>Exposes the widespread limitation of evaluating synthetic image detectors on single closed-set datasets without verifying cross-generator transferability or post-processing robustness.</t>
  </si>
  <si>
    <t>Detection of diffusion-model-generated images using high-pass cross-difference filtering and spectral peak extraction</t>
  </si>
  <si>
    <t>High-pass cross-difference filtering to isolate residual high-frequency artifacts, followed by 2D Fast Fourier Transform (FFT) peak magnitude extraction (135 features) and classification via Histogram-Based Gradient Boosting Trees (HBGB)</t>
  </si>
  <si>
    <t>Cross-Difference Filter + FFT Peak Extractor + Histogram-Based Gradient Boosting Trees (HBGB)</t>
  </si>
  <si>
    <t>FREQUENCY</t>
  </si>
  <si>
    <t>High-pass residual cross-difference spatial maps</t>
  </si>
  <si>
    <t>FFT magnitude peaks at components of period 0, 2, 4, 8, and 16</t>
  </si>
  <si>
    <t>Spectral grid artifacts at specific periodicities</t>
  </si>
  <si>
    <t>Augmented Corvi et al. dataset / Dresden Image Database</t>
  </si>
  <si>
    <t>Dresden Image Database</t>
  </si>
  <si>
    <t>Corvi et al. Diffusion Model splits</t>
  </si>
  <si>
    <t>Multi-thousand image training set across Dresden and Corvi et al. splits</t>
  </si>
  <si>
    <t>Synthbuster Benchmark Dataset (matched with RAISE-1k real images)</t>
  </si>
  <si>
    <t>RAISE-1k dataset (1,000 uncompressed real photorealistic images)</t>
  </si>
  <si>
    <t>Stable Diffusion (v1.3, v1.4, v2, XL), Glide, Midjourney v5, DALL-E 2, DALL-E 3, Adobe Firefly</t>
  </si>
  <si>
    <t>10,000 images (1,000 per generator + 1,000 RAISE real images)</t>
  </si>
  <si>
    <t>Photorealistic outdoor, indoor, landscape, nature, people, objects, buildings</t>
  </si>
  <si>
    <t>Quality Factor-Specific Model Selection Strategy</t>
  </si>
  <si>
    <t>Matthew's Correlation Coefficient (MCC), ROC-AUC</t>
  </si>
  <si>
    <t>Generic Model MCC: 0.872 (Overall); Specific Model MCC: 0.953 (Overall)</t>
  </si>
  <si>
    <t>Generalization Training MCC: 0.527 (Overall); DALL-E 2 MCC: 0.478; SD XL MCC: 0.592</t>
  </si>
  <si>
    <t>Uncompressed MCC: 0.872; JPEG Q=95 MCC: 0.708; JPEG Q=90 MCC: 0.609; JPEG Q=80 MCC: 0.583; JPEG Q=70 MCC: 0.598</t>
  </si>
  <si>
    <t>Specific Model on DALL-E 2 MCC: 0.972; Specific Model on SD 1.4 MCC: 0.971; Generic Model on SD 1.4 MCC: 0.943</t>
  </si>
  <si>
    <t>Generalization Training on DALL-E 2 MCC: 0.478; Specific Model on Adobe Firefly MCC: 0.728</t>
  </si>
  <si>
    <t>Generalization performance drops significantly on unseen architectures with distinct spectral signatures like DALL-E 2 (0.478 MCC) and SD XL (0.592 MCC)</t>
  </si>
  <si>
    <t>Universal Fake Detector (UFD), Wang et al., Corvi et al., Gragnaniello et al., PatchForensics, Mandelli et al.</t>
  </si>
  <si>
    <t>Frequency domain FFT magnitude peak plots across 9 diffusion models</t>
  </si>
  <si>
    <t>Lightweight feature extraction (135 FFT peak features); superior performance over deep learning baselines (Corvi et al., UFD) across modern diffusion models; robust JPEG post-processing alignment</t>
  </si>
  <si>
    <t>Performance drops on completely unseen architectures with unique upsampling grids (DALL-E 2, Firefly); sensitive to severe JPEG compression; restricted to photorealistic styles</t>
  </si>
  <si>
    <t>Synthetic images created with novel unstudied upsampling/latent decoding steps might lack period-2/4/8 spectral peaks</t>
  </si>
  <si>
    <t>Highlights that simple classical high-pass residual filtering combined with tree-based spectral classifiers can outperform heavy deep CNNs on diffusion forensics</t>
  </si>
  <si>
    <t>Introduces Synthbuster benchmark and proves that cross-difference filtering exposes single-image periodic spectral artifacts across state-of-the-art diffusion models</t>
  </si>
  <si>
    <t>Exposes the extreme vulnerability of deep learning detectors (e.g., Corvi et al., UFD) when evaluated on modern, unseen closed-source diffusion models</t>
  </si>
  <si>
    <t>Universal AI-generated image detection leveraging lightweight fine-tuning, multi-color space fusion, and semantic conceptual alignment</t>
  </si>
  <si>
    <t>GCS-Net: CLIP ViT-L/14 fine-tuned via LoRA on Transformer Attention &amp; MLP layers, multi-color space feature integration (RGB, HSV, Lab via Scaled Dot-Product Attention), and Semantic-Guided Conceptual Space (SCS) using text concept vectors ("real", "fake")</t>
  </si>
  <si>
    <t>CLIP ViT-L/14 + LoRA + Multi-head Scaled Dot-Product Attention (CFI Block) + MLP Head</t>
  </si>
  <si>
    <t>SPATIAL + SEMANTIC + COLOR</t>
  </si>
  <si>
    <t>Multi-dimensional spatial structure, textures, and local pixel anomalies</t>
  </si>
  <si>
    <t>CLIP cross-modal semantic feature embeddings aligned with text concept prototypes ("real", "fake")</t>
  </si>
  <si>
    <t>Chrominance, brightness, and saturation anomalies across HSV and Lab color spaces</t>
  </si>
  <si>
    <t>CNNSpot (ProGAN training set)</t>
  </si>
  <si>
    <t>LSUN (360,000 real images)</t>
  </si>
  <si>
    <t>ProGAN (360,000 synthetic images)</t>
  </si>
  <si>
    <t>720,000 images (360k real, 360k fake)</t>
  </si>
  <si>
    <t>20 unseen evaluation datasets (ProGAN, StyleGAN, StyleGAN2, BigGAN, CycleGAN, StarGAN, GauGAN, WFIR, ADM, Glide, Midjourney, SDv1.4, SDv1.5, VQDM, Wukong, DALL-E 2, SDv2, SDXL, IMLE, SAN)</t>
  </si>
  <si>
    <t>LSUN, GenImage real splits, DRCT real splits, PatchCraft real splits</t>
  </si>
  <si>
    <t>ProGAN, StyleGAN, StyleGAN2, BigGAN, CycleGAN, StarGAN, GauGAN, WFIR, ADM, Glide, Midjourney, SDv1.4, SDv1.5, VQDM, Wukong, DALL-E 2, SDv2, SDXL, IMLE, SAN</t>
  </si>
  <si>
    <t>180,000 test images across 19 unseen test sets (+ ProGAN)</t>
  </si>
  <si>
    <t>General objects, animals, people, landscapes, urban scenes, artistic creations</t>
  </si>
  <si>
    <t>Accuracy (ACC), Average Precision (AP)</t>
  </si>
  <si>
    <t>ProGAN ACC 99.88% / AP 100.00%</t>
  </si>
  <si>
    <t>Overall Mean ACC 84.57% / AP 92.46%; GANs Mean ACC 92.26% / AP 99.52%; Diffusion Models Mean ACC 77.55% / AP 86.00%; IMLE/SAN Mean ACC 88.95% / AP 96.54%</t>
  </si>
  <si>
    <t>N/A (no explicit perturbation or post-processing experiments reported)</t>
  </si>
  <si>
    <t>StarGAN ACC 99.35% / AP 99.94%; GauGAN ACC 99.43% / AP 98.88%; CycleGAN ACC 99.36% / AP 98.73%; ProGAN ACC 99.88% / AP 100.00%</t>
  </si>
  <si>
    <t>SDv2 ACC 57.58% / AP 65.28%; SDXL ACC 59.20% / AP 69.89%; Midjourney ACC 64.25% / AP 74.68%; DALL-E 2 ACC 66.65% / AP 79.43%</t>
  </si>
  <si>
    <t>Performance drops on advanced closed-source / latent diffusion models (SDv2, SDXL, Midjourney, DALL-E 2) where accuracy drops to 57%-66% due to suppressed low-level artifacts</t>
  </si>
  <si>
    <t>CNNSpot, FreDect, GramNet, Fusing, LGrad, UnivFD, NPR, FreqNet, FatFormer</t>
  </si>
  <si>
    <t>t-SNE feature space separation visualization (CLIP vs. GCS-Net)</t>
  </si>
  <si>
    <t>Binary classification of real vs. fake face images using adaptive generative augmentation and lightweight CNN</t>
  </si>
  <si>
    <t>Adaptive-DCGAN for synthetic image data augmentation combined with a lightweight Lite-CNN classifier</t>
  </si>
  <si>
    <t>Adaptive-DCGAN (Generator &amp; Discriminator) + Lite-CNN (2 Conv2D layers, Max Pooling, Dense layers)</t>
  </si>
  <si>
    <t>Deep facial spatial features and local texture representations</t>
  </si>
  <si>
    <t>Latent space vector representations for synthetic generation</t>
  </si>
  <si>
    <t>Relative performance deviation metric $(A_C - A_{CV})/A_{CV}$ for adaptive learning factor $k$ adjustment</t>
  </si>
  <si>
    <t>Real and Fake Face Detection (Kaggle / CIPLab)</t>
  </si>
  <si>
    <t>Kaggle CIPLab real photos</t>
  </si>
  <si>
    <t>Unspecified GANs / Adaptive-DCGAN synthetic images</t>
  </si>
  <si>
    <t>1,632 images (80% training split of 2,041 total dataset)</t>
  </si>
  <si>
    <t>409 images (20% testing split of 2,041 total dataset)</t>
  </si>
  <si>
    <t>Human face photographs</t>
  </si>
  <si>
    <t>Dynamic learning rate adaptation during training</t>
  </si>
  <si>
    <t>Accuracy, Precision, Recall, F1-Score, Generator Loss, Discriminator Loss</t>
  </si>
  <si>
    <t>Accuracy 95%, Precision 95%, Recall 95%, F1-Score 95%</t>
  </si>
  <si>
    <t>N/A (no cross-dataset or cross-generator testing conducted)</t>
  </si>
  <si>
    <t>N/A (no post-processing or perturbation robustness experiments reported)</t>
  </si>
  <si>
    <t>Baseline Lite-CNN without synthetic data augmentation achieves 81% Accuracy</t>
  </si>
  <si>
    <t>Performance drops to 81% accuracy when disabling synthetic augmentation and 91% accuracy without the adaptive factor adjustment</t>
  </si>
  <si>
    <t>GAN-CNN ensemble baseline</t>
  </si>
  <si>
    <t>Highly lightweight architecture with fast inference time (12 ms/img) and low memory footprint (42 MB); Adaptive training mechanism stabilizes GAN loss convergence</t>
  </si>
  <si>
    <t>Tested exclusively on a small single dataset (2,041 face images); no cross-dataset, diffusion model, or post-processing robustness evaluations</t>
  </si>
  <si>
    <t>Severe risk of dataset-specific overfitting; lacks validation on modern generative models (e.g., Stable Diffusion, Midjourney)</t>
  </si>
  <si>
    <t>Proposes an adaptive generative augmentation framework coupled with a low-cost classifier for edge/mobile deepfake detection</t>
  </si>
  <si>
    <t>Integrates an adaptive learning rate adjustment scheme based on loss deviation to dynamic GAN data augmentation for deepfake detection</t>
  </si>
  <si>
    <t>Highlights the ongoing research gap where lightweight detectors achieve high in-domain performance but lack cross-generator and real-world post-processing validation</t>
  </si>
  <si>
    <t>Joint AI-generated image detection, source attribution, pixel-level forgery localization, and language-guided report generation</t>
  </si>
  <si>
    <t>EXACT: Dual-branch architecture combining a Semantic Branch (frozen CLIP) and a Trace Branch (Haar wavelets + Transformer) via an Adaptive Gating Fusion Module, paired with a pixel decoder, attribution head, and frozen LMM (Qwen2-VL-7B-Instruct)</t>
  </si>
  <si>
    <t>Frozen CLIP Image Encoder + Haar DWT + Transformer Encoder + Adaptive Gating MLP + Lightweight Conv Decoder + Frozen LMM</t>
  </si>
  <si>
    <t>HYBRID (SPATIAL + FREQUENCY + SEMANTIC)</t>
  </si>
  <si>
    <t>Spatially aligned trace maps and local texture/edge anomalies</t>
  </si>
  <si>
    <t>Multi-scale Haar wavelet sub-bands (LH, HL, HH directional detail bands)</t>
  </si>
  <si>
    <t>CLIP vision-language visual concept representations</t>
  </si>
  <si>
    <t>Per-image adaptive fusion weights ($\alpha, \beta$) and LMM natural language summaries</t>
  </si>
  <si>
    <t>Multi-source synthetic &amp; real training set (40,000 images)</t>
  </si>
  <si>
    <t>COCO, ImageNet</t>
  </si>
  <si>
    <t>DiffusionDB, Midjourney v6, SynthScars</t>
  </si>
  <si>
    <t>40,000 images (20k real, 20k fake)</t>
  </si>
  <si>
    <t>11 unseen cross-dataset test domains (DiffSeg30k, 8 GenImage subsets, 2 DiffusionForensics subsets)</t>
  </si>
  <si>
    <t>COCO, ImageNet, GenImage real splits, DiffusionForensics real splits</t>
  </si>
  <si>
    <t>BigGAN, GLIDE, ADM, WuKong, SD 1.5, Midjourney, SD 1.4, VQDM, IN-SD-v1, IN-ADM</t>
  </si>
  <si>
    <t>10,000 in-domain test images + multi-domain cross-dataset test suites</t>
  </si>
  <si>
    <t>General objects, natural scenes, complex outdoor/indoor environments, editing scars</t>
  </si>
  <si>
    <t>Brightness, Saturation, Contrast adjustments</t>
  </si>
  <si>
    <t>Accuracy (Acc), Precision (Prec), Recall (Rec), F1-Score, AP, AUROC, mIoU</t>
  </si>
  <si>
    <t>In-Domain Detection: Acc 99.49%, Prec 98.76%, Rec 98.61%, F1 98.68%; Attribution Acc on Fake: 86.35%; Localization mIoU: 0.3332</t>
  </si>
  <si>
    <t>Cross-Dataset Mean Acc: 84.88%; Mean AP: 94.18%; GLIDE Acc 78.92% / AP 95.50%; SD 1.5 Acc 91.43% / AP 98.47%; Midjourney Acc 92.37% / AP 98.57%</t>
  </si>
  <si>
    <t>JPEG Q=30 Acc: 81.42%; Gaussian Blur (lvl 15) Acc: 74.63%; Resize (0.25x) Acc: 82.37%; Gaussian Noise ($\sigma=0.10$) Acc: 72.58%</t>
  </si>
  <si>
    <t>In-Domain Acc: 99.49%; SD 1.5 AP: 98.47%; Midjourney AP: 98.57%; SynthScars Attribution F1: 0.9272</t>
  </si>
  <si>
    <t>Gaussian Noise ($\sigma=0.10$) Acc: 72.58%; Midjourney Attribution F1: 0.7317; ADM Cross-Dataset Acc: 75.38%</t>
  </si>
  <si>
    <t>Heavy Gaussian noise ($\sigma=0.10$) and severe blur degrade trace features, dropping accuracy to ~72.58%; Midjourney attribution F1 drops to 0.7317 due to rendering style diversity</t>
  </si>
  <si>
    <t>CNNSpot, Fusing, LGrad, UnivFD, NPR, DIRE, FSD, C2P-CLIP, FatFormer, MIRROR</t>
  </si>
  <si>
    <t>UMAP feature clustering, localization overlays, LMM natural language reports</t>
  </si>
  <si>
    <t>Unified multi-task capability (detection + attribution + localization + reporting); per-image adaptive gating balancing semantic &amp; trace cues; strong cross-generator transferability (84.88% mean Acc); human-readable LMM reports</t>
  </si>
  <si>
    <t>Localization trained with partial mask supervision (SynthScars only); Attribution accuracy drops on diverse outputs like Midjourney v6; CLIP branch carries semantic content bias</t>
  </si>
  <si>
    <t>High noise/blur levels distort frequency trace statistics; reliance on predefined mask datasets limits fine-grained pixel segmentation</t>
  </si>
  <si>
    <t>Demonstrates how adaptive per-sample weighting of high-level semantics and multi-scale frequency traces enables unified, explainable AIGI forensics</t>
  </si>
  <si>
    <t>Establishes a comprehensive multi-task benchmark uniting detection, attribution, pixel-level localization, and multimodal LLM-driven explainability</t>
  </si>
  <si>
    <t>Highlights the limitation of single-evidence detectors under post-processing and the challenge of attributing highly diverse commercial generative pipelines</t>
  </si>
  <si>
    <t>Binary classification of real vs. AI-generated landscape images</t>
  </si>
  <si>
    <t>Multimodal CNN combining 3-channel RGB image with a 21-channel binary mask representation derived from UPerNet semantic segmentation (24-channel total input)</t>
  </si>
  <si>
    <t>Lightweight 3-layer CNN (3 conv blocks + FC layers) + UPerNet (ADE20K pretrained) for segmentation</t>
  </si>
  <si>
    <t>HYBRID (SPATIAL + SEMANTIC)</t>
  </si>
  <si>
    <t>Local texture irregularities, boundary smoothness, regional luminance distribution</t>
  </si>
  <si>
    <t>21 landscape-related semantic class masks (sky, terrain, vegetation, water, buildings, etc.)</t>
  </si>
  <si>
    <t>Global lighting coherence and structural boundary naturalness</t>
  </si>
  <si>
    <t>Custom matched real &amp; synthetic landscape dataset across 10 categories</t>
  </si>
  <si>
    <t>Landscape Pictures dataset</t>
  </si>
  <si>
    <t>Stable Diffusion v1.5 (Landscape Realistic Pro &amp; UrbanSdlife_v60)</t>
  </si>
  <si>
    <t>3,200 images (80% split of 4,000 total dataset)</t>
  </si>
  <si>
    <t>Custom matched real &amp; synthetic landscape dataset</t>
  </si>
  <si>
    <t>800 images (20% split of 4,000 total dataset)</t>
  </si>
  <si>
    <t>Natural and artificial landscape scenes across 10 categories</t>
  </si>
  <si>
    <t>Edge Removal, Random Blackout</t>
  </si>
  <si>
    <t>Accuracy, Precision, Recall, F1-Score</t>
  </si>
  <si>
    <t>Multimodal Model: Acc 0.985, Prec 0.975, Rec 0.978, F1 0.977; Baseline RGB CNN: Acc 0.970, Prec 0.953, Rec 0.948, F1 0.950</t>
  </si>
  <si>
    <t>N/A (no cross-generator or cross-dataset evaluation conducted)</t>
  </si>
  <si>
    <t>Gaussian Blur Acc 0.943; Edge Removal Acc 0.960; Random Blackout Acc 0.876</t>
  </si>
  <si>
    <t>Proposed Multimodal Model Accuracy 98.5%</t>
  </si>
  <si>
    <t>Random Blackout Perturbation Accuracy 87.6%</t>
  </si>
  <si>
    <t>Accuracy drops from 96.2% to 87.6% when random blackout destroys global semantic structure</t>
  </si>
  <si>
    <t>Baseline RGB-only CNN</t>
  </si>
  <si>
    <t>Grad-CAM spatial attention maps and SHAP feature attribution maps</t>
  </si>
  <si>
    <t>Integrated semantic structure with RGB textures; robust to blur and edge removal; lightweight architecture</t>
  </si>
  <si>
    <t>Evaluated on a single generator family (Stable Diffusion v1.5) and small dataset (4,000 images); no cross-generator or cross-dataset testing</t>
  </si>
  <si>
    <t>High risk of generator-specific overfitting; lacks validation on modern generative models (e.g., Midjourney, Flux, SDXL) and post-processing like JPEG compression</t>
  </si>
  <si>
    <t>Demonstrates the utility of fusing explicit semantic segmentation masks with RGB appearance cues to detect AI-generated landscapes</t>
  </si>
  <si>
    <t>Combines SHAP/Grad-CAM XAI interpretability with semantic segmentation to uncover structural boundary anomalies in synthetic landscape scenes</t>
  </si>
  <si>
    <t>Identifies the research gap where landscape detection lacks focus compared to faces, but remains limited by closed-set evaluation protocols</t>
  </si>
  <si>
    <t>Universal binary classification of real vs. AI-generated synthetic images across unseen generative sources</t>
  </si>
  <si>
    <t>Flatness-Curvature (FC) Mask Preprocessing: Deterministic conversion of RGB images into a 6-channel binary tensor ($6 \times H \times W$) marking low-gradient (flatness) and high-curvature regions per channel, paired with off-the-shelf classifiers (e.g., MobileViT)</t>
  </si>
  <si>
    <t>Plug-and-play feature preprocessing; evaluated with MobileViT-S, ResNet-50, ConvNeXt, ViT-L/14, TinyCNN, and NPR</t>
  </si>
  <si>
    <t>First-order gradient magnitude (Sobel) low-variation areas and normalized contrast-aware second-order Laplacian curvature ratios</t>
  </si>
  <si>
    <t>Local spatial pixel relationships and artifact-rich structural descriptions</t>
  </si>
  <si>
    <t>ForenSynths (4-class ProGAN subset: car, cat, chair, horse)</t>
  </si>
  <si>
    <t>144,000 images</t>
  </si>
  <si>
    <t>5 test suites covering 38 generators (ForenSynths test set, GANGen, DiffusionForensics, UFD, NPR test suite, DiffSynFace, DiffusionFace)</t>
  </si>
  <si>
    <t>LSUN, ImageNet, real face benchmarks</t>
  </si>
  <si>
    <t>38 distinct GAN and Diffusion generators (StyleGAN, StyleGAN2, BigGAN, CycleGAN, StarGAN, GauGAN, Deepfake, AttGAN, BEGAN, CramerGAN, InfoMaxGAN, MMDGAN, RelGAN, S3GAN, SNGAN, STGAN, ADM, DDPM, IDDPM, LDM, PNDM, VQ-Diffusion, SD v1/v2/XL/Turbo, DALL-E 2/3, Midjourney, Glide, etc.)</t>
  </si>
  <si>
    <t>Multi-dataset benchmark evaluation suite</t>
  </si>
  <si>
    <t>General categories (objects, animals, scenes, faces)</t>
  </si>
  <si>
    <t>Accuracy (Acc) and Average Precision (AP)</t>
  </si>
  <si>
    <t>ProGAN (seen source): Acc 98.7%, AP 99.9% (FC+MobileViT)</t>
  </si>
  <si>
    <t>Mean Acc across 38 unseen generators: 87.2% (FC+MobileViT) vs. 63.5% (RGB+MobileViT) (+23.7% gain); Mean AP: 94.6% vs. 82.0%</t>
  </si>
  <si>
    <t>Retains superior mean accuracy over baseline under JPEG compression, Gaussian blur, Gaussian noise, and downscaling/upscaling perturbations</t>
  </si>
  <si>
    <t>94.1% mean accuracy on unseen GANs; 90.6% mean accuracy on cross-diffusion sources</t>
  </si>
  <si>
    <t>Reduced performance on DALL-E 3 (54.59% Acc), SD Turbo (50.0% Acc), Hugging Face SD v1 (50.0% Acc), and white-box adaptive BPDA attacks</t>
  </si>
  <si>
    <t>Modern commercial and ultra-fast generators (DALL-E 3, SD Turbo) leave weaker flatness-curvature signatures, limiting detection accuracy</t>
  </si>
  <si>
    <t>CNNDetection, Frank, Durall, Patchfor, F3Net, SelfBlend, GANDetection, BiHPF, FrePGAN, LGrad, Ojha, NPR</t>
  </si>
  <si>
    <t>Class Activation Maps (CAMs), average spatial occupancy maps, Fourier spectral log-magnitude visualizations</t>
  </si>
  <si>
    <t>Extremely lightweight, non-parametric deterministic preprocessing; massive +23.7% mean accuracy gain across 38 generators; robust to common post-processing; works well with tiny backbones (e.g., TinyCNN)</t>
  </si>
  <si>
    <t>Degrades on specific recent generators (DALL-E 3, SD Turbo); sensitive to large scale mismatches between training and testing; vulnerable to adaptive BPDA attacks</t>
  </si>
  <si>
    <t>Surrogated gradients (BPDA) can partially bypass hard thresholding at lower perturbation budgets; specific pipelines mask structural spatial cues</t>
  </si>
  <si>
    <t>Proves that forcing standard vision classifiers to learn local spatial flatness and curvature relationships drastically enhances universal, cross-generator synthetic image detection</t>
  </si>
  <si>
    <t>Introduces a simple, non-parametric, deterministic 6-channel Flatness-Curvature spatial feature representation that significantly reduces cross-generator overfitting</t>
  </si>
  <si>
    <t>Highlights that heavy vision architectures trained on RGB raw pixels overfit to generator-specific semantics, whereas deterministic spatial structural masking restores high zero-shot transferability</t>
  </si>
  <si>
    <t>Universal binary classification of real vs. AI-generated images by probing reconstruction behavior under diffusion inversion</t>
  </si>
  <si>
    <t>DIFC-Net: A multi-path framework consisting of a Visual Comparator Path (VCP) to model spatial residual discrepancies, a Trajectory Feature Model (TFM) to capture latent diffusion trajectory dynamics, and an Active Capture Fusion (ACF) gating module</t>
  </si>
  <si>
    <t>Custom multi-branch pipeline with Conv-BN-ReLU projections, Squeeze-and-Excitation (SE), Spatial Attention, Cross-Modal Attention (Transformer), and Multi-Head Self-Attention trajectory modeling</t>
  </si>
  <si>
    <t>HYBRID</t>
  </si>
  <si>
    <t>Spatial residual discrepancy maps across original, reconstructed, and noise-perturbed views ($D_{ir}, D_{in}, D_{rn}$)</t>
  </si>
  <si>
    <t>Latent diffusion trajectories during DDIM inversion and VAE latent representations</t>
  </si>
  <si>
    <t>Timestep-wise latent trajectory evolution and cross-modal attention alignment</t>
  </si>
  <si>
    <t>Custom balanced dataset</t>
  </si>
  <si>
    <t>LAION</t>
  </si>
  <si>
    <t>60,000 images (30,000 real, 30,000 fake)</t>
  </si>
  <si>
    <t>10 generator evaluation sets (DALL-E 3, SDXL, SD v1.5, ADM, GLIDE, WuKong, MNW-Adobe, MNW-Image3, MNW-Baidu, BigGAN)</t>
  </si>
  <si>
    <t>10 generators across Diffusion and GAN families (DALL-E 3, SDXL, SD v1.5, ADM, GLIDE, WuKong, Adobe, Image3, Baidu, BigGAN)</t>
  </si>
  <si>
    <t>8,200 images across 10 evaluation sets</t>
  </si>
  <si>
    <t>General natural images (faces, objects, scenes, vegetation)</t>
  </si>
  <si>
    <t>Inversion step length sensitivity ($T=10$ to $150$)</t>
  </si>
  <si>
    <t>AUC (%), Precision (%), Recall (%), F1-Score (%), FPR (%)</t>
  </si>
  <si>
    <t>99.02% AUC / 98.30% F1 on SD v1.5 (close in-distribution)</t>
  </si>
  <si>
    <t>90.29% Mean AUC across 10 unseen generators; F1-scores range from 70.93% (Adobe) to 97.89% (DALL-E 3)</t>
  </si>
  <si>
    <t>Not formally tested under post-processing perturbations in this paper</t>
  </si>
  <si>
    <t>98.83% AUC on DALL-E 3; 98.82% AUC on SDXL; 99.02% AUC on SD v1.5</t>
  </si>
  <si>
    <t>71.63% AUC / 70.93% F1 / 26.86% FPR on MNW-Adobe</t>
  </si>
  <si>
    <t>Performance degrades on highly distinct commercial pipelines like Adobe (71.63% AUC) and BigGAN (81.28% AUC)</t>
  </si>
  <si>
    <t>CNNSpot, F3Net, GramNet, UnivFD, DIRE, SPAI, C2PClip, DMID, DE-Fake, RINE, Fusing, NPR</t>
  </si>
  <si>
    <t>Residual overlay maps, Cross-Modal Attention (CMA) visualizations, fused Grad-CAM decision heatmaps</t>
  </si>
  <si>
    <t>Strong cross-model generalization (90.29% mean AUC) when trained purely on SD v1.4; combines spatial residuals and latent trajectories; robust multi-run stability</t>
  </si>
  <si>
    <t>High computational overhead due to 50-step diffusion inversion ($\mathcal{O}(T)$); lower accuracy on certain non-standard or commercial generators (e.g., Adobe); no explicit post-processing perturbation testing</t>
  </si>
  <si>
    <t>Dependence on stable VAE/DDIM inversion; performance saturation/degradation at higher step counts ($T &gt; 50$)</t>
  </si>
  <si>
    <t>Demonstrates that probing diffusion inversion dynamics (reconstruction residuals + latent trajectories) provides a far more generalizable forensic signal than static pixel artifacts</t>
  </si>
  <si>
    <t>Introduces DIFC-Net, combining spatial residual comparison triplets with temporal latent diffusion trajectories via gated Active Capture Fusion</t>
  </si>
  <si>
    <t>Highlights that single-cue diffusion detectors (e.g., DIRE) miss temporal trajectory dynamics, whereas dual-branch trajectory-discrepancy fusion improves out-of-domain detection stability</t>
  </si>
  <si>
    <t>Binary classification of authentic vs. AI-generated synthetic images across natural, facial, and artistic domains</t>
  </si>
  <si>
    <t>PV-ISM: A custom Patch-Based Vision Transformer architecture utilizing patch extraction, positional encodings, multi-head self-attention blocks, and a dual-logit classification head trained from scratch</t>
  </si>
  <si>
    <t>Custom Vision Transformer (ViT) architecture</t>
  </si>
  <si>
    <t>SPATIAL (PATCH-BASED ATTENTION)</t>
  </si>
  <si>
    <t>Non-overlapping patch tokens with positional embeddings and dense/dropout feature maps</t>
  </si>
  <si>
    <t>Multi-head self-attention spatial artifact context across image patches</t>
  </si>
  <si>
    <t>CIFAKE (Primary); RVF-10K; Art Images</t>
  </si>
  <si>
    <t>CIFAR-10 (CIFAKE); FFHQ (RVF-10K); WikiArt (Art Images)</t>
  </si>
  <si>
    <t>Stable Diffusion v1.4 (CIFAKE); StyleGAN (RVF-10K); Various GANs (Art Images)</t>
  </si>
  <si>
    <t>CIFAKE: 108,000 images (90% training split)</t>
  </si>
  <si>
    <t>CIFAKE, RVF-10K, Art Images</t>
  </si>
  <si>
    <t>CIFAR-10, FFHQ, WikiArt</t>
  </si>
  <si>
    <t>Stable Diffusion v1.4, StyleGAN, Various GANs</t>
  </si>
  <si>
    <t>CIFAKE: 12,000 test images (10% TSP)</t>
  </si>
  <si>
    <t>Natural objects/scenes (CIFAR-10), Human faces (RVF-10K), Artistic paintings (Art Images)</t>
  </si>
  <si>
    <t>CIFAKE: 96.60% Accuracy, 96.70% Precision, 96.23% Recall, 96.61% F1</t>
  </si>
  <si>
    <t>RVF-10K: 81.70% Acc / 81.38% F1; Art Images: 93.16% Acc / 93.66% F1</t>
  </si>
  <si>
    <t>Not evaluated under explicit post-processing noise or compression attacks</t>
  </si>
  <si>
    <t>CIFAKE Test Accuracy: 96.60%; Art Images Recall: 99.09%</t>
  </si>
  <si>
    <t>RVF-10K Accuracy: 69.30% under shallow configurations</t>
  </si>
  <si>
    <t>Performance drops significantly on face datasets (RVF-10K) relative to lower-resolution object datasets (CIFAKE)</t>
  </si>
  <si>
    <t>ResNet50, ResNet101, VGG16, VGG19, DenseNet121, DenseNet169, EfficientNetV2B0, MobileNetV3Small, and literature baselines</t>
  </si>
  <si>
    <t>Loss/Accuracy curves over epochs, symmetric confusion matrix visualizations</t>
  </si>
  <si>
    <t>Outperforms pre-trained ResNet/DenseNet backbones without large-scale pre-training; dual-logit output allows calibrated decision boundaries; validated across 3 diverse domains</t>
  </si>
  <si>
    <t>Lower accuracy on photorealistic human faces (81.70%); lacks explicit post-processing perturbation testing; no zero-shot unseen generator evaluation</t>
  </si>
  <si>
    <t>Hyperparameter sensitivity (patch size vs. network depth); dependence on domain-specific fine-tuning</t>
  </si>
  <si>
    <t>Demonstrates that ViTs trained from scratch can leverage patch-level attention to capture subtle generative artifacts across different modalities</t>
  </si>
  <si>
    <t>Introduces PV-ISM, a custom patch-based Vision Transformer for synthetic media identification trained from scratch with dual-logit output</t>
  </si>
  <si>
    <t>Illustrates that pure self-attention ViT architectures effectively detect synthetic imagery in low-resolution and artistic contexts, but struggle more with photorealistic facial deepfakes</t>
  </si>
  <si>
    <t>Reasoning-based detection, regional localization, and textual explanation of semantic-level fakes (common sense / world knowledge violations) in AI-generated images</t>
  </si>
  <si>
    <t>RADAR: A hybrid framework combining a LoRA-finetuned Multimodal LLM (MiniGPT-v2 / LLaMA-2-7B with EVA vision encoder) and a zero-shot ChatGPT-3.5 assistor to identify, bound, and explain semantic anomalies in images</t>
  </si>
  <si>
    <t>LLaMA-2-7B (LLM) + EVA ViT (Visual Encoder) + ChatGPT-3.5 (Zero-shot Assistor)</t>
  </si>
  <si>
    <t>SEMANTIC (HIGH-LEVEL LOGICAL &amp; PHYSICAL REASONING)</t>
  </si>
  <si>
    <t>Bounding box spatial coordinates ($b \in \mathbb{R}^{L \times 4}$) for localized fake regions</t>
  </si>
  <si>
    <t>High-level world knowledge, physical/biological laws, and causal reasoning representations</t>
  </si>
  <si>
    <t>Grounded natural language textual explanations of semantic errors</t>
  </si>
  <si>
    <t>Spot the Semantic Fake (STSF) Dataset (Training Split)</t>
  </si>
  <si>
    <t>MS-COCO / LLaVA-Instruct-158K prompts</t>
  </si>
  <si>
    <t>SDXL, SDXL-Turbo, Stable Diffusion 3</t>
  </si>
  <si>
    <t>843 images (STSF Train Split)</t>
  </si>
  <si>
    <t>Spot the Semantic Fake (STSF) Dataset (Validation Split)</t>
  </si>
  <si>
    <t>MS-COCO (968 real negative samples)</t>
  </si>
  <si>
    <t>SDXL, SDXL-Turbo, Stable Diffusion 3 (358 semantic fake images)</t>
  </si>
  <si>
    <t>1,157 images (STSF Validation Split)</t>
  </si>
  <si>
    <t>General natural scenes (Physics, Biology, and Common Sense errors)</t>
  </si>
  <si>
    <t>Robustness against adversarial semantic fakes noted as future work</t>
  </si>
  <si>
    <t>Classification AUC / AP (%), Detection AP / AR (%), Text LAVE Score</t>
  </si>
  <si>
    <t>Classification: 81.4% AUC / 82.0% AP; Detection: 35.3% AP / 38.5% AR; Text Generation: 42.1 LAVE</t>
  </si>
  <si>
    <t>Stable cross-category validation performance across Physics (34.5 AP), Biology (30.2 AP), and Others (26.8 AP) splits</t>
  </si>
  <si>
    <t>Not formally tested under post-processing perturbations</t>
  </si>
  <si>
    <t>Classification AP: 82.0% (vs. DIRE 71.2%, RIGID 77.6%); Detection AR: 38.5% (vs. DETR 13.7%)</t>
  </si>
  <si>
    <t>MLLM-only (without ChatGPT Assistor) Detection AP drops to 27.3%; Faster-RCNN Detection AP: 9.4%</t>
  </si>
  <si>
    <t>Severe performance degradation when evaluating MLLM without ChatGPT across unlearned semantic categories (e.g., Biology to Physics AP drops to 11.6%)</t>
  </si>
  <si>
    <t>DIRE, RIGID, Faster-RCNN, DETR</t>
  </si>
  <si>
    <t>Bounding box visualizations overlaying semantic anomalies and natural language descriptions explaining physical/biological inconsistencies</t>
  </si>
  <si>
    <t>Addresses high-level common-sense violations missed by low-level artifact detectors; provides explainable text and regional bounding boxes; leverages ChatGPT to mitigate MLLM overfitting</t>
  </si>
  <si>
    <t>Ineffective on AI images lacking obvious semantic errors (requires low-level complement); limited dataset size (358 semantic fakes); relies on multi-stage pipeline</t>
  </si>
  <si>
    <t>Susceptible to MLLM/LLM hallucinations; subjective nature of "common sense"; lack of perturbation/adversarial testing</t>
  </si>
  <si>
    <t>Shifts forensic paradigm from low-level noise/frequency artifacts to high-level semantic reasoning and explainability</t>
  </si>
  <si>
    <t>Formulates the "Reasoning AI-Generated Image Detection" task; introduces the STSF dataset with regional/textual annotations and the RADAR hybrid MLLM-LLM framework</t>
  </si>
  <si>
    <t>Demonstrates that current generative models frequently fail high-level common-sense logic, and low-level detectors lack the reasoning capacity to capture semantic forgeries</t>
  </si>
  <si>
    <t>Source attribution and open-set rejection of synthetic human face images</t>
  </si>
  <si>
    <t>Proto-LeakNet: Latent feature construction via SD 2.1 VAE with re-simulated forward diffusion, ResNet-18 temporal attention pooling encoder, and feature-weighted prototype attribution head</t>
  </si>
  <si>
    <t>ResNet-18 + Temporal Attention Pooling + Prototype Head</t>
  </si>
  <si>
    <t>LATENT / SPATIO-TEMPORAL</t>
  </si>
  <si>
    <t>Spatial latent features encoded by VAE ($z_0, z_5, z_{10}$)</t>
  </si>
  <si>
    <t>Spectral consistency loss / low-frequency residual signals in latent domain</t>
  </si>
  <si>
    <t>Multi-step diffusion latent residuals ($z_t = \alpha_t z_0 + \sigma_t \epsilon$)</t>
  </si>
  <si>
    <t>Signal-leak bias (low-frequency residual mismatches between data and noise distributions surviving noising)</t>
  </si>
  <si>
    <t>WILD Dataset (Closed-set)</t>
  </si>
  <si>
    <t>None (trained solely on closed-set synthetic data)</t>
  </si>
  <si>
    <t>Adobe Firefly, DALL-E 3, FLUX.1, FLUX 1.1 Pro, Freepik, Leonardo AI, Midjourney, Stable Diffusion 3.5, Stable Diffusion XL, StarryAI</t>
  </si>
  <si>
    <t>5,000 images (500 per generator)</t>
  </si>
  <si>
    <t>WILD (Closed, Post-Processed, Open), Partial Manipulation Dataset, CelebA-HQ, FFHQ, ImageNet, External SD models</t>
  </si>
  <si>
    <t>FFHQ (5,000 images), CelebA-HQ (30,000 images), ImageNet (50,000 images)</t>
  </si>
  <si>
    <t>Closed: 10 generators; Open: DALL-E 1, DeepAI, HotpotAI, NVIDIA Sana, Stable Cascade, SD Attend&amp;Excite, StyleGAN, StyleGAN2, StyleGAN3, Tencent Hunyuan, SD 1.5, SD 2.1, Z-Turbo; Editing: FLUX.1-Kontext, Qwen2-VL, GLM-Image, Instruct-Pix2Pix</t>
  </si>
  <si>
    <t>3,000 test images (WILD Closed); 10,000 images (WILD Open); 25,000 images (Partial Manipulation)</t>
  </si>
  <si>
    <t>Human faces / Synthetic faces / Localized facial editing</t>
  </si>
  <si>
    <t>Cropping, rotation, photometric changes, grayscale conversion, super-resolution</t>
  </si>
  <si>
    <t>Accuracy, Macro AUC, Top-1 Accuracy, EER, OVL, FPR@95</t>
  </si>
  <si>
    <t>Closed-set Macro AUC: 98.13%; Top-1 Accuracy: 82.60%</t>
  </si>
  <si>
    <t>Open-set Rejection: 100.00% AUC, 0.00 EER, 0.00 OVL, 0.00 FPR@95; Extended Real Class Macro AUC: 97.35%; External SD Models Rejection: 100.0% AUC</t>
  </si>
  <si>
    <t>Step 1 Post-Processed Macro AUC: 96.14% (Top-1: 75.89%); Step 2: 94.62% (Top-1: 74.51%); Step 3: 92.25% (Top-1: 69.52%)</t>
  </si>
  <si>
    <t>Open-set rejection across unseen generators and real datasets: 100.00% AUC, 0.00 EER</t>
  </si>
  <si>
    <t>Partial Manipulation Dataset Macro AUC: 80.21% (due to sparse/localized edits retaining real content)</t>
  </si>
  <si>
    <t>Performance drops from 98.13% Macro AUC on raw images to 80.21% on localized facial edits; Top-1 accuracy drops under compound post-processing (Step 3: 69.52%)</t>
  </si>
  <si>
    <t>EfficientNet B4, XceptionNet, ResNet50, FreqNet, SuSy, LatentTracer, OCC-CLIP, NPR, LATTE, OWDFA-CAL</t>
  </si>
  <si>
    <t>Three-level interpretability hierarchy: feature-wise gating ($w$), temporal attention weights ($a_t$), prototype responsibilities ($\pi_{c,m}$), layer-wise t-SNE/UMAP visualizations</t>
  </si>
  <si>
    <t>Explicit modeling of temporal diffusion latent residuals; highly robust under post-processing degradation; strong unsupervised open-set rejection via density estimation (KDE); 3-level transparent interpretability</t>
  </si>
  <si>
    <t>Reliance on pretrained Stable Diffusion VAE for latent extraction; evaluation primarily focused on face-centric imagery; drop in performance on highly localized/sparse edits</t>
  </si>
  <si>
    <t>Dependence on VAE mapping stability under extreme domain shifts or alternative generative paradigms (e.g., pure autoregressive)</t>
  </si>
  <si>
    <t>Proves that latent signal-leak bias in diffusion models forms a stable, generator-specific fingerprint for robust attribution and OOD rejection</t>
  </si>
  <si>
    <t>Introduces Proto-LeakNet combining multi-step latent diffusion residuals, temporal attention pooling, and prototype learning for interpretable deepfake attribution and open-set rejection</t>
  </si>
  <si>
    <t>Demonstrates how temporal dynamics and residual signal-leak in diffusion latent space overcome the fragility of pixel/frequency artifacts under heavy post-processing</t>
  </si>
  <si>
    <t>Structured extraction completed based on paper R0228.</t>
  </si>
  <si>
    <t>Detection of synthetic images and localized generative manipulations across state-of-the-art generators without relying on compression or resolution artifacts</t>
  </si>
  <si>
    <t>Two-stage training pipeline (stage 1 MLP warm-up on full generations with EBM loss; stage 2 joint fine-tuning on subtle manipulations with EBM + triplet loss) combined with a PRISM training protocol matching resolution and JPEG quality factors</t>
  </si>
  <si>
    <t>ConvNeXt (or DINOv2-B backbone) + MLP head</t>
  </si>
  <si>
    <t>DEEP_LEARNING / CONTRASTIVE / ENERGY_BASED</t>
  </si>
  <si>
    <t>Multi-crop global-local spatial feature embeddings extracted via ConvNeXt</t>
  </si>
  <si>
    <t>Evaluated via low-pass and high-pass frequency filtering cutoffs</t>
  </si>
  <si>
    <t>Image representations extracted from pre-trained ConvNeXt / DINOv2 backbones</t>
  </si>
  <si>
    <t>Latent space image-to-image reverse diffusion process initialized at strength $\alpha$</t>
  </si>
  <si>
    <t>Multi-crop global-local view averaging</t>
  </si>
  <si>
    <t>PRISM Training Split</t>
  </si>
  <si>
    <t>COCO2017 test split (40,000 real images)</t>
  </si>
  <si>
    <t>EpicPhotogasm (SD1.5-based), JuggernautX (SDXL-based)</t>
  </si>
  <si>
    <t>200,000 images (40k real + 160k generated at subtle and full levels)</t>
  </si>
  <si>
    <t>PRISM Test Set, DRCT-2M, GenImage</t>
  </si>
  <si>
    <t>COCO2017 validation split (5,000 real images)</t>
  </si>
  <si>
    <t>PRISM Test: RealisticVisionV6, Cyberrealistic, RealVisXL, CyberrealisticXL, PixArt-$\alpha$, SD3.5, FLUX, SANA; DRCT-2M Test: SD1.4, SD1.5, SD2.1, SDXL B., SDXL R., SD1.5 Turbo, SDXL Turbo, ControlNet SD1.5/SD2.1/SDXL, LCM LoRA SD1.5/SDXL; GenImage Test: ADM, BigGAN, Glide, Midjourney, SD1.4, SD1.5, VQDM, Wukong</t>
  </si>
  <si>
    <t>PRISM Test: 125,000 images (5k real + 120k generated across 8 GMs and 3 manipulation levels); FLUX compression/resolution analysis: 500 images per experiment</t>
  </si>
  <si>
    <t>General content / Photorealistic natural scenes (COCO)</t>
  </si>
  <si>
    <t>Frequency filtering (low-pass, high-pass)</t>
  </si>
  <si>
    <t>Accuracy</t>
  </si>
  <si>
    <t>Full Generation Average Accuracy on PRISM: 96.6%</t>
  </si>
  <si>
    <t>Subtle Manipulation Avg Accuracy on PRISM: 94.1%; Partial Manipulation Avg Accuracy on PRISM: 94.9%; GenImage Cross-Dataset Avg Accuracy: 90.3% (SOTA); DRCT-2M Cross-Dataset Avg Accuracy: 97.4%</t>
  </si>
  <si>
    <t>Stable performance across JPEG quality factors (50–100) and varying resolutions</t>
  </si>
  <si>
    <t>99.2% Accuracy on PRISM Full Generations for RealisticVisionV6 / RealVisXL; 99.0% on DRCT-2M SD2.1; 96.1% on GenImage Midjourney</t>
  </si>
  <si>
    <t>80.9% Accuracy on GenImage VQDM; 81.3% Accuracy on PRISM Subtle FLUX</t>
  </si>
  <si>
    <t>Performance drops to 81.3% accuracy on subtle manipulations generated by 16-channel DiT model FLUX, and 89.4% on SANA full generations</t>
  </si>
  <si>
    <t>Ojha et al., FatFormer, RINE, C2P-CLIP, AEROBLADE, RIGID, CoDE, DRCT, SPAI, VIB-Net, AlignedForensics, Stay-Positive, B-Free</t>
  </si>
  <si>
    <t>Addresses dataset shortcuts/biases (resolution and JPEG compression alignment); introduces multi-level image manipulation benchmark (subtle, partial, full); demonstrates high generalization across modern DiTs and unseen generators</t>
  </si>
  <si>
    <t>Subtle manipulations with 16-channel autoencoders (e.g., FLUX) remain challenging; evaluation focused primarily on photorealistic imagery rather than non-photorealistic artistic styles</t>
  </si>
  <si>
    <t>Potential degradation on non-photorealistic/stylized imagery (cartoons, illustrations) not yet covered in the dataset</t>
  </si>
  <si>
    <t>Demonstrates that eliminating low-level dataset biases and training on multi-level manipulations forces detectors to rely on intrinsic generative artifacts, drastically improving cross-model and cross-dataset generalization</t>
  </si>
  <si>
    <t>Introduces PRISM benchmark matching resolution/compression distributions across three manipulation levels, alongside a simple baseline that achieves SOTA cross-dataset detection performance</t>
  </si>
  <si>
    <t>Highlights that existing benchmarks introduce unintended resolution and JPEG compression shortcuts, causing prior state-of-the-art detectors to fail on realistic and subtle image edits</t>
  </si>
  <si>
    <t>Systematic empirical evaluation of intra-model and cross-model source mismatch, quantifying performance degradation under hyperparameter, VAE, scheduler, fine-tuning, and post-processing variations</t>
  </si>
  <si>
    <t>Empirical evaluation using EfficientNetV2 and DaViT trained with curriculum learning and data augmentation, alongside evaluation of 3 mitigation strategies: Holistic, Atomistic, and Softmax-Weighted Classifier Aggregation</t>
  </si>
  <si>
    <t>EfficientNetV2-Small and Dual Vision Transformer (DaViT)</t>
  </si>
  <si>
    <t>DEEP_LEARNING / SPATIO-TEMPORAL</t>
  </si>
  <si>
    <t>Deep spatial features extracted via pretrained EfficientNetV2 and DaViT</t>
  </si>
  <si>
    <t>Pretrained ImageNet representations</t>
  </si>
  <si>
    <t>Noise covariance and interpolation/sampling residuals</t>
  </si>
  <si>
    <t>Custom Generated Datasets (10,000 training images per source/configuration)</t>
  </si>
  <si>
    <t>ALASKA / ALASKA2 dataset of genuine photographs</t>
  </si>
  <si>
    <t>FLUX.1 schnell, Stable Diffusion 3, SD XL Turbo, Wuerstchen, Kandinsky v2.2, LCM-LoRA SDXL Turbo, DreamBooth SDXL, FLUX.1 fine-tunes</t>
  </si>
  <si>
    <t>~10,000 images per source configuration</t>
  </si>
  <si>
    <t>Custom Evaluation Datasets (2,000 test images per source/configuration)</t>
  </si>
  <si>
    <t>ALASKA2 dataset</t>
  </si>
  <si>
    <t>FLUX.1 schnell, Stable Diffusion 3, SD XL Turbo, Wuerstchen, Kandinsky 2.2, fine-tuned variants, alternative VAEs, alternative noise schedulers</t>
  </si>
  <si>
    <t>2,000 images per test condition</t>
  </si>
  <si>
    <t>General content / Photorealistic natural scenes</t>
  </si>
  <si>
    <t>Intrinsic Error Rates (matched train/test): 0.61% to 2.35% across models</t>
  </si>
  <si>
    <t>Cross-model mismatch error rates rise up to 31.76% (SD XL Turbo trained, SD3 tested); post-processing mismatch error rates rise up to 27.98% (JPEG 60)</t>
  </si>
  <si>
    <t>Error rates remain low under fine-tuning (0.78%–3.51%), prompt variations (0.98%–1.35%), and most scheduler changes (0.81%–5.87%)</t>
  </si>
  <si>
    <t>Weighted multi-classifier mitigation achieves 0.47%–1.25% error rate across cross-model sources</t>
  </si>
  <si>
    <t>SD XL Turbo trained model tested on SD3 yields 31.76% error rate; JPEG 60 compression yields 27.98% error rate</t>
  </si>
  <si>
    <t>Model trained on SD XL Turbo drops to 31.76% error rate when tested on SD3; Corvi et al. detector drops to 7.79% accuracy when VAE or diffusion steps are altered</t>
  </si>
  <si>
    <t>Corvi et al. (2023)</t>
  </si>
  <si>
    <t>Detection of facial manipulation and DeepFakes by capturing midfrequency geometry details via 3D reconstruction and manifold distillation</t>
  </si>
  <si>
    <t>FD2Former: 3D face reconstruction using FLAME to extract displacement maps representing person-specific and expression-dependent details, combined with face images into a MetaFormer-style pooling transformer trained via fine-grained manifold distillation from a Swin-Transformer teacher</t>
  </si>
  <si>
    <t>ResNet (feature extractor) + MetaFormer / PoolFormer backbone (24 blocks, pooling token mixer)</t>
  </si>
  <si>
    <t>SPATIO-TEMPORAL</t>
  </si>
  <si>
    <t>Cropped face RGB features and UV-space displacement map geometry features</t>
  </si>
  <si>
    <t>Midfrequency facial geometry details (wrinkles, expression-dependent details) in UV space</t>
  </si>
  <si>
    <t>High-level facial appearance and movement features from ResNet</t>
  </si>
  <si>
    <t>3D FLAME mesh reconstruction and displacement map $D=F_d(\theta_{jaw}, \psi, \delta)$</t>
  </si>
  <si>
    <t>Eye blinks, mouth movements, pose, dynamic facial expression details</t>
  </si>
  <si>
    <t>FaceForensics++ (FF++)</t>
  </si>
  <si>
    <t>Original FF++ videos (1,000 real videos)</t>
  </si>
  <si>
    <t>DeepFakes (DF), FaceSwap (FS), Face2Face (F2F), NeuralTextures (NT)</t>
  </si>
  <si>
    <t>270 frames per training video, 100 frames per test video</t>
  </si>
  <si>
    <t>FaceForensics++ (FF++ LQ/HQ), DeepFake Detection Challenge (DFDC), Celeb-DF</t>
  </si>
  <si>
    <t>Original videos from FF++, DFDC, and Celeb-DF</t>
  </si>
  <si>
    <t>DF, FS, F2F, NT, DFDC manipulated videos, Celeb-DF synthesized videos</t>
  </si>
  <si>
    <t>123,546 videos (DFDC), 1,203 videos (Celeb-DF), 5,000 videos (FF++)</t>
  </si>
  <si>
    <t>Human faces / Facial forgery</t>
  </si>
  <si>
    <t>Low quality video compression (LQ / c40) evaluated in FF++</t>
  </si>
  <si>
    <t>Accuracy (ACC), Area Under Curve (AUC)</t>
  </si>
  <si>
    <t>FF++ (LQ) ACC: 82.73%; FF++ (HQ) AUC: 98.94% (DF), 98.12% (F2F), 99.27% (FS), 94.62% (NT)</t>
  </si>
  <si>
    <t>Celeb-DF AUC: 79.2%; DFDC AUC: 73.6%</t>
  </si>
  <si>
    <t>FF++ (LQ heavily compressed) ACC: 82.73%</t>
  </si>
  <si>
    <t>Celeb-DF AUC: 79.2%; DFDC ACC: 86.72%</t>
  </si>
  <si>
    <t>Cross-manipulation AUC drops to 69.17% when trained on DF and tested on F2F</t>
  </si>
  <si>
    <t>Cross-method generalization drops when trained on a single forgery method (e.g., DF trained tested on F2F yields 69.17% AUC)</t>
  </si>
  <si>
    <t>Xception, Face X-ray, EfficientNetB4 Ensemble, CVIT</t>
  </si>
  <si>
    <t>Lightweight architecture using pooling token mixers; strong performance on heavily compressed (LQ) videos; effective use of 3D facial geometry details</t>
  </si>
  <si>
    <t>Reliance on 3D face reconstruction preprocessing; performance drop on cross-dataset evaluation (DFDC/Celeb-DF) relative to in-domain</t>
  </si>
  <si>
    <t>Potential failure if 3D reconstruction/FLAME fitting fails due to extreme head poses or heavy occlusions</t>
  </si>
  <si>
    <t>Highlights that 3D geometric surface details (displacement maps) provide complementary forgery clues to RGB appearance</t>
  </si>
  <si>
    <t>Proposes 3D face displacement map extraction for forgery detection and fine-grained manifold distillation for lightweight MetaFormer student models</t>
  </si>
  <si>
    <t>Shows that RGB texture cues alone are fragile under heavy video compression, whereas 3D geometric displacement features remain robust</t>
  </si>
  <si>
    <t>Structured extraction completed directly from paper R0275.</t>
  </si>
  <si>
    <t>FRAME</t>
  </si>
  <si>
    <t>Real-time detection of high-fidelity deepfakes and face forgeries during video conferencing using generative adversarial structures</t>
  </si>
  <si>
    <t>CED-DCGAN: Deep Conditional Generative Adversarial Network integrated with a Compact Ensemble Discriminator (combining DenseNet-121 and ResNet-101 feature maps)</t>
  </si>
  <si>
    <t>DenseNet-121 + ResNet-101 (Ensemble Discriminator) + CGCNN (Face detection/frame extraction)</t>
  </si>
  <si>
    <t>Extracted facial region spatial feature maps (2048-dimensional concatenated vector from DenseNet &amp; ResNet)</t>
  </si>
  <si>
    <t>Spectral/up-sampling anomalies generated during GAN image synthesis</t>
  </si>
  <si>
    <t>Facial appearance and landmark alignment characteristics</t>
  </si>
  <si>
    <t>Conditional generator latent representations</t>
  </si>
  <si>
    <t>Blinking patterns, lip movements, skin textures, temporal inconsistencies in head posture/lighting</t>
  </si>
  <si>
    <t>CelebA-HQ + FaceForensics++ (FF++)</t>
  </si>
  <si>
    <t>CelebA-HQ real images + FF++ real video frames (400 real videos total)</t>
  </si>
  <si>
    <t>DCGAN / GAN-based facial generators, FaceSwap, Face2Face, DeepFakes, NeuralTextures</t>
  </si>
  <si>
    <t>1,000 video sequences (700 CelebA-HQ based, 300 FF++ based)</t>
  </si>
  <si>
    <t>CelebA-HQ + FaceForensics++</t>
  </si>
  <si>
    <t>CelebA-HQ &amp; FF++ real videos</t>
  </si>
  <si>
    <t>GAN-generated face images / manipulated video streams</t>
  </si>
  <si>
    <t>500 test images</t>
  </si>
  <si>
    <t>Human faces / Video conferencing streams</t>
  </si>
  <si>
    <t>Robustness against frame corruption/data streaming tested during preprocessing</t>
  </si>
  <si>
    <t>Accuracy, Precision, Sensitivity (Recall), Specificity, F1-Score, Mean Squared Error (MSE)</t>
  </si>
  <si>
    <t>Accuracy: 98.23% - 98.546%, Precision: 97.578%, Sensitivity: 97.986%, Specificity: 96.982%, F1-Score: 98.039%</t>
  </si>
  <si>
    <t>Cross-dataset generalizability claimed across CelebA-HQ and FaceForensics++ benchmarks</t>
  </si>
  <si>
    <t>Not explicitly evaluated under severe compression or post-processing variations</t>
  </si>
  <si>
    <t>98.546% overall detection accuracy on combined evaluation test sets</t>
  </si>
  <si>
    <t>MSE of 0.23677 on synthesized sample quality</t>
  </si>
  <si>
    <t>Mode collapse/instability in traditional single-discriminator DCGAN setups without ensemble feedback</t>
  </si>
  <si>
    <t>SS-GAN, AGAN, DCGAN, NILM-GAN, 3DCNN, DICNN, BFLDL, HASSO</t>
  </si>
  <si>
    <t>High real-time classification accuracy (98.23%); effective ensemble of DenseNet and ResNet feature maps; addresses GAN mode collapse/stability via dual generator and ensemble feedback</t>
  </si>
  <si>
    <t>Audio cues excluded; limited evaluation against non-GAN architectures (e.g., Diffusion models, Transformers); black-box nature</t>
  </si>
  <si>
    <t>Lack of evaluation on unseen generative families like Diffusion or Autoregressive models</t>
  </si>
  <si>
    <t>Demonstrates that ensembling complementary discriminators (DenseNet + ResNet) enhances real-time deepfake detection in video streaming environments</t>
  </si>
  <si>
    <t>Proposes CED-DCGAN active forensic framework combining conditional GANs with ensemble discriminators for streaming video forgery detection</t>
  </si>
  <si>
    <t>Highlights the shortfall of single-discriminator models in providing adequate learning signals for detecting high-quality real-time deepfakes</t>
  </si>
  <si>
    <t>Extracted structured data directly from paper R0309.</t>
  </si>
  <si>
    <t>Generalizable deepfake detection across diverse GAN and Diffusion-generated synthetic imagery using vision-language multimodal alignment</t>
  </si>
  <si>
    <t>DeepfakeCLIP: Object-independent semantically opposite prompt learning for CLIP with global/local context optimization and a textual embedding refinement module</t>
  </si>
  <si>
    <t>CLIP (ViT-L/14@224px) vision-language architecture</t>
  </si>
  <si>
    <t>MULTIMODAL / DEEP_LEARNING</t>
  </si>
  <si>
    <t>Joint image-text feature embedding representations</t>
  </si>
  <si>
    <t>Object-independent global/local textual prompt semantics</t>
  </si>
  <si>
    <t>Textual-visual feature space alignment and prompt distance maximization</t>
  </si>
  <si>
    <t>ForenSynths (ProGAN subset across 4 categories)</t>
  </si>
  <si>
    <t>LSUN dataset (cars, cats, chairs, horses)</t>
  </si>
  <si>
    <t>144,000 images total (18,000 real and 18,000 fake per category across 4 categories)</t>
  </si>
  <si>
    <t>Cross-GAN-Sources &amp; Cross-Diffusion-Sources test sets</t>
  </si>
  <si>
    <t>LSUN, ImageNet, CelebA, CelebA-HQ, COCO, FaceForensics++, LAION</t>
  </si>
  <si>
    <t>ProGAN, StyleGAN, StyleGAN2, BigGAN, CycleGAN, StarGAN, GauGAN, Deepfake, ADM, Glide, DALL-E-mini, LDM</t>
  </si>
  <si>
    <t>Heterogeneous test evaluation images</t>
  </si>
  <si>
    <t>General content (photorealistic natural scenes, objects, facial images)</t>
  </si>
  <si>
    <t>Mean Accuracy (Mean Acc.), Mean Average Precision (Mean A.P.)</t>
  </si>
  <si>
    <t>ProGAN Acc: 99.5%, A.P.: 100.0%</t>
  </si>
  <si>
    <t>Cross-GAN Mean Acc: 92.9%, Mean A.P.: 98.5%; Cross-Diffusion Mean Acc: 89.5%, Mean A.P.: 97.7%</t>
  </si>
  <si>
    <t>Strong robustness maintained under JPEG quality (90, 70, 50) and Gaussian blur (sigma 1, 2)</t>
  </si>
  <si>
    <t>98.5% Mean A.P. on Cross-GAN and 97.7% Mean A.P. on Cross-Diffusion</t>
  </si>
  <si>
    <t>Deepfake dataset Acc: 81.4%; LDM_200_cfg Acc: 78.1%</t>
  </si>
  <si>
    <t>Lower accuracy observed on specific deepfake face swaps (81.4%) and conditioned diffusion outputs (78.1%)</t>
  </si>
  <si>
    <t>CNNDetection, Frank, Durall, Patchfor, F3Net, SelfBland, BIHPF, GANDetection, FrePGAN, LGrad, Ojha et al., Khan et al., NPR</t>
  </si>
  <si>
    <t>Object-agnostic prompt template design prevents class-redefinition; joint local/global loss ensures clear separation of synthetic/real distributions; zero overhead during inference (only image encoder needed)</t>
  </si>
  <si>
    <t>Slight accuracy degradation on specific conditioned diffusion models and face-swap datasets</t>
  </si>
  <si>
    <t>Dependence on pre-trained CLIP backbone representations</t>
  </si>
  <si>
    <t>Demonstrates how vision-language models can achieve high universal AIGI detection via semantic prompt tuning</t>
  </si>
  <si>
    <t>Integrates semantic-opposite prompt learning and textual space refinement to advance zero-shot multimodal deepfake detection</t>
  </si>
  <si>
    <t>Addresses the limitation of prior CLIP-based detectors that underutilized text-side prompt tuning and textual alignment</t>
  </si>
  <si>
    <t>Structured extraction completed directly from paper R0325.</t>
  </si>
  <si>
    <t>Detect diverse computer vision singularities (adversarial perturbations, 2D/3D physical presentation attacks, GAN synthetic images, digital retouching, and deepfakes)</t>
  </si>
  <si>
    <t>WiW (Wavelet-in-Wavelet): Parameter-agnostic stacked combination of Redundant Discrete Wavelet Transform (RDWT) and Discrete Wavelet Transform (DWT) with a linear SVM classifier</t>
  </si>
  <si>
    <t>Parameter-free stacked RDWT + DWT layers + Linear SVM</t>
  </si>
  <si>
    <t>FREQUENCY / HANDCRAFTED</t>
  </si>
  <si>
    <t>Multi-scale, multi-orientation high- and low-frequency wavelet sub-band coefficients</t>
  </si>
  <si>
    <t>Local Moiré artifacts, high-frequency edge perturbations, and multi-resolution frequency domain anomalies</t>
  </si>
  <si>
    <t>MNIST, CIFAR-10, CIFAR-100, SVHN, ImageNet, MEDS, Multi-PIE, MSU-USSA, SMAD, CelebA-StarGAN, Retouched Faces</t>
  </si>
  <si>
    <t>MNIST, CIFAR, SVHN, ImageNet, MEDS, Multi-PIE, MSU-USSA, SMAD, CelebA, Retouched dataset</t>
  </si>
  <si>
    <t>PGD, IFGSM, CW, EAD, UAP, F3, StarGAN, 2D photo/video spoofs, 3D silicone masks, PortraitPro retouching</t>
  </si>
  <si>
    <t>Varies by dataset (e.g., 32,000 for StarGAN large protocol; 2,500 for small protocol)</t>
  </si>
  <si>
    <t>MNIST, CIFAR-10, CIFAR-100, SVHN, ImageNet, MEDS, Multi-PIE, MSU-USSA, SMAD, CelebA-StarGAN, Deepfake TIMIT</t>
  </si>
  <si>
    <t>Original validation/test sets of respective benchmarks</t>
  </si>
  <si>
    <t>PGD, IFGSM, CW, EAD, UAP, F3, StarGAN, 2D/3D presentation attacks, GAN Deepfakes</t>
  </si>
  <si>
    <t>Varies per dataset (e.g., 150k for ImageNet, 320 videos for Deepfake TIMIT)</t>
  </si>
  <si>
    <t>Objects, Numbers, Human Faces</t>
  </si>
  <si>
    <t>Resiliency tested under secondary reduced-strength perturbation attacks</t>
  </si>
  <si>
    <t>Detection Accuracy (%), AUC Score, APCER (%), EER (%)</t>
  </si>
  <si>
    <t>100.0% Acc on MNIST PGD; 99.5% Acc on StarGAN (large samples); 95.8% Acc on Retouching</t>
  </si>
  <si>
    <t>83.6% Acc on unseen Deepfake TIMIT when trained only on digital retouching</t>
  </si>
  <si>
    <t>Resilient to secondary reduced-strength adversarial attacks (retains high detection while attack loses fooling rate)</t>
  </si>
  <si>
    <t>100.0% Detection Accuracy on MNIST PGD; 99.8% Acc on Multi-PIE GoogLeNet UAP</t>
  </si>
  <si>
    <t>82.56% AUC on CIFAR-100 JSMA; 8.4% EER on 3D Mask PAD</t>
  </si>
  <si>
    <t>Performance drops slightly on small-scale/low-resolution multi-class object datasets (e.g., CIFAR-100 JSMA at 82.56% AUC)</t>
  </si>
  <si>
    <t>ANR, BU, ODIN, CNN-R, ESRM, FIM, NNIF, ML-LOO, PML-LPQ, Supervised/Unsupervised DBM, Deep Dictionary, fine-tuned VGG/ResNet</t>
  </si>
  <si>
    <t>Parameter-agnostic (no learnable weights in feature extractor); highly computationally efficient (green computing); strong zero-shot generalization across diverse attack modalities</t>
  </si>
  <si>
    <t>Tested primarily on traditional GANs, adversarial noise, and physical attacks; lack of evaluation on modern Diffusion or Autoregressive models</t>
  </si>
  <si>
    <t>Assumes high-frequency wavelet sub-bands consistently capture artificial anomalies across evolving generation techniques</t>
  </si>
  <si>
    <t>Proves that parameter-free frequency domain stacked transformations can serve as effective, energy-efficient universal anomaly detectors</t>
  </si>
  <si>
    <t>Introduces the parameter-agnostic WiW architecture combining RDWT and DWT to detect adversarial, physical, digital, and synthetic singularities</t>
  </si>
  <si>
    <t>Highlights the over-reliance on heavy, energy-demanding neural network backbones for simple binary anomaly detection tasks</t>
  </si>
  <si>
    <t>Extracted structured forensic data directly from paper R0345.</t>
  </si>
  <si>
    <t>Training-free binary real-vs-AI-generated image detection via physical (ISP) consistency</t>
  </si>
  <si>
    <t>PhyTrace: emulate camera ISP remapping (gamma compression, colour correction, white balance, demosaicing) and measure frozen-backbone feature similarity between image and its ISP-remapped version; real images stay stable, AI images shift</t>
  </si>
  <si>
    <t>Frozen DINOv2 ViT-g/14 (also VGG16, ResNet50, CLIP-B, MAE-B, SigLIP-B, SAM2-B, i-JEPA-H, DINOv3-H in ablation); no trainable parameters</t>
  </si>
  <si>
    <t>SPATIAL + OTHER (PHYSICAL/ISP CONSISTENCY)</t>
  </si>
  <si>
    <t>Frozen DINOv2 embeddings of original vs ISP-remapped image (feature-shift similarity score)</t>
  </si>
  <si>
    <t>Physical imaging-pipeline (ISP) response: radiometric, colour-correction, white-balance and demosaicing consistency</t>
  </si>
  <si>
    <t>None (training-free); optional real-only threshold calibration on ImageNet-real or LSUN-Bedroom-real</t>
  </si>
  <si>
    <t>N/A (real-only calibration set for optional threshold)</t>
  </si>
  <si>
    <t>0 (training-free)</t>
  </si>
  <si>
    <t>DGM-style ImageNet and LSUN-Bedroom benchmarks; GenImage subsets; MIT FiveK and PIQ2023 (real-only false-alarm check); Snopes real-world misinformation images</t>
  </si>
  <si>
    <t>ImageNet; LSUN-Bedroom; GenImage real; MIT FiveK RAW/DSLR; PIQ2023 smartphone</t>
  </si>
  <si>
    <t>ImageNet: ADM, ADMG, BigGAN, GigaGAN, StyleGAN-XL, RQ-Transformer, MaskGIT; LSUN-Bedroom: ADM, DDPM, iDDPM, Diffusion-Projected GAN, Projected GAN, StyleGAN, Unleashing Transformer; GenImage: SD1.4, SD1.5, Midjourney, Wukong (18 test sets)</t>
  </si>
  <si>
    <t>NR per set (generators trained on 100k real images per dataset)</t>
  </si>
  <si>
    <t>General objects/scenes (ImageNet), bedrooms (LSUN), general web imagery (GenImage), real-world misinformation images</t>
  </si>
  <si>
    <t>Five severity levels each of Gaussian noise, JPEG (q90-50) and Gaussian blur; camera-parameter variation (9 camera ISP profiles); qualitative Snopes social-media misinformation test</t>
  </si>
  <si>
    <t>AUC; AP; Balanced accuracy (threshold calibration); FLOPs/latency</t>
  </si>
  <si>
    <t>N/A (training-free; no in-domain split)</t>
  </si>
  <si>
    <t>ImageNet benchmark: AUC 81.98%, AP ~84.4% (+15.44 AP over best supervised CNNSpot 68.95%); LSUN-Bedroom AP ~89.1% (+3.18 over CNNSpot 85.88%); ImageNet mAUC +10.27 and mAP +13.69 over second-best FSD; competitive on GenImage MJ/SD1.4/SD1.5/Wukong</t>
  </si>
  <si>
    <t>Stable AP across 5 levels of noise, JPEG and blur versus large fluctuations for CNNSpot/DMimageDetection; slight decline on StyleGAN-XL under severe blur</t>
  </si>
  <si>
    <t>Training-free detector exceeds supervised and few-shot baselines on 18 generator test sets spanning GAN, diffusion and transformer families</t>
  </si>
  <si>
    <t>Absolute ImageNet AUC remains only ~82%; performance strongly depends on backbone (CLIP-B 53.7%, MAE-B 51.2% AUC)</t>
  </si>
  <si>
    <t>Baselines (CNNSpot, DIRE, DMimageDetection, AEROBLADE) degrade sharply cross-family/cross-dataset; PhyTrace itself shows moderate absolute AUC and backbone sensitivity</t>
  </si>
  <si>
    <t>CNNSpot; GANDET; DMimageDetection; DIRE; AlignedForensics; Stay-Positive; FSD; AEROBLADE; FreDect; LGrad; NPR (Snopes)</t>
  </si>
  <si>
    <t>YES (feature-shift visualisation and physical interpretation of ISP modules)</t>
  </si>
  <si>
    <t>Training-free and model-agnostic; physically motivated cue; 18 test sets across three generator families; real-camera false-alarm check; robustness at multiple severities; efficient inference</t>
  </si>
  <si>
    <t>Moderate absolute AUC/AP; no resize/social-platform re-encoding protocol beyond qualitative Snopes; no adversarial evaluation; depends on strong frozen backbone</t>
  </si>
  <si>
    <t>All test samples re-encoded as JPEG for GenImage comparisons; ISP emulation parameters drawn from limited camera pool; Snopes evaluation qualitative</t>
  </si>
  <si>
    <t>High: offers a generator-independent, training-free physical-consistency cue that transfers across GAN, diffusion and autoregressive generators</t>
  </si>
  <si>
    <t>Represents an emerging physics/ISP-based training-free paradigm that avoids generator-specific training data</t>
  </si>
  <si>
    <t>Need training-free cues with higher absolute accuracy, adversarial robustness and validation on platform-processed and post-edited images</t>
  </si>
  <si>
    <t>Binary computer-generated/AI-generated vs natural photograph detection</t>
  </si>
  <si>
    <t>Four-branch model: DINO ViT and CLIP ViT global embeddings + forensic branch (FFT phase, noise residual) + hand-crafted feature branch, fused by cross-attention; trained with CE + augmentation-invariant + centre + supervised contrastive losses; multi-scale and TTA inference</t>
  </si>
  <si>
    <t>DINO ViT + CLIP ViT (fine-tuned at low LR) + CNN forensic/hand-crafted branches + cross-attention fusion</t>
  </si>
  <si>
    <t>SPATIAL + FREQUENCY + SEMANTIC + NOISE</t>
  </si>
  <si>
    <t>DINO ViT embeddings; hand-crafted texture/statistical cues</t>
  </si>
  <si>
    <t>FFT phase features in forensic branch</t>
  </si>
  <si>
    <t>CLIP ViT image embeddings</t>
  </si>
  <si>
    <t>Noise residual entropy features</t>
  </si>
  <si>
    <t>GenImage SD1.4 subset; CIFAKE; PRCG (each trained separately); per-generator GenImage subsets for cross-generator matrix</t>
  </si>
  <si>
    <t>ImageNet (GenImage); CIFAR-10 (CIFAKE); Google photographs (PRCG)</t>
  </si>
  <si>
    <t>SD1.4 (main GenImage); SD1.4/ADM/VQDM/GLIDE/BigGAN individually for cross-generator matrix; Stable Diffusion (CIFAKE); 3D rendering software (PRCG)</t>
  </si>
  <si>
    <t>GenImage per generator 168k real + 168k fake split 80:10:10; CIFAKE 50k+50k train; PRCG 800+800 split 80:10:10</t>
  </si>
  <si>
    <t>Held-out splits of GenImage SD1.4, CIFAKE, PRCG; GenImage SD1.4/ADM/VQDM/GLIDE/BigGAN cross-generator matrix</t>
  </si>
  <si>
    <t>ImageNet; CIFAR-10; Google photographs</t>
  </si>
  <si>
    <t>SD1.4, ADM, VQDM, GLIDE, BigGAN; Stable Diffusion (CIFAKE); CG rendering tools (PRCG)</t>
  </si>
  <si>
    <t>GenImage SD1.4 test 16,800+16,800; CIFAKE 10k+10k; PRCG 80+80</t>
  </si>
  <si>
    <t>General ImageNet objects; CIFAR-10 low-resolution objects; photorealistic CG scenes</t>
  </si>
  <si>
    <t>Colour/contrast/saturation/hue/brightness changes, camera/sensor noise, gamma correction, occlusion; TTA evaluation</t>
  </si>
  <si>
    <t>ACC; Precision; Recall; F1; AUC; confusion matrix; t-SNE; mean robust accuracy</t>
  </si>
  <si>
    <t>GenImage SD1.4 ACC 99.15% (AUC 0.999); CIFAKE 96.79±0.17%; PRCG 95.83±0.36%</t>
  </si>
  <si>
    <t>Cross-generator matrix on 5 GenImage generators shows degraded performance when train≠test generator (values reported only in heat-map figure); worst on SD1.4/ADM targets</t>
  </si>
  <si>
    <t>Mean robust accuracy 98.36% (GenImage SD1.4), 93.69% (PRCG), 93.21% (CIFAKE); near-stable under JPEG Q100-20 (authors attribute partly to JPEG-encoded training data)</t>
  </si>
  <si>
    <t>99.15% ACC in-distribution on GenImage SD1.4</t>
  </si>
  <si>
    <t>Marked cross-generator degradation; authors concede reliance on generator-specific features</t>
  </si>
  <si>
    <t>YES — explicit cross-generator degradation attributed to forensic branch FFT-phase/residual cues being generator-specific; SD1.4 and ADM residual entropies close to real</t>
  </si>
  <si>
    <t>ResNet-50 (Zhu et al. GenImage); literature numbers for CIFAKE/PRCG detectors (Bird &amp; Lotfi, Gangan et al., etc.) on heterogeneous protocols</t>
  </si>
  <si>
    <t>Multi-cue fusion with explicit cross-generator matrix; candid limitation on generator-specific features; multi-seed reporting; broad corruption suite</t>
  </si>
  <si>
    <t>Cross-generator results only in a figure and degraded; no cross-dataset or commercial-model test; heavy model; ablations only on CIFAKE</t>
  </si>
  <si>
    <t>JPEG format bias in GenImage noted by authors; literature baselines not re-run; small PRCG test set (160)</t>
  </si>
  <si>
    <t>Shows that adding forensic FFT/residual branches to foundation features can encode generator-specific shortcuts that harm transfer</t>
  </si>
  <si>
    <t>Counter-example where multi-cue fusion improves in-domain accuracy but not cross-generator generalization</t>
  </si>
  <si>
    <t>Need generator-invariant low-level cues and bias-controlled (format/size) training sets</t>
  </si>
  <si>
    <t>Generalizable binary AI-generated image detection while retaining pre-trained semantic knowledge</t>
  </si>
  <si>
    <t>PoundNet: learnable text and visual prompts on frozen CLIP ViT-L/14 with a balanced objective (class-agnostic binary loss + semantic-preserving class-aware loss + class-aware binary loss) to avoid over-specialisation; new threshold-robust metrics AUCf1/AUCf2</t>
  </si>
  <si>
    <t>CLIP ViT-L/14 (frozen) with 241K prompt parameters (text context length 16, visual prompts length 16)</t>
  </si>
  <si>
    <t>CLIP visual tokens with learned visual prompts</t>
  </si>
  <si>
    <t>CLIP image-text alignment; learnable real/fake context vectors; semantic class anchors</t>
  </si>
  <si>
    <t>ForenSynths (CNNDet) training set</t>
  </si>
  <si>
    <t>LSUN (20 classes)</t>
  </si>
  <si>
    <t>ForenSynths train (~720k images, 20 classes); 1 epoch</t>
  </si>
  <si>
    <t>ForenSynths; GenImage; GANGen-Detection; DiffusionForensics; Ojha/UniversalFakeDetect; AntiFake; DIF; UADFV; Celeb-DF v1; Celeb-DF v2 (10 benchmarks); ImageNet + V2/S/A/R for zero-shot classification</t>
  </si>
  <si>
    <t>LSUN; ImageNet; LAION; COCO; CelebA/face video frames; others per benchmark</t>
  </si>
  <si>
    <t>&gt;50 generators incl. ProGAN, StyleGAN, BigGAN, CycleGAN, GauGAN, LDM, Glide, DALL-E 2, SD, Midjourney, ADM, Wukong, VQDM, face-swap deepfakes</t>
  </si>
  <si>
    <t>NR in main text (Appendix)</t>
  </si>
  <si>
    <t>General scenes/objects and face deepfakes</t>
  </si>
  <si>
    <t>Data-side bias control: all general-AIGI test images re-encoded to JPEG Q90; threshold-sensitivity metrics; 3-seed stability (not a corruption robustness test)</t>
  </si>
  <si>
    <t>AP; F1; ACC (fixed 0.5 threshold); AUCf1; AUCf2; zero-shot ImageNet top-1</t>
  </si>
  <si>
    <t>NR separately (ForenSynths included among 10 test sets)</t>
  </si>
  <si>
    <t>Average over 10 benchmarks: AP 86.14, F1 70.58, ACC 72.00, AUCf1 67.61, AUCf2 66.62 (avg 72.59 vs 53.67 for UnivFD; +18.92 relative); retains 63.07% zero-shot ImageNet-family accuracy</t>
  </si>
  <si>
    <t>+23 F1 and +13 ACC over best baseline under JPEG-normalised, fixed-threshold evaluation on 10 benchmarks</t>
  </si>
  <si>
    <t>Average ACC only 72% even for best method; baselines' F1 collapse (1–47) at fixed threshold</t>
  </si>
  <si>
    <t>YES — strong baselines (NPR, LGrad, FreqNet) collapse to F1 1–15 once format bias removed and threshold fixed; AP masks threshold failure</t>
  </si>
  <si>
    <t>CNNDet; FreDect; GramNet; Fusing; LNP; SPrompts; UnivFD; LGrad; NPR; FreqNet</t>
  </si>
  <si>
    <t>Single-source training, 10-benchmark test, JPEG format-bias control, fixed-threshold metrics exposing calibration failure, 3 seeds, open code</t>
  </si>
  <si>
    <t>No corruption/adversarial robustness tests; absolute accuracy still modest; per-benchmark details in appendix</t>
  </si>
  <si>
    <t>Generators overlap across benchmarks; ProGAN-only training choice; JPEG Q90 conversion fixed</t>
  </si>
  <si>
    <t>Demonstrates that preserving foundation-model knowledge (avoiding catastrophic specialisation) improves cross-benchmark transfer and that AP alone overstates generalization</t>
  </si>
  <si>
    <t>Key evidence on evaluation bias (format bias, threshold sensitivity) and knowledge-retention for generalization</t>
  </si>
  <si>
    <t>Need calibrated, threshold-stable detectors and evaluation that controls format/size bias; robustness untested</t>
  </si>
  <si>
    <t>Systematic adversarial-robustness evaluation of AIGI detectors (white-box and transfer black-box evasion)</t>
  </si>
  <si>
    <t>FPBA: Frequency-based Post-train Bayesian Attack — spectrum-domain perturbations plus a post-train Bayesian surrogate (appended models sampling the posterior) to transfer adversarial examples across heterogeneous CNN/ViT/frequency/CLIP/diffusion detectors</t>
  </si>
  <si>
    <t>Surrogates CNNSpot (ResNet-50), MobileNet, Swin-ViT; 17 victim detectors (CNNSpot, DenseNet, EfficientNet, MobileNet, ViT, Swin, Spec, DCTA, FreqNet, FreqMask, LGrad, UnivFD, DNF, DIRE, AEROBLADE, LNP, GramNet)</t>
  </si>
  <si>
    <t>FREQUENCY + SPATIAL (attack perspective)</t>
  </si>
  <si>
    <t>Spatial-gradient perturbations</t>
  </si>
  <si>
    <t>Spectrum-transformation gradient perturbations exploiting detectors' frequency reliance</t>
  </si>
  <si>
    <t>UnivFD/CLIP evaluated as victim</t>
  </si>
  <si>
    <t>DIRE/AEROBLADE evaluated as victims</t>
  </si>
  <si>
    <t>Gradient-masking analysis</t>
  </si>
  <si>
    <t>Synthetic LSUN (CNNSpot/ForenSynths); GenImage SD1.4 subset; Synthetic FFHQ (StyleGAN2)</t>
  </si>
  <si>
    <t>LSUN; ImageNet; FFHQ</t>
  </si>
  <si>
    <t>ProGAN; SD1.4; StyleGAN2</t>
  </si>
  <si>
    <t>360k+360k (LSUN/ProGAN); 162k+162k (GenImage SD1.4); 50k+50k (FFHQ/StyleGAN2)</t>
  </si>
  <si>
    <t>Correctly classified test samples of the three datasets; GenImage cross-generator subsets (Midjourney, SD1.4, SD1.5, ADM, Wukong, BigGAN)</t>
  </si>
  <si>
    <t>ProGAN; SD1.4; SD1.5; Midjourney; ADM; Wukong; BigGAN; StyleGAN2</t>
  </si>
  <si>
    <t>Scenes/objects (LSUN, ImageNet) and faces (FFHQ)</t>
  </si>
  <si>
    <t>White-box and black-box transfer attacks (l∞ 8/255); attacks on compressed-image detection; defences (adversarial training, gradient masking) evaluated</t>
  </si>
  <si>
    <t>Attack success rate (ASR); benign ACC (real/fake); AP for DIRE/AEROBLADE; image-quality metrics</t>
  </si>
  <si>
    <t>Benign detectors correctly classify in-domain samples (only correctly classified samples attacked)</t>
  </si>
  <si>
    <t>Benign cross-generator ACC of SD1.4-trained detectors: Swin-ViT avg 76.8% but fake ACC 1.5% on ADM and 0.1% on BigGAN; CNNSpot fake ACC 1.2% (ADM), 0.2% (BigGAN)</t>
  </si>
  <si>
    <t>FPBA white-box ASR avg 99.6%; black-box transfer avg 50.5% on LSUN/GenImage; DIRE AP 100→40.8%, AEROBLADE 80.0→43.1%; Swin-ViT surrogate fake-image ASR 93–98% on cross-generator subsets</t>
  </si>
  <si>
    <t>Single-surrogate Bayesian frequency attack transfers across CNN, ViT, frequency, CLIP and reconstruction detectors</t>
  </si>
  <si>
    <t>State-of-the-art AIGI detectors are highly vulnerable; adversarial training not directly effective</t>
  </si>
  <si>
    <t>YES — SD1.4-trained detectors almost fail to detect ADM/BigGAN fakes; adversarial vulnerability extends to cross-generator and compressed settings</t>
  </si>
  <si>
    <t>IFGSM; PGD; MI-FGSM; S2I; SSAH; ENS; SVRE; FakePolisher; TraceEvader; FaceAttacker</t>
  </si>
  <si>
    <t>YES (frequency saliency maps of detectors)</t>
  </si>
  <si>
    <t>Largest adversarial robustness study (17 detectors, 3 datasets); black-box transfer; includes defences and gradient-masking analysis</t>
  </si>
  <si>
    <t>Generalization reported only as benign cross-generator side analysis; perturbation budgets standard but no physical/platform pipeline</t>
  </si>
  <si>
    <t>Only correctly classified samples attacked; victims retrained by authors for some architectures</t>
  </si>
  <si>
    <t>Shows that even generalizable detectors are not adversarially robust; robustness is a separate unsolved axis of universality</t>
  </si>
  <si>
    <t>Primary adversarial counter-forensic evidence for RQ4</t>
  </si>
  <si>
    <t>Need adversarially robust AIGI detectors and certified/adaptive robustness evaluation</t>
  </si>
  <si>
    <t>Generalized binary AI-generated image detection via upsampling-artifact modelling</t>
  </si>
  <si>
    <t>DCNet: texture-sorted low-complexity patch sub-image preprocessing; dual-branch three-stage network with multi-dilation cosine-similarity extraction (MSEM) for periodic grid artifacts, similarity-guided spatial artifact attention (SSAM), cross-branch agent attention fusion (CBAF) and local-global-guided convolution (LGConv)</t>
  </si>
  <si>
    <t>Custom lightweight dual-branch CNN built from MobileNet blocks</t>
  </si>
  <si>
    <t>Periodic grid-like upsampling artifacts (multi-dilation self-similarity) and local upsampling detail in low-texture patches</t>
  </si>
  <si>
    <t>Texture-complexity patch selection</t>
  </si>
  <si>
    <t>ForenSynths (ProGAN) and, separately, GenImage ADM subset</t>
  </si>
  <si>
    <t>LSUN; ImageNet</t>
  </si>
  <si>
    <t>ProGAN; ADM (separate runs)</t>
  </si>
  <si>
    <t>360k ProGAN + 360k LSUN; 162k ADM + 162k ImageNet</t>
  </si>
  <si>
    <t>ForenSynths; GenImage; additional sets for GigaGAN, DALL-E 2, StyleGAN3, StyleGAN-XL, SD2.1, SDXL, AnimagineXL (22 generators)</t>
  </si>
  <si>
    <t>LSUN; ImageNet; CelebA/FFHQ faces; LAION/COCO etc. per subset</t>
  </si>
  <si>
    <t>ProGAN, StyleGAN, BigGAN, CycleGAN, StarGAN, GauGAN, StyleGAN2, WFIR, GigaGAN, StyleGAN3, StyleGAN-XL; ADM, Glide, Midjourney, SD1.4, SD1.5, VQDM, Wukong, DALL-E 2, SD2.1, SDXL, AnimagineXL</t>
  </si>
  <si>
    <t>Per-set counts in Table I (NR in text)</t>
  </si>
  <si>
    <t>General scenes/objects, faces (StarGAN, WFIR) and painting-style anime (AnimagineXL)</t>
  </si>
  <si>
    <t>Single-level tests: JPEG Q95, Gaussian blur σ²=1, 2× downsampling</t>
  </si>
  <si>
    <t>ACC; mAP; FLOPs</t>
  </si>
  <si>
    <t>NR separately (ProGAN included among 22 test generators)</t>
  </si>
  <si>
    <t>ProGAN-trained mean ACC 90.78% over 22 generators (+4.54 vs PatchCraft), best on 8/11 diffusion models; ADM-trained mean ACC 81.20% over 22 generators</t>
  </si>
  <si>
    <t>Best average ACC under blur and downsampling; slightly below PatchCraft under JPEG Q95 because JPEG removes upsampling artifacts</t>
  </si>
  <si>
    <t>Single-GAN training transfers to 11 diffusion generators with best ACC on 8</t>
  </si>
  <si>
    <t>Sensitivity to JPEG compression; ADM-trained transfer weaker (81.2%)</t>
  </si>
  <si>
    <t>YES — DIRE trained on ADM fails on 10/11 GANs; DCNet weaker under JPEG</t>
  </si>
  <si>
    <t>CNNSpot; FreDect; Fusing; GramNet; LNP; LGrad; DIRE; UnivFD; NPR; PatchCraft</t>
  </si>
  <si>
    <t>YES (Grad-CAM, t-SNE)</t>
  </si>
  <si>
    <t>Two single-source training regimes (GAN and diffusion) each tested on 22 generators incl. commercial and anime styles; lightweight model; thorough ablation</t>
  </si>
  <si>
    <t>Robustness tested at one mild level each; JPEG sensitivity; no adversarial test; code not released</t>
  </si>
  <si>
    <t>Upsampling-artifact reliance may not hold for future generators without upsampling or after re-encoding</t>
  </si>
  <si>
    <t>Upsampling grid artifacts transfer GAN→diffusion but are fragile to compression</t>
  </si>
  <si>
    <t>Evidence that low-level upsampling cues give strong cross-family transfer but trade off compression robustness</t>
  </si>
  <si>
    <t>Need cues robust to compression that remove high-frequency upsampling traces; adversarial robustness</t>
  </si>
  <si>
    <t>Cross-model face deepfake/synthetic-face detection and generator attribution via inter-channel spectral inconsistencies</t>
  </si>
  <si>
    <t>Contourlet Transform per RGB channel; inter-channel subband energy differences and directional colour co-occurrence matrices (DCCM); CT features fused with CNN (CT-CNN Fusion); also SVM on handcrafted features</t>
  </si>
  <si>
    <t>Custom CNN with CT feature fusion (~5.5 GFLOPs); SVM-RBF for handcrafted baselines</t>
  </si>
  <si>
    <t>FREQUENCY + SPATIAL</t>
  </si>
  <si>
    <t>Learned CNN RGB features</t>
  </si>
  <si>
    <t>Contourlet multiscale multidirectional subband energies; inter-channel spectral differences (J=1, K=4)</t>
  </si>
  <si>
    <t>Inter-channel colour co-occurrence (DCCM)</t>
  </si>
  <si>
    <t>Leave-one-dataset-out: each of OpenForensics/FF, DDPM, DiffSwap, SD2.1 T2I faces, StyleGAN2, Generated Photos</t>
  </si>
  <si>
    <t>Per-dataset real faces (OpenForensics, DiffusionFace reals, FFHQ-type)</t>
  </si>
  <si>
    <t>One of DDPM, DiffSwap, SD2.1, StyleGAN2, Generated-Photos (StyleGAN), OpenForensics GAN manipulations</t>
  </si>
  <si>
    <t>80/20 splits; per-dataset counts NR in text</t>
  </si>
  <si>
    <t>Remaining five datasets (cross-dataset matrix)</t>
  </si>
  <si>
    <t>Per-dataset real faces</t>
  </si>
  <si>
    <t>DDPM; DiffSwap; SD2.1; StyleGAN2; Generated Photos; OpenForensics manipulations</t>
  </si>
  <si>
    <t>Human faces/portraits</t>
  </si>
  <si>
    <t>Gamma correction / contrast variation</t>
  </si>
  <si>
    <t>ACC; F1; AUC (5 seeds mean±std); paired t-test; attribution ACC/F1</t>
  </si>
  <si>
    <t>Intra-dataset ACC ~94–99% for CNN baseline and CT-CNN</t>
  </si>
  <si>
    <t>Average cross-dataset CT-CNN ACC 75.91%, F1 77.85%, AUC 90.85% vs CNN baseline 53.42/22.63/62.11; FF++-trained CT-CNN AUC 97.54% on DiffSwap and 98.71% on SD T2I</t>
  </si>
  <si>
    <t>Relatively stable ACC/AUC under Gaussian noise, gamma and JPEG; larger drops on StyleGAN2 and some noise settings</t>
  </si>
  <si>
    <t>+29.7 AUC cross-dataset gain over identical CNN without CT features (p&lt;0.01)</t>
  </si>
  <si>
    <t>StyleGAN2 remains hardest target; baseline CNN cross-dataset ACC ≈50%</t>
  </si>
  <si>
    <t>YES — plain CNN collapses to chance cross-dataset (F1 as low as 0%); SG2 hard for all features</t>
  </si>
  <si>
    <t>CNN baseline; ResNet-50; ConvNeXt-L; FFT/wavelet features; CNNDetection; F3Net; MAT; Xception; GFF; DCL; ViT-B; EfficientNet-b4</t>
  </si>
  <si>
    <t>YES (interpretable spectral descriptors)</t>
  </si>
  <si>
    <t>Strict leave-one-dataset-out matrix across GAN and diffusion faces; 5 seeds with significance test; no augmentation to avoid biasing generalization</t>
  </si>
  <si>
    <t>Face-only domain; modest dataset sizes; robustness only noise/gamma/JPEG; no non-face content</t>
  </si>
  <si>
    <t>Datasets differ in real sources so dataset bias and generator shift are confounded</t>
  </si>
  <si>
    <t>Inter-channel spectral cues transfer across GAN and diffusion faces; untested on general scenes</t>
  </si>
  <si>
    <t>Face-domain evidence that explicit inter-channel spectral modelling mitigates dataset bias</t>
  </si>
  <si>
    <t>Test inter-channel cues on non-face content and stronger post-processing</t>
  </si>
  <si>
    <t>Binary real vs GAN-generated (deepfake) face image detection for consumer environments</t>
  </si>
  <si>
    <t>DF4D-GGAN: Gaussian-filter preprocessing; EfficientNet-B4 + ShuffleNet deep feature fusion; improved slime-mould algorithm hyperparameter search; extreme learning machine classifier</t>
  </si>
  <si>
    <t>EfficientNet-B4 + ShuffleNet feature fusion; ELM (100 hidden nodes)</t>
  </si>
  <si>
    <t>Learned CNN facial texture/appearance features</t>
  </si>
  <si>
    <t>Deepfake Images Detection and Reconstruction Challenge dataset (80/20 and 70/30 splits)</t>
  </si>
  <si>
    <t>Challenge real face images</t>
  </si>
  <si>
    <t>GAN-based face generators of the challenge dataset (not itemised)</t>
  </si>
  <si>
    <t>10,000 images (5,000 real + 5,000 deepfake); 80% train</t>
  </si>
  <si>
    <t>Held-out split of same dataset</t>
  </si>
  <si>
    <t>Same GAN generators</t>
  </si>
  <si>
    <t>2,000 (20% split)</t>
  </si>
  <si>
    <t>NO (Gaussian filtering used only as preprocessing)</t>
  </si>
  <si>
    <t>ACC; Precision; Recall; F1; G-measure; PR/ROC curves; computation time</t>
  </si>
  <si>
    <t>80/20 split test ACC 91.32%, F1 91.34%</t>
  </si>
  <si>
    <t>NR; no unseen-generator or external-dataset test</t>
  </si>
  <si>
    <t>91.32% ACC on held-out 20% split</t>
  </si>
  <si>
    <t>No out-of-distribution evaluation</t>
  </si>
  <si>
    <t>Not tested; generalization asserted from validation curves only</t>
  </si>
  <si>
    <t>MesoNet; MesoInception; IDCNNA-DID; DBN; MLP; RNN; LSTM (literature/heterogeneous)</t>
  </si>
  <si>
    <t>Lightweight fusion pipeline; public challenge dataset</t>
  </si>
  <si>
    <t>Single dataset random split; generators unspecified; no robustness, cross-generator or diffusion tests; metaheuristic tuning on test-like data</t>
  </si>
  <si>
    <t>Possible identity/source leakage across random split; claims of 'unseen data' refer to validation split</t>
  </si>
  <si>
    <t>Low: closed-set GAN-face benchmark</t>
  </si>
  <si>
    <t>Example of closed-set face-GAN detection where 'generalization' is inferred from validation accuracy</t>
  </si>
  <si>
    <t>Need generator-disjoint and external-dataset evaluation for face-GAN detectors</t>
  </si>
  <si>
    <t>Binary AI-generated vs real image detection using spatial-semantic and wavelet frequency fusion</t>
  </si>
  <si>
    <t>CLIP spatial-semantic features + wavelet multi-scale frequency features, fused via cross-domain attention and gating, globally modelled by Swin Transformer</t>
  </si>
  <si>
    <t>CLIP image encoder + lightweight CNN wavelet branch + Swin Transformer</t>
  </si>
  <si>
    <t>Swin Transformer global/local spatial modelling</t>
  </si>
  <si>
    <t>Wavelet multi-scale high-frequency anomalies</t>
  </si>
  <si>
    <t>CLIP semantic-inconsistency features</t>
  </si>
  <si>
    <t>DFDC, ForenSynths, GenImage (80/20 split stated; exact per-table training source not specified)</t>
  </si>
  <si>
    <t>DFDC real videos/frames; LSUN; ImageNet</t>
  </si>
  <si>
    <t>NR/UNCLEAR (baseline numbers mirror ProGAN-trained protocol)</t>
  </si>
  <si>
    <t>DFDC; ForenSynths GAN subsets; diffusion subsets (PNDM, Guided, DALL-E, VQ-Diffusion)</t>
  </si>
  <si>
    <t>DFDC; LSUN; ImageNet/LAION</t>
  </si>
  <si>
    <t>ProGAN, StyleGAN, StyleGAN2, BigGAN, CycleGAN, StarGAN, GauGAN, Deepfake; PNDM, Guided, DALL-E, VQ-Diffusion</t>
  </si>
  <si>
    <t>NR (20% splits)</t>
  </si>
  <si>
    <t>Faces (DFDC) and general scenes/objects</t>
  </si>
  <si>
    <t>Robustness across image quality shown only graphically (Fig. 5); levels not specified</t>
  </si>
  <si>
    <t>DFDC ACC 98.1%, AP 96.8%</t>
  </si>
  <si>
    <t>GAN subsets mean ACC/AP 96.9/98.9; diffusion subsets mean 95.1/96.9 (training protocol for these tables not stated)</t>
  </si>
  <si>
    <t>Qualitative only (figure)</t>
  </si>
  <si>
    <t>Mean 96.9% ACC on 8 GAN subsets</t>
  </si>
  <si>
    <t>Guided diffusion 87.3% ACC</t>
  </si>
  <si>
    <t>Not assessable: unclear whether test generators were held out from training</t>
  </si>
  <si>
    <t>Wang; Fank; F3-Net; BiHPF; FrePGA; UniFD; FreqNet; FatFormer; VIB-Net (numbers apparently copied from literature)</t>
  </si>
  <si>
    <t>YES (attention visualisation, frequency maps)</t>
  </si>
  <si>
    <t>Combines semantic, spatial and wavelet cues; evaluated on GAN, diffusion and face benchmarks</t>
  </si>
  <si>
    <t>Train/test protocol for cross-model tables unspecified; 80/20 split suggests seen generators; robustness only graphical; no seeds</t>
  </si>
  <si>
    <t>Possible comparison of in-distribution results against baselines evaluated under generator-disjoint protocols</t>
  </si>
  <si>
    <t>Limited: claims cross-model generalization without verifiable held-out protocol</t>
  </si>
  <si>
    <t>Example of claimed-versus-demonstrated generalization gap caused by under-specified protocols</t>
  </si>
  <si>
    <t>Report explicit generator-disjoint train/test splits when comparing with published baselines</t>
  </si>
  <si>
    <t>Benchmark dataset for real-vs-AI disaster image detection and large-scale source tracing</t>
  </si>
  <si>
    <t>VeriTrace dataset: CLIP-similarity pipeline pairing real disaster images with top-5 matched fakes from 3,191 text-to-image generators (open-source and closed/commercial); benchmarks AIDE, Community Forensics (ViT-S/ConvNeXt-S) and ThinkFake MLLM; source tracing over 912 generators</t>
  </si>
  <si>
    <t>Benchmarked: AIDE (CLIP + patch frequency), Community-Forensics ViT-S/ConvNeXt-S (224/384), ThinkFake MLLM; MLP heads for attribution</t>
  </si>
  <si>
    <t>SPATIAL + FREQUENCY + SEMANTIC (benchmarked detectors)</t>
  </si>
  <si>
    <t>End-to-end ViT/ConvNeXt features (CF)</t>
  </si>
  <si>
    <t>AIDE patch-wise frequency features</t>
  </si>
  <si>
    <t>AIDE CLIP embeddings; ThinkFake MLLM reasoning</t>
  </si>
  <si>
    <t>Generator fingerprints for source tracing</t>
  </si>
  <si>
    <t>Pretrained detector weights (ProGAN, GenImage, SD1.4, Community Forensics); VeriTrace-ST 456k images for source-tracing fine-tuning</t>
  </si>
  <si>
    <t>Incidents1M disaster images (90/10 split)</t>
  </si>
  <si>
    <t>Pretrained-weight generators; 912 open/closed T2I generators for source tracing</t>
  </si>
  <si>
    <t>Source tracing 456,000 images (90/10)</t>
  </si>
  <si>
    <t>Incident_Val; CRISIS; AIDR; Multimodal; CDD (held-out disaster sources); open-source vs closed-group splits; balanced Top-1 and imbalanced All settings</t>
  </si>
  <si>
    <t>Incidents1M, CrisisMMD-type disaster datasets (CRISIS, AIDR, Multimodal, CDD)</t>
  </si>
  <si>
    <t>3,191 text-to-image generators incl. commercial closed-group APIs</t>
  </si>
  <si>
    <t>NR in text (Fig. 4)</t>
  </si>
  <si>
    <t>Natural and man-made disaster scenes (fire, flood, weather, geological, accidents, industrial)</t>
  </si>
  <si>
    <t>Class-imbalance (Real vs All) stress setting; resolution 224 vs 384</t>
  </si>
  <si>
    <t>Average ACC; AP; weighted class-wise ACC/AP (source tracing)</t>
  </si>
  <si>
    <t>Open-source generator regime: high AP for several detectors</t>
  </si>
  <si>
    <t>Closed-group commercial generators drive ACC toward chance on Incident_Val while AP remains moderate; AIDE ACC drops to ~0.18–0.30 in imbalanced setting; ThinkFake 0.50–0.70; CF-384 most stable</t>
  </si>
  <si>
    <t>Source tracing above chance across 912 generators; closed-group generators easiest to attribute</t>
  </si>
  <si>
    <t>Disaster deepfakes harder than human-domain; closed-group fakes evade detectors (near-chance ACC)</t>
  </si>
  <si>
    <t>YES — detection–attribution gap: commercial images evade detectors yet are attributable; ACC–AP divergence shows unstable thresholds under shift</t>
  </si>
  <si>
    <t>AIDE (ProGAN/GenImage/SD1.4 weights); Community Forensics CF-224/CF-384; ThinkFake</t>
  </si>
  <si>
    <t>YES (Grad-CAM)</t>
  </si>
  <si>
    <t>Massive generator diversity (3,191; 912 for attribution); new non-face domain; held-out source datasets; balanced vs realistic imbalanced evaluation</t>
  </si>
  <si>
    <t>Text-to-image only (no GANs/autoencoders); no robustness/post-processing tests; dataset and code release pending (gated)</t>
  </si>
  <si>
    <t>CLIP-based pairing may introduce selection bias; per-generator sample sizes uneven</t>
  </si>
  <si>
    <t>High as a stress benchmark: shows current 'generalizable' detectors fail on commercial generators in a semantically complex domain</t>
  </si>
  <si>
    <t>Evidence of content-domain and commercial-generator shift causing threshold collapse; scales attribution to ~900 models</t>
  </si>
  <si>
    <t>Need calibration-stable detectors for semantically complex non-face domains and commercial generators</t>
  </si>
  <si>
    <t>Open-set synthetic image attribution to source architecture with rejection of unknown architectures</t>
  </si>
  <si>
    <t>BOSC: backdoor-based open-set classification — class-specific cartoon triggers blended into 10% of training images (α=0.1) to link in-set class features with triggers; at inference triggers are superimposed and a combined logit score (CLS-M) rejects out-of-set samples</t>
  </si>
  <si>
    <t>EfficientNet-B4 (384×384)</t>
  </si>
  <si>
    <t>Learned architecture-level generation traces</t>
  </si>
  <si>
    <t>Backdoor trigger–class matching used as rejection score; architecture fingerprints</t>
  </si>
  <si>
    <t>SynImgAttribution dataset (10 architectures; 3 in-set/out-of-set configurations)</t>
  </si>
  <si>
    <t>FFHQ; CelebA (generators trained on these)</t>
  </si>
  <si>
    <t>5 in-set architectures per configuration from BigGAN, BEGAN, ProGAN, StyleGAN2, StarGANv2, StyleGAN3, DDPM, Latent Diffusion, LSGM, Taming Transformer</t>
  </si>
  <si>
    <t>16,000 train + 2,000 val per in-set architecture</t>
  </si>
  <si>
    <t>2,000 test images per architecture (in-set and out-of-set); mismatched-model variants; pristine CelebA/FFHQ as out-of-set; facial attribute editing task</t>
  </si>
  <si>
    <t>CelebA; FFHQ</t>
  </si>
  <si>
    <t>All 10 architectures; StyleGAN2-ada, DDPM-ema, LSGM 3-stage, LDM/Taming trained on other data, StyleGAN3 other resolution</t>
  </si>
  <si>
    <t>2,000 per architecture; 2,000 per pristine set</t>
  </si>
  <si>
    <t>Faces (FFHQ/CelebA-trained generators)</t>
  </si>
  <si>
    <t>Brightness, contrast, saturation changes (unseen in training); JPEG (seen in augmentation)</t>
  </si>
  <si>
    <t>Closed-set ACC; AU-ROC; AU-OSCR; EER; TPR and CCR at FPR=5%</t>
  </si>
  <si>
    <t>Closed-set accuracy near 100% for all methods</t>
  </si>
  <si>
    <t>Open-set average AU-ROC 93.58%, AU-OSCR 93.42% (+8.20/+8.14 over AKPF); TPR at 5% FPR &gt;20 points above others; mismatched-model closed-set ACC &gt;98% except Latent Diffusion 77.63%</t>
  </si>
  <si>
    <t>Open-set AU-ROC/AU-OSCR &gt;10% above SOTA under colour changes and blur; JPEG most critical case</t>
  </si>
  <si>
    <t>Best open-set rejection with low variability across three in/out-set splits</t>
  </si>
  <si>
    <t>Model mismatch lowers open-set performance for LDM, LSGM, StyleGAN3; adding pristine images to out-of-set reduces all methods</t>
  </si>
  <si>
    <t>YES — AKPF unstable across configurations (AU-ROC 75–92%); mismatched model variants degrade rejection</t>
  </si>
  <si>
    <t>ARPL; AKPF; PCSSR; RCSSR; SiaVerify; POSE; Res50ViT; MLS baseline</t>
  </si>
  <si>
    <t>Rigorous open-set protocol with three splits, mismatched-model and pristine-image tests, robustness to unseen processing; strong OSR baselines</t>
  </si>
  <si>
    <t>Face-domain generators only; no commercial/text-to-image models; attribution rather than real/fake detection</t>
  </si>
  <si>
    <t>Architecture-level labels depend on released checkpoints; triggers chosen heuristically</t>
  </si>
  <si>
    <t>Directly addresses unknown-generator rejection, a prerequisite for open-world forensics</t>
  </si>
  <si>
    <t>Open-set attribution evidence with novel backdoor-based rejection mechanism</t>
  </si>
  <si>
    <t>Open-set attribution for text-to-image/commercial generators and non-face content</t>
  </si>
  <si>
    <t>Zero-shot detection of diffusion-generated images from camera background-noise residuals</t>
  </si>
  <si>
    <t>Deterministic inverse ISP maps sRGB to packed Bayer RAW; frozen pretrained DiT RAW denoiser; residual = inverse-ISP signal minus denoised reconstruction; 4-channel ResNet-50 classifier on residuals</t>
  </si>
  <si>
    <t>Frozen DiT denoiser (pretrained on MIR Flickr with synthetic RAW noise) + ResNet-50 (4-channel input)</t>
  </si>
  <si>
    <t>NOISE</t>
  </si>
  <si>
    <t>Camera acquisition noise residual in approximate RAW domain (inverse ISP)</t>
  </si>
  <si>
    <t>ADM subset (GenImage-style) with ImageNet reals</t>
  </si>
  <si>
    <t>ADM only</t>
  </si>
  <si>
    <t>NR (balanced real/fake)</t>
  </si>
  <si>
    <t>14 diffusion generator subsets collected from prior benchmarks (earlier and recent splits)</t>
  </si>
  <si>
    <t>ImageNet and benchmark real sets (equal proportion)</t>
  </si>
  <si>
    <t>DALL-E, GLIDE, VQDM, SD1.4, SD1.5, ADM, Wukong, Midjourney, FLUX, PixArt, SD3, Kandinsky 2.2, Playground 2.5</t>
  </si>
  <si>
    <t>General scenes/objects</t>
  </si>
  <si>
    <t>NO (authors speculate compression/resizing harms VQDM cases)</t>
  </si>
  <si>
    <t>ACC (fixed 0.5 threshold); AP</t>
  </si>
  <si>
    <t>ADM ACC 98.0%, AP 99.9%</t>
  </si>
  <si>
    <t>Earlier generators mean ACC 89.9%, AP 97.7% (vs FatFormer 80.5/91.2); recent generators mean ACC 93.6%, AP 99.3% (vs NPR 76.7/84.8); Midjourney 95.7%, Kandinsky 96.6% ACC</t>
  </si>
  <si>
    <t>ADM-only training reaches AP ≥98% on every recent generator incl. FLUX, SD3, Playground</t>
  </si>
  <si>
    <t>VQDM ACC similar to baselines despite high AP</t>
  </si>
  <si>
    <t>Partial — thresholded ACC lags AP on VQDM; fine-tuning denoiser drops mean ACC 91.8→79.4 (shortcut learning)</t>
  </si>
  <si>
    <t>UniFD; FreqNet; FatFormer; NPR; other RGB/frequency detectors</t>
  </si>
  <si>
    <t>Strict single-generator training with 13 held-out diffusion generators incl. commercial; physically motivated noise cue; fixed-threshold ACC reported</t>
  </si>
  <si>
    <t>Diffusion-only (no GAN/cross-family); no robustness tests even though noise cue is likely fragile to compression; letter-length detail</t>
  </si>
  <si>
    <t>Real images share ImageNet source across many subsets; JPEG/format differences between real and fake may aid noise residuals</t>
  </si>
  <si>
    <t>Camera-noise residuals give strong cross-generator transfer within diffusion family</t>
  </si>
  <si>
    <t>Evidence for acquisition-pipeline (noise/ISP) cues as generator-agnostic representation</t>
  </si>
  <si>
    <t>Robustness of noise-residual cues to compression/resizing and GAN transfer untested</t>
  </si>
  <si>
    <t>Artifact-invariant generalizable synthetic image detection using CLIP multi-stage embeddings</t>
  </si>
  <si>
    <t>CLIP-ADA: analysis showing mid-level CLIP stages encode generator/forensic artifacts and high-level stages semantic artifacts; dual-level augmentation (forensic-and-artifact mixup of fake embeddings at random stage + semantic-agnostic random crop) and distributional-deviation-aware adapter (cross-attention to real-embedding prototype) at high-level stages</t>
  </si>
  <si>
    <t>Frozen CLIP ViT-L/14 + DDA adapters (16-head cross-attention) + classifier</t>
  </si>
  <si>
    <t>Multi-stage CLIP token embeddings</t>
  </si>
  <si>
    <t>CLIP embeddings; deviation from real-embedding prototype</t>
  </si>
  <si>
    <t>Real-distribution deviation modelling (one-class-like)</t>
  </si>
  <si>
    <t>GenImage-JPEG96-train (format-bias controlled): SD1.4 only (O2M) or all 8 subsets (M2M)</t>
  </si>
  <si>
    <t>SD1.4 (O2M); ADM, BigGAN, Glide, SD1.4, SD1.5, Midjourney, VQDM, Wukong (M2M)</t>
  </si>
  <si>
    <t>GenImage training subsets (NR in text)</t>
  </si>
  <si>
    <t>GenImage-JPEG96; GenImage (PNG fakes); Synthbuster (RAW); diverse format-unrestricted unseen sets from [14] and [68] (GAN, DM, AR incl. StyleGAN3, CogView2)</t>
  </si>
  <si>
    <t>ImageNet; RAISE (Synthbuster); diverse real sources</t>
  </si>
  <si>
    <t>&gt;10 generators incl. ADM, BigGAN, Glide, SD1.4/1.5, Midjourney, VQDM, Wukong, Synthbuster generators (DALL-E 2/3, Firefly, Midjourney v5, SD2/XL, Glide), StyleGAN3, CogView2 and other GAN/DM/AR models</t>
  </si>
  <si>
    <t>ImageNet objects; RAISE photographs; diverse unrestricted content</t>
  </si>
  <si>
    <t>Three levels of combined perturbations (crop 0.9–0.5, resize 0.8–0.6, blur k3–7, JPEG 90–70, noise σ 0.05–0.15); explicit format-shift test (JPEG96 vs PNG)</t>
  </si>
  <si>
    <t>ACC (threshold 0.5); AP; feature-distance metrics (SAD, GAD, RFD)</t>
  </si>
  <si>
    <t>SD1.4 in-domain ~98% (adapter at high stage)</t>
  </si>
  <si>
    <t>O2M: GenImage-JPEG96 92.91%, GenImage 84.03% (avg 88.47%); Synthbuster 85.76% (+6.18 vs LaRE2); diverse unseen 75.82%; M2M diverse unseen 79.82% vs UnivFD 73.42%</t>
  </si>
  <si>
    <t>&gt;7% accuracy above existing methods on unseen data across all combined perturbation levels</t>
  </si>
  <si>
    <t>Smallest format-shift drop (8.87 pts) among strong methods; best Synthbuster accuracy</t>
  </si>
  <si>
    <t>Diverse unseen accuracy only ~76–80%; diffusion subsets hardest</t>
  </si>
  <si>
    <t>YES — NPR and LaRE2 drop 16–18 pts with format change and 34–35 pts on diverse data; CLIP-adapting baselines fall to 50–66% in M2M</t>
  </si>
  <si>
    <t>UnivFD; DE-FAKE; FatFormer; RINE; DRCT; LaRE2; NPR; CoDE</t>
  </si>
  <si>
    <t>YES (embedding-space and activation analysis)</t>
  </si>
  <si>
    <t>Explicit format-bias control and format-shift test; Synthbuster RAW benchmark; two training regimes; combined-perturbation robustness</t>
  </si>
  <si>
    <t>No adversarial or platform tests; absolute accuracy on diverse sets &lt;80%; limitations not discussed</t>
  </si>
  <si>
    <t>Real-prototype requirement at test time; datasets from [14],[68] details partly external</t>
  </si>
  <si>
    <t>High: principled use of CLIP stage-wise representations to avoid artifact-specific overfitting</t>
  </si>
  <si>
    <t>Mechanistic evidence on where CLIP encodes generator vs semantic artifacts and format-bias sensitivity of SOTA detectors</t>
  </si>
  <si>
    <t>Detectors robust jointly to format, generator and semantic shift; adversarial evaluation</t>
  </si>
  <si>
    <t>Generalizable face-forgery (face-swap/reenactment deepfake) detection via self-blended pseudo-fakes and reconstruction residuals</t>
  </si>
  <si>
    <t>Two-branch framework: forgery branch trained on diversified self-blended images (facial colour conversion, frequency-domain conversion, mask deformation/blur, 81-landmark masks); residual branch trained to reconstruct real faces only and flag reconstruction residuals; fused decision</t>
  </si>
  <si>
    <t>EfficientNet-B4 (both branches, ImageNet-pretrained)</t>
  </si>
  <si>
    <t>Blending boundaries, landmark mismatch, colour mismatch in self-blended faces</t>
  </si>
  <si>
    <t>Facial frequency-domain conversion augmentation</t>
  </si>
  <si>
    <t>Real-only image reconstruction residuals</t>
  </si>
  <si>
    <t>FaceForensics++ (real videos used to synthesise self-blended fakes)</t>
  </si>
  <si>
    <t>FF++ YouTube faces</t>
  </si>
  <si>
    <t>Self-blended pseudo-fakes (no real generator); FF++ manipulations for comparative training</t>
  </si>
  <si>
    <t>FF++ 1,000 real + 4,000 manipulated videos (frames sampled)</t>
  </si>
  <si>
    <t>FF++ HQ/LQ; Celeb-DF; DFD; DFDC-Preview; DFDC; WildDeepfake</t>
  </si>
  <si>
    <t>Per-dataset real videos</t>
  </si>
  <si>
    <t>Deepfakes, FaceSwap, Face2Face, NeuralTextures; Celeb-DF swaps; DFDC methods; in-the-wild deepfakes</t>
  </si>
  <si>
    <t>Video-level per dataset (e.g., DFDC 23,654 real + 104,500 fake)</t>
  </si>
  <si>
    <t>Facial video frames (face swap/reenactment)</t>
  </si>
  <si>
    <t>FF++ LQ (heavy compression) evaluation</t>
  </si>
  <si>
    <t>Video-level AUC; F1</t>
  </si>
  <si>
    <t>FF++ HQ/LQ AUC in Table 5 (NR in text)</t>
  </si>
  <si>
    <t>FF++→CDF AUC 94.25%; →DFD 99.3%; →DFDC-P 89.2%; →DFDC 78.36%</t>
  </si>
  <si>
    <t>JPEG AUC 97.90–89.78%; Gaussian noise 96.90–88.84% across datasets</t>
  </si>
  <si>
    <t>Cross-dataset AUC 99.3% on DFD</t>
  </si>
  <si>
    <t>DFDC 78.36% AUC, below FRDM</t>
  </si>
  <si>
    <t>Partial — notable drop on DFDC</t>
  </si>
  <si>
    <t>MesoNet; Xception; Face X-ray; Two-Branch; RFM; Add-Net; F3-Net; MultiAtt; RECCE; DSP-FWA; LRL; FRDM; PCL; SBIs</t>
  </si>
  <si>
    <t>Pseudo-fake synthesis avoids manipulation-specific overfitting; five external datasets; robustness checks</t>
  </si>
  <si>
    <t>Face-swap only; no fully synthetic GAN/diffusion images; video-level aggregation; no code</t>
  </si>
  <si>
    <t>Self-blending targets blending artefacts that fully generated images lack</t>
  </si>
  <si>
    <t>Indirect: pseudo-fake augmentation strategy for generalization; limited transfer to fully synthetic content</t>
  </si>
  <si>
    <t>Supporting deepfake literature on synthetic-training-data strategies for cross-dataset generalization</t>
  </si>
  <si>
    <t>Extend pseudo-fake synthesis to whole-image generative artefacts</t>
  </si>
  <si>
    <t>Counter-forensic evasion of diffusion-image detectors (fingerprint removal + adversarial perturbation)</t>
  </si>
  <si>
    <t>Two-stage sanitisation: spectrum-aware GAN (nearest-neighbour upsampling, Wasserstein-divergence loss) removes frequency fingerprints; I-FGSM perturbations from an Inception-v3 surrogate with augmentation for transfer; evaluates three detectors</t>
  </si>
  <si>
    <t>Spectrum-aware GAN generator/discriminator; Inception-v3 surrogate; victims UniFD (CLIP-ViT), DIGBD (CLIP-ViT + prompt MLP), SSIP (SRM patch)</t>
  </si>
  <si>
    <t>FREQUENCY (attack perspective)</t>
  </si>
  <si>
    <t>Adversarial pixel perturbations</t>
  </si>
  <si>
    <t>Removal of diffusion frequency-domain fingerprints</t>
  </si>
  <si>
    <t>CLIP-based victim detectors evaluated</t>
  </si>
  <si>
    <t>SRM noise residual victim (SSIP)</t>
  </si>
  <si>
    <t>COCO-caption-based custom set (Latent Diffusion + GLIDE fakes)</t>
  </si>
  <si>
    <t>MS-COCO</t>
  </si>
  <si>
    <t>Latent Diffusion; GLIDE</t>
  </si>
  <si>
    <t>20,000 real + 20,000 fake; 80/20 split</t>
  </si>
  <si>
    <t>Held-out 20% of custom COCO set</t>
  </si>
  <si>
    <t>~8,000 images</t>
  </si>
  <si>
    <t>COCO everyday scenes</t>
  </si>
  <si>
    <t>Frequency-fingerprint removal (anti-forensic); black-box transfer I-FGSM at varying α; augmentation (blur, rotation) to improve transfer</t>
  </si>
  <si>
    <t>Detection accuracy</t>
  </si>
  <si>
    <t>Clean ACC: UniFD 93.6%, DIGBD 91.5%, SSIP 98.9%</t>
  </si>
  <si>
    <t>Fingerprint removal: DIGBD 91.5→83.8%, SSIP 98.9→95.1%, UniFD 93.6→94.4%; with adversarial perturbation EM reduces DIGBD by ~20 and SSIP by ~74 points; UniFD largely unaffected</t>
  </si>
  <si>
    <t>Combined fingerprint removal + perturbation drastically degrades frequency/residual-based detectors</t>
  </si>
  <si>
    <t>CLIP-based UniFD remains robust to the attack</t>
  </si>
  <si>
    <t>N/A (attack study); shows detectors' reliance on frequency fingerprints</t>
  </si>
  <si>
    <t>Attack ablations (EM vs no EM; real vs fake vs mixed adversarial sources)</t>
  </si>
  <si>
    <t>YES (frequency spectra before/after removal)</t>
  </si>
  <si>
    <t>Shows frequency-fingerprint dependence of detectors and that semantic CLIP features resist spectral sanitisation</t>
  </si>
  <si>
    <t>Only three victims; two generators; small custom dataset; UniFD retrained by authors; no standard benchmarks</t>
  </si>
  <si>
    <t>Victims trained/evaluated on same COCO distribution; attack strength chosen post hoc</t>
  </si>
  <si>
    <t>Counter-forensic evidence: frequency cues are removable, semantic cues more stable</t>
  </si>
  <si>
    <t>RQ4 adversarial/anti-forensic evidence complementing R0013 and R0101</t>
  </si>
  <si>
    <t>Detectors need cues robust to fingerprint-removal sanitisation</t>
  </si>
  <si>
    <t>Binary real vs StyleGAN-generated face detection</t>
  </si>
  <si>
    <t>MMGANGuard: ensemble of Gram-Net, co-occurrence-matrix CNN, ResNet50V2 and DenseNet201 (transfer learning) with combined decision</t>
  </si>
  <si>
    <t>Gram-Net; co-occurrence CNN; ResNet50V2; DenseNet201 ensemble</t>
  </si>
  <si>
    <t>Global texture (Gram matrices), pixel co-occurrence matrices, CNN features</t>
  </si>
  <si>
    <t>140k Real and Fake Faces (Kaggle)</t>
  </si>
  <si>
    <t>FFHQ (NVIDIA Flickr)</t>
  </si>
  <si>
    <t>StyleGAN</t>
  </si>
  <si>
    <t>100,000 train + 20,000 validation</t>
  </si>
  <si>
    <t>Held-out test split of same dataset</t>
  </si>
  <si>
    <t>FFHQ</t>
  </si>
  <si>
    <t>20,000</t>
  </si>
  <si>
    <t>Training augmentation only (translation, zoom, rotation)</t>
  </si>
  <si>
    <t>ACC; Precision; Recall; F1; TPR/FPR/TNR/FNR; computation time</t>
  </si>
  <si>
    <t>&gt;97% ACC; TPR 98.4%, FPR 4.4% for ensemble</t>
  </si>
  <si>
    <t>NR; authors state the system currently works only for StyleGAN data</t>
  </si>
  <si>
    <t>Ensemble &gt;97% ACC on StyleGAN faces</t>
  </si>
  <si>
    <t>No evaluation outside one GAN and one real source</t>
  </si>
  <si>
    <t>Authors acknowledge restriction to StyleGAN; 'robust' in title not tested</t>
  </si>
  <si>
    <t>Individual ensemble members only</t>
  </si>
  <si>
    <t>Large public face dataset; ensemble comparison</t>
  </si>
  <si>
    <t>Single generator; no unseen-generator, cross-dataset or robustness tests; 'robust' claim unsupported</t>
  </si>
  <si>
    <t>FFHQ vs StyleGAN source confound (resolution/format)</t>
  </si>
  <si>
    <t>Low; closed-set StyleGAN face detection</t>
  </si>
  <si>
    <t>Example of closed-set ensemble detectors with 'robust' framing but no robustness evaluation</t>
  </si>
  <si>
    <t>Cross-generator and post-processing evaluation for face-GAN detectors</t>
  </si>
  <si>
    <t>Generalizable and robust synthetic image detection fusing low-level statistics with CLIP concept alignment</t>
  </si>
  <si>
    <t>DTBF: artifact branch with local multi-direction binary-encoding patterns (LMBP) as pixel-relationship fingerprint; dual-alignment semantic branch on CLIP with global context-unrelated and semantic-enhanced prompts (LoRA); jointly optimised concatenation (JOC) MLP fusion</t>
  </si>
  <si>
    <t>CNN on LMBP maps + CLIP ViT with LoRA and learnable prompts + MLP fusion</t>
  </si>
  <si>
    <t>LMBP local binary pixel-relationship statistics; patch anomalies</t>
  </si>
  <si>
    <t>CLIP prompt/concept alignment (global semantic inconsistency)</t>
  </si>
  <si>
    <t>ProGAN (AIGCDetectBenchmark/ForenSynths protocol); GenImage SD1.4 protocol in supplement</t>
  </si>
  <si>
    <t>NR (standard ForenSynths train)</t>
  </si>
  <si>
    <t>AIGCDetectBenchmark (16 generators); GenImage (8 generators, supplement)</t>
  </si>
  <si>
    <t>LSUN; ImageNet; LAION/COCO per subset</t>
  </si>
  <si>
    <t>ProGAN, StyleGAN, BigGAN, CycleGAN, StarGAN, GauGAN, StyleGAN2, WFIR, ADM, Glide, Midjourney, SD1.4, SD1.5, VQDM, Wukong, DALL-E 2</t>
  </si>
  <si>
    <t>Balanced per subset (NR)</t>
  </si>
  <si>
    <t>General scenes/objects and faces</t>
  </si>
  <si>
    <t>Robustness claimed; JPEG/blur used only as training augmentation; any robustness tables are in unavailable supplementary material</t>
  </si>
  <si>
    <t>NR separately</t>
  </si>
  <si>
    <t>ProGAN-trained mean ACC 96.13%, AP 99.15% over 16 generators (+1.23 ACC vs SemAnti; +8.51 vs CO-SPY; +3.36 vs AIDE); best on all diffusion subsets</t>
  </si>
  <si>
    <t>NR in main text</t>
  </si>
  <si>
    <t>96.13% mean ACC on AIGCDetectBenchmark from ProGAN-only training</t>
  </si>
  <si>
    <t>Slightly worse on some GAN subsets</t>
  </si>
  <si>
    <t>Baselines CNNSpot/LGrad/NPR/UnivFD drop sharply on diffusion subsets</t>
  </si>
  <si>
    <t>CNNSpot; Fusing; LGrad; UnivFD; NPR; PatchCraft; FatFormer; CO-SPY; AIDE; MLEP; FerretNet; SemAnti</t>
  </si>
  <si>
    <t>ProGAN-only training with GAN→diffusion transfer across 16 generators; 12 recent baselines</t>
  </si>
  <si>
    <t>Letter format; robustness and GenImage results relegated to supplement; no seeds; no adversarial test</t>
  </si>
  <si>
    <t>Robustness claims not verifiable from main text</t>
  </si>
  <si>
    <t>Shows complementary local statistics + concept alignment improve cross-family transfer</t>
  </si>
  <si>
    <t>Evidence for hybrid low-level/semantic fusion as a generalization strategy</t>
  </si>
  <si>
    <t>Transparent robustness reporting; cross-domain content tests</t>
  </si>
  <si>
    <t>Efficiently updating existing AIGI detectors to newly emerging generators without catastrophic forgetting</t>
  </si>
  <si>
    <t>LiteUpdate: representative (boundary) sample selection using confidence and gradient-based discriminative features; model merging of pretrained, representative-update and random-update weight trajectories (k=0.2); detector-agnostic</t>
  </si>
  <si>
    <t>Applied to FreqNet, NPR, AIDE, D3 and CO-SPY detectors</t>
  </si>
  <si>
    <t>SPATIAL + FREQUENCY + SEMANTIC (host detectors)</t>
  </si>
  <si>
    <t>Host detector features (NPR, CO-SPY)</t>
  </si>
  <si>
    <t>Host detector features (FreqNet, AIDE)</t>
  </si>
  <si>
    <t>Host detector features (AIDE CLIP, D3)</t>
  </si>
  <si>
    <t>Gradient-based boundary-sample selection</t>
  </si>
  <si>
    <t>Custom MSCOCO real + LAION-Aesthetics-prompted generated images</t>
  </si>
  <si>
    <t>MSCOCO</t>
  </si>
  <si>
    <t>Pre-train on SD2.1; update with 500–1,000 images of each new generator</t>
  </si>
  <si>
    <t>Pre-training 64k/8k/8k (train/val/test); updates 500–1,000 samples</t>
  </si>
  <si>
    <t>Custom test sets for SD2.1, SD3.5, FLUX, Midjourney, DALL-E 3, SD3.0, ControlGAN</t>
  </si>
  <si>
    <t>SD2.1; SD3.0; SD3.5; FLUX; Midjourney; DALL-E 3; ControlGAN</t>
  </si>
  <si>
    <t>8k test (pre-training split) plus per-generator test sets</t>
  </si>
  <si>
    <t>COCO-style everyday scenes</t>
  </si>
  <si>
    <t>Test-time Gaussian blur σ=1.0 and JPEG Q50 each applied with 50% probability; 10 seeds; threshold 0.3/0.7 sensitivity</t>
  </si>
  <si>
    <t>ACC (old/new/average); F1; t-tests; training time/memory</t>
  </si>
  <si>
    <t>Pre-trained detectors on SD2.1 (Table I)</t>
  </si>
  <si>
    <t>Pre-trained SD2.1 detectors drop sharply on unseen generators (Fig. 1); after update AIDE Midjourney 87.63→93.03%; 4 sequential generators avg ACC 92.40% (+8 vs random fine-tuning); ControlGAN 95.27%</t>
  </si>
  <si>
    <t>All results reported under mixed blur/JPEG test perturbation</t>
  </si>
  <si>
    <t>Comparable accuracy to 5,000-sample random fine-tuning using 1,000 selected samples (~4× faster); significant in 16/20 settings</t>
  </si>
  <si>
    <t>Random fine-tuning causes forgetting (NPR SD2.1 ACC −20.12 points)</t>
  </si>
  <si>
    <t>YES — zero-shot transfer from SD2.1 to newer generators fails for all host detectors, motivating updates</t>
  </si>
  <si>
    <t>Random-sample fine-tuning; E3 continual learning; pretrained detectors</t>
  </si>
  <si>
    <t>Detector-agnostic continual update; strong statistics (10 seeds, t-tests); realistic test-time degradation; commercial generators</t>
  </si>
  <si>
    <t>Requires target-generator samples (not zero-shot); single real source (COCO); custom dataset not released</t>
  </si>
  <si>
    <t>Shared COCO reals across all generators; prompts from LAION-Aesthetics only</t>
  </si>
  <si>
    <t>Represents adaptive rather than universal detection: accepts that zero-shot fails and optimises cheap updates</t>
  </si>
  <si>
    <t>Continual/adaptive evidence for RQ3; quantifies forgetting vs adaptation trade-off</t>
  </si>
  <si>
    <t>Combine zero-shot generalization with sample-efficient updating; evaluate update under domain shift</t>
  </si>
  <si>
    <t>Generalizable offline AIGI detection plus continual adaptation to chronologically emerging generators</t>
  </si>
  <si>
    <t>Three-stage domain continual learning: (1) LoRA (r=8) parameter-efficient fine-tuning of CLIP ViT for transferable offline detector; (2) continual updates with progressively complex augmentation chain and K-FAC Hessian regularisation against forgetting, 500-sample replay; (3) linear-mode-connectivity weight interpolation</t>
  </si>
  <si>
    <t>CLIP ViT-B/32 and ViT-L/14 with LoRA</t>
  </si>
  <si>
    <t>CLIP visual tokens adapted via LoRA</t>
  </si>
  <si>
    <t>CLIP pretrained vision-language representation</t>
  </si>
  <si>
    <t>ForenSynths ProGAN (offline); chronological 27-generator benchmark streams (continual)</t>
  </si>
  <si>
    <t>LSUN; ImageNet; LAION/COCO per source dataset</t>
  </si>
  <si>
    <t>ProGAN (offline); 13 sequential generators added when ACC&lt;90% (continual)</t>
  </si>
  <si>
    <t>Continual tasks use ~1/10 of test-set size per generator (e.g., 600 GLIDE images)</t>
  </si>
  <si>
    <t>27-model chronological benchmark compiled from CNNSpot, UnivFD, GenImage, DiffusionForensics and newer sets</t>
  </si>
  <si>
    <t>LSUN; ImageNet; LAION; COCO; CelebA (deepfake)</t>
  </si>
  <si>
    <t>ProGAN, CycleGAN, StarGAN, BigGAN, StyleGAN, GauGAN, StyleGAN2, Deepfakes, DDPM, ADM, iDDPM, DALL-E, GLIDE, LDM, PNDM, Wukong, SD1.4/1.5, VQDM, SD2.1, SDXL, SD-Turbo, SDXL-Turbo, SD3, PixArt-Σ, FLUX.1</t>
  </si>
  <si>
    <t>NR (Table I)</t>
  </si>
  <si>
    <t>Gaussian blur σ=1–4; JPEG QF 90–30 (mAP over 20 generators)</t>
  </si>
  <si>
    <t>ACC; AP/mAP; Average Accuracy (AA); Average Forgetting (AF)</t>
  </si>
  <si>
    <t>Offline ProGAN-trained detector +5.51 mAP over best baseline across benchmark; NPR/FatFormer/SAFE fall to ~50% AP on SD2.1/SDXL/Turbo (JPEG-encoded) while CLIP-based models stay stable; continual AA 92.20%</t>
  </si>
  <si>
    <t>All methods degrade under blur/JPEG; proposed retains higher mAP than CNNSpot and UnivFD</t>
  </si>
  <si>
    <t>Continual average accuracy 92.20% with lowest forgetting among 8 CL baselines</t>
  </si>
  <si>
    <t>Existing CL methods reach ~20% forgetting; low-level detectors collapse on JPEG-compressed SD sets</t>
  </si>
  <si>
    <t>YES — low-level-artifact detectors collapse (~50% AP) on newer JPEG-stored diffusion sets; CL baselines forget across GAN→diffusion transitions</t>
  </si>
  <si>
    <t>CNNSpot; FreDect; GramNet; LNP; LGrad; UnivFD; NPR; FatFormer; SAFE; Seq; Joint; ER; EWC; OSLA; A-GEM; SI; iCaRL</t>
  </si>
  <si>
    <t>Combines zero-shot cross-generator evaluation (27 generators) with chronological continual protocol; robustness at multiple severities; strong CL baselines</t>
  </si>
  <si>
    <t>Continual stage needs labelled target samples; per-generator results mainly in tables/figures; no adversarial tests</t>
  </si>
  <si>
    <t>Benchmark compiled from heterogeneous sources with different formats (JPEG vs PNG bias acknowledged)</t>
  </si>
  <si>
    <t>Shows foundation-model PEFT gives robust offline transfer and that continual updates are needed for newest generators</t>
  </si>
  <si>
    <t>Bridges zero-shot generalization and continual adaptation; documents JPEG-bias failure of low-level detectors</t>
  </si>
  <si>
    <t>Label-efficient or unsupervised continual adaptation; open-set triggering of updates</t>
  </si>
  <si>
    <t>Unsupervised (label-free) detection of GAN/diffusion-generated images robust to label-flipping attacks</t>
  </si>
  <si>
    <t>Noisy-label generation from initial spatial/frequency artifacts; contrastive pre-training and iterative high-confidence re-training of a feature extractor; k-means clustering with intra-cluster cosine similarity to label the fake cluster (generated images more mutually similar)</t>
  </si>
  <si>
    <t>CNN feature extractor (backbone comparison in Table VII); k-means</t>
  </si>
  <si>
    <t>Learned contrastive embeddings</t>
  </si>
  <si>
    <t>Initial frequency artefacts used for noisy-label assignment</t>
  </si>
  <si>
    <t>Cluster-level similarity statistic</t>
  </si>
  <si>
    <t>Per-forgery-model subsets (pre-training ~3K+3K; re-training ~10K+10K) without labels</t>
  </si>
  <si>
    <t>FFHQ; CelebA; COCO</t>
  </si>
  <si>
    <t>StyleGAN, StyleGAN2, StyleGAN3, StarGAN, Midjourney, Stable Diffusion (one per subset)</t>
  </si>
  <si>
    <t>~3K+3K pre-training and ~10K+10K re-training per subset</t>
  </si>
  <si>
    <t>Aligned and mismatched forgery-model subsets (cross-generator matrix)</t>
  </si>
  <si>
    <t>StyleGAN; StyleGAN2; StyleGAN3; StarGAN; Midjourney; Stable Diffusion</t>
  </si>
  <si>
    <t>2,000 per type in robustness tests</t>
  </si>
  <si>
    <t>Faces (FFHQ/CelebA) and COCO scenes</t>
  </si>
  <si>
    <t>Median filtering 3×3, average blur 3×3, 0.5× rescaling, Gaussian noise σ=0.2, gamma 0.8, JPEG Q95; label-flipping (data-poisoning) attack 10–50%</t>
  </si>
  <si>
    <t>Precision; Recall; F1; ACC; AP</t>
  </si>
  <si>
    <t>Aligned train/test subsets give best accuracy; rivals supervised detectors (Table IV)</t>
  </si>
  <si>
    <t>StyleGAN-family detectors transfer to each other and to diffusion; sharp drop on conditional StarGAN; diffusion-trained detectors fail on GANs</t>
  </si>
  <si>
    <t>Performance largely maintained under post-processing except Gaussian noise; nearly immune to label flipping while supervised baselines degrade sharply</t>
  </si>
  <si>
    <t>Label-free detector comparable to supervised baselines and robust to label-flipping</t>
  </si>
  <si>
    <t>Cross-family transfer asymmetric; StarGAN and GAN targets from diffusion training fail</t>
  </si>
  <si>
    <t>YES — mismatched train/test models give unsatisfying accuracy, especially StarGAN</t>
  </si>
  <si>
    <t>Supervised detectors (Wang/CNNSpot, Gragnaniello, etc.) and unsupervised Wu et al.</t>
  </si>
  <si>
    <t>Only unsupervised AIGI detector in corpus; label-flipping robustness; broad post-processing set</t>
  </si>
  <si>
    <t>Clustering assumes test batch contains both classes; per-subset training; cross-generator transfer weak; numbers mostly in tables</t>
  </si>
  <si>
    <t>Similarity assumption may fail for diverse generated sets; real/fake source pairing per subset</t>
  </si>
  <si>
    <t>Introduces label-free paradigm; generalization remains generator-family dependent</t>
  </si>
  <si>
    <t>Evidence on data-poisoning (label flipping) robustness and unsupervised detection</t>
  </si>
  <si>
    <t>Unsupervised detectors that generalize across families and work on single images</t>
  </si>
  <si>
    <t>Generalizable AIGC image detection with efficient non-causal global reasoning</t>
  </si>
  <si>
    <t>MLLA: artifact-aware tokenization (AAT) + Linear Local Attention blocks (depthwise convolution, linear attention, rotary positional embedding) stacked in a multi-scale encoder, replacing causal Mamba scanning</t>
  </si>
  <si>
    <t>Hierarchical MLLA encoder (VMamba-derived baseline replaced by LLA blocks)</t>
  </si>
  <si>
    <t>Local texture artifacts (shallow) and long-range global inconsistencies (deep) via linear local attention</t>
  </si>
  <si>
    <t>ForenSynths ProGAN (2-class and 4-class settings)</t>
  </si>
  <si>
    <t>Standard 2-/4-class ProGAN subsets (NR)</t>
  </si>
  <si>
    <t>GANs dataset (ForenSynths/[24]); UniversalFakeDetect diffusion dataset ([23])</t>
  </si>
  <si>
    <t>LSUN; ImageNet; LAION</t>
  </si>
  <si>
    <t>ProGAN, StyleGAN, StyleGAN2, BigGAN, CycleGAN, StarGAN, GauGAN, Deepfake; PNDM, Guided, DALL-E, VQ-Diffusion, LDM variants, Glide variants</t>
  </si>
  <si>
    <t>4-class ProGAN training: GAN dataset mean ACC 98.8%, AP 99.8%; diffusion dataset mean ACC 96.3%, AP 99.0% (+1.3 ACC vs FatFormer); UniFD ~85% ACC</t>
  </si>
  <si>
    <t>98.8% ACC on unseen GANs from ProGAN-only training</t>
  </si>
  <si>
    <t>No robustness or commercial-model-specific evaluation</t>
  </si>
  <si>
    <t>Frozen-CLIP UniFD reaches only ~85% ACC on diffusion set</t>
  </si>
  <si>
    <t>PatchFor; frequency methods (FreDect, BiHPF, FrePGA, FreqNet etc.); LGrad; UniFD; FatFormer</t>
  </si>
  <si>
    <t>Efficient linear-time architecture; strict ProGAN-only training with GAN→diffusion transfer</t>
  </si>
  <si>
    <t>Letter-length; no robustness tests; older benchmark generators only; no code</t>
  </si>
  <si>
    <t>Benchmark saturation on UniversalFakeDetect protocol</t>
  </si>
  <si>
    <t>Architectural evidence that non-causal global modelling aids cross-generator transfer</t>
  </si>
  <si>
    <t>Represents state-space/linear-attention architectures in AIGI detection</t>
  </si>
  <si>
    <t>Robustness and modern-generator evaluation for efficient architectures</t>
  </si>
  <si>
    <t>Efficient cross-architecture detection of diffusion-generated images using distilled reconstruction cues</t>
  </si>
  <si>
    <t>TMask: pre-trained DIRE-style teacher performs LPIPS-guided targeted masking of reconstruction-salient regions; two-step knowledge distillation (teacher → teacher-assistant on masked images → student on raw images) removes need for diffusion inversion at test time</t>
  </si>
  <si>
    <t>CNN teacher/assistant/student (ResNet-type; student 89.9 MB)</t>
  </si>
  <si>
    <t>RECONSTRUCTION</t>
  </si>
  <si>
    <t>Student attention on masked salient regions</t>
  </si>
  <si>
    <t>DDIM reconstruction-difference knowledge distilled into student</t>
  </si>
  <si>
    <t>LPIPS-adaptive mask threshold</t>
  </si>
  <si>
    <t>DiffusionForensics (DIRE) LSUN-Bedroom ADM subset</t>
  </si>
  <si>
    <t>LSUN-Bedroom</t>
  </si>
  <si>
    <t>ADM</t>
  </si>
  <si>
    <t>ADM 42k real + 42k fake (LSUN-Bedroom)</t>
  </si>
  <si>
    <t>DiffusionForensics LSUN-Bedroom (ADM, DDPM, iDDPM, PNDM); ImageNet (ADM, SD-v1); 500+500 StyleGAN bedroom set</t>
  </si>
  <si>
    <t>LSUN-Bedroom; ImageNet</t>
  </si>
  <si>
    <t>ADM; DDPM; iDDPM; PNDM; SD-v1; StyleGAN</t>
  </si>
  <si>
    <t>Per-generator subsets of DiffusionForensics; 1,000 StyleGAN test</t>
  </si>
  <si>
    <t>Bedrooms (LSUN) and ImageNet objects</t>
  </si>
  <si>
    <t>ACC; F1; Precision; Recall; time per image; parameter size</t>
  </si>
  <si>
    <t>ADM (LSUN) ACC 82.7%, F1 82.6%</t>
  </si>
  <si>
    <t>ADM-trained mean ACC 80.4% over 4 diffusion generators (DDPM 80.1, PNDM 79.7, iDDPM 79.1); LSUN→ImageNet ADM 80.1%, SD-v1 78.2%; StyleGAN 66.0%</t>
  </si>
  <si>
    <t>Matches/exceeds DIRE, LaRE and AIDE with &gt;50% smaller model and &gt;30% lower latency</t>
  </si>
  <si>
    <t>Drops to 66.0% on GAN images; absolute accuracy ~80%</t>
  </si>
  <si>
    <t>YES — GAN-trained baselines ~50% on diffusion; TMask degrades on StyleGAN (cross-family)</t>
  </si>
  <si>
    <t>CNNDet; GANDet; Patchfor; SBI; F3Net; DIRE; LaRE; AIDE</t>
  </si>
  <si>
    <t>YES (attention heatmaps vs DIRE)</t>
  </si>
  <si>
    <t>Efficient distillation of reconstruction cues; cross-scene (LSUN→ImageNet) and cross-family checks; honest GAN failure reporting</t>
  </si>
  <si>
    <t>Few, older diffusion generators; no commercial models; no robustness tests; ~80% absolute ACC; heavy training cost</t>
  </si>
  <si>
    <t>DiffusionForensics real/fake format and resolution differences</t>
  </si>
  <si>
    <t>Reconstruction cues transfer within diffusion family but not to GANs</t>
  </si>
  <si>
    <t>Shows efficiency route for reconstruction-based detectors and their family-specificity</t>
  </si>
  <si>
    <t>Family-agnostic reconstruction cues; robustness of distilled detectors</t>
  </si>
  <si>
    <t>Generalizable synthetic image detection via language-guided image–text contrastive training</t>
  </si>
  <si>
    <t>LASTED: training images augmented with textual labels (main Real/Synthetic + caption-derived secondary labels via ClipCap); joint image–text contrastive loss on CLIP-initialised encoders; nearest-neighbour or linear-probe inference</t>
  </si>
  <si>
    <t>CLIP ResNet50x64 image encoder + Text Transformer (ConvNeXt, ViT, MiT ablated)</t>
  </si>
  <si>
    <t>Learned forensic feature space from ResNet encoder</t>
  </si>
  <si>
    <t>Language-guided contrastive alignment with textual labels/captions</t>
  </si>
  <si>
    <t>Tgan (ForenSynths ProGAN) and Tfuse (LSUN/ProGAN + Danbooru/SD paintings)</t>
  </si>
  <si>
    <t>LSUN; Danbooru</t>
  </si>
  <si>
    <t>ProGAN; Stable Diffusion (paintings, Tfuse)</t>
  </si>
  <si>
    <t>Tfuse 4×200K images (1% validation); ForenSynths ProGAN train</t>
  </si>
  <si>
    <t>Tgan (10 unseen GAN/other subsets); Tdf (Ju et al., with post-processing and anti-forensics); Tfuse test (cross-domain photos/paintings); Twild (4K platform images + 2,229 real artist paintings)</t>
  </si>
  <si>
    <t>LSUN; ImageNet; VISION; CelebA; GTA; FFHQ; Danbooru; Artist paintings</t>
  </si>
  <si>
    <t>StyleGAN, BigGAN, CycleGAN, StarGAN, GauGAN, CRN, IMLE, SITD, SAN, Deepfake; 3DGAN, StyleGAN2/3, LSGM, LDM, Transformer; DALL-E, GLIDE, Guided, Latent; DreamBooth, Midjourney V4/V5, NightCafe, StableAI, YiJian</t>
  </si>
  <si>
    <t>Tdf 46,400 synthetic; Twild ~4K synthetic + 2,229 real</t>
  </si>
  <si>
    <t>Photographs, faces, game renders, anime/artist paintings</t>
  </si>
  <si>
    <t>Tdf blending, CW anti-forensic attack, multi-image compression, mixed post-processing; platform-shared images (Twild)</t>
  </si>
  <si>
    <t>AP</t>
  </si>
  <si>
    <t>Tgan mean AP .974 (best baseline .927); Tdf .952; Tfuse .913 (+10.4% vs second); Twild .941 (+5.1%)</t>
  </si>
  <si>
    <t>Tdf anti-forensics AP .947, multi-compression .902; stable under JPEG/blur/noise/downsampling on Twild where CR/Grag drop &gt;10% at QF50</t>
  </si>
  <si>
    <t>ProGAN-trained AP .974 across 10 unseen GAN-type subsets</t>
  </si>
  <si>
    <t>Multi-compression AP .902; Guided diffusion AP ~.80–.83 on Tfuse</t>
  </si>
  <si>
    <t>YES — baselines fall to AP .50–.70 on Guided/Latent DMs; UniDet .648 on GLIDE</t>
  </si>
  <si>
    <t>Wang/CNNSpot; CR; Gragnaniello; LGrad; DIRE; HiFi-Net; UniDet</t>
  </si>
  <si>
    <t>YES (feature distribution visualisation)</t>
  </si>
  <si>
    <t>Four test regimes incl. in-the-wild platform images and painting domain; anti-forensic and multi-compression tests; open code</t>
  </si>
  <si>
    <t>AP-only reporting (no fixed-threshold ACC); Tfuse training includes SD paintings so some diffusion tests are not family-unseen</t>
  </si>
  <si>
    <t>Full text is arXiv v2 author version of the IEEE TAI article; numbers may differ slightly from final version</t>
  </si>
  <si>
    <t>Language supervision yields transferable forensic features across families and content domains</t>
  </si>
  <si>
    <t>Key semantic/contrastive generalization evidence with real-world platform test set</t>
  </si>
  <si>
    <t>Threshold-calibrated reporting; adversarial training across modalities</t>
  </si>
  <si>
    <t>Systematic analysis of colour-space input representations for AI-generated image detection on CIFAKE</t>
  </si>
  <si>
    <t>Two-stage study: 7 raw colour spaces (RGB, YCbCr, Lab, HSV, LCh, Wavelet, Opponent) × 3 lightweight CNNs, then 9 YCbCr/Lab fusion variants with gray, edge, Laplacian and noise maps; 144 runs with seed ensembling, temperature scaling, bootstrap CIs and Friedman/Wilcoxon-FDR tests</t>
  </si>
  <si>
    <t>EfficientNet-B0; RegNetY-002; ReXNet-100</t>
  </si>
  <si>
    <t>SPATIAL + FREQUENCY + NOISE</t>
  </si>
  <si>
    <t>Colour-space channels (YCbCr, Lab, etc.), gray, edge and Laplacian maps</t>
  </si>
  <si>
    <t>Wavelet colour representation</t>
  </si>
  <si>
    <t>Noise feature maps; luminance–chrominance separation</t>
  </si>
  <si>
    <t>CIFAKE</t>
  </si>
  <si>
    <t>CIFAR-10</t>
  </si>
  <si>
    <t>CIFAKE 50k real + 50k fake train</t>
  </si>
  <si>
    <t>CIFAKE test; zero-shot Tiny-GenImage (500 real/500 fake per generator)</t>
  </si>
  <si>
    <t>CIFAR-10; ImageNet (Tiny-GenImage)</t>
  </si>
  <si>
    <t>SD1.4 (CIFAKE); GenImage generators in Tiny-GenImage</t>
  </si>
  <si>
    <t>CIFAKE 10k+10k; Tiny-GenImage 500+500 per generator</t>
  </si>
  <si>
    <t>CIFAR-10 low-resolution object classes; ImageNet (zero-shot test)</t>
  </si>
  <si>
    <t>JPEG Q95/75/50; Gaussian blur levels 1–2; resize to 224/192; resolution sensitivity 32/128/256</t>
  </si>
  <si>
    <t>ACC; F1; AUC; per-class P/R/F1; predicted-fake rate; bootstrap 95% CIs; Friedman/Wilcoxon tests; Kendall's W</t>
  </si>
  <si>
    <t>Best CIFAKE ACC 98.91% (95% CI 98.77–99.05), F1 98.91%, AUC 99.93% (EfficientNet-B0, YCbCr)</t>
  </si>
  <si>
    <t>Train-on-CIFAKE zero-shot Tiny-GenImage: near-random ACC 48.70–51.10%, AUC 35.70–53.43%</t>
  </si>
  <si>
    <t>JPEG/resizing ACC 97.20–98.12%, AUC 99.57–99.83%; mild blur 97.81%; strong blur drops to 91.75%</t>
  </si>
  <si>
    <t>98.91% CIFAKE ACC with statistically supported colour-space ranking</t>
  </si>
  <si>
    <t>Complete collapse to chance on unseen generators/domain</t>
  </si>
  <si>
    <t>YES — explicit zero-shot cross-generator failure (ACC ≈50%, AUC as low as 35.7%)</t>
  </si>
  <si>
    <t>CIFAKE literature (Bird &amp; Lotfi; Islam et al.; Gunukula et al.; transformer methods; Lanzino et al.; Chen et al.) on heterogeneous protocols</t>
  </si>
  <si>
    <t>Unusually rigorous statistics (3 seeds, CIs, non-parametric tests); transparent negative zero-shot result; robustness and resolution sensitivity</t>
  </si>
  <si>
    <t>Single low-resolution benchmark; single training generator; no cross-domain training; literature comparison not head-to-head</t>
  </si>
  <si>
    <t>CIFAKE 32×32 upsampling and SD1.4-only fakes encourage dataset-specific shortcuts</t>
  </si>
  <si>
    <t>Strong negative evidence: near-ceiling in-benchmark accuracy does not transfer</t>
  </si>
  <si>
    <t>Clear demonstration of the in-distribution vs out-of-distribution gap on CIFAKE</t>
  </si>
  <si>
    <t>CIFAKE-centric evaluation is insufficient; need multi-generator, higher-resolution benchmarks</t>
  </si>
  <si>
    <t>Generalizable and interpretable AI-generated image detection with MLLM forgery reasoning (FDR-Task)</t>
  </si>
  <si>
    <t>FakeReasoning: LLaVA-1.5-13B with dual-branch CLIP + DINO ViT-L/14 encoders, Forgery-Aware Feature Fusion (cross-attention biased by DINO attention maps), Classification Probability Mapper coupling language output to detection; four-stage forgery-reasoning chain-of-thought; MMFR-Dataset (120K images, 378K GPT-4o reasoning annotations, expert-verified)</t>
  </si>
  <si>
    <t>LLaVA-1.5-13B (LoRA r=128) + frozen CLIP ViT-L/14 and DINO ViT-L/14</t>
  </si>
  <si>
    <t>DINO low-level artifact features and attention maps</t>
  </si>
  <si>
    <t>CLIP semantics; MLLM language reasoning over forgery attributes (lighting, texture, edges, semantic rationality)</t>
  </si>
  <si>
    <t>Textual forgery-attribute reasoning</t>
  </si>
  <si>
    <t>MMFR-Dataset training set</t>
  </si>
  <si>
    <t>Real natural images across object/animal/art/scene/architecture/text classes</t>
  </si>
  <si>
    <t>Stable Diffusion only</t>
  </si>
  <si>
    <t>50,266 synthetic + 50,990 real images</t>
  </si>
  <si>
    <t>MMFR evaluation sets (10 generators); DRCT-2M; GenImage; LOKI benchmark</t>
  </si>
  <si>
    <t>MMFR real evaluation images; DRCT-2M/MSCOCO; ImageNet; LOKI</t>
  </si>
  <si>
    <t>10 generators incl. unseen GANs, diffusion models, Midjourney, DALL-E 3, FLUX, GPT-4o; DRCT-2M SD variants and edits; GenImage 8 generators</t>
  </si>
  <si>
    <t>MMFR evaluation 10,000 synthetic + real</t>
  </si>
  <si>
    <t>Objects, animals, art, scenes, architecture, text images; LOKI satellite/document</t>
  </si>
  <si>
    <t>JPEG QF 100–60, resize 0.6–1.4, Gaussian noise σ 0–12 (DRCT protocol)</t>
  </si>
  <si>
    <t>ACC; BLEU-1; ROUGE-L; CSS (reasoning)</t>
  </si>
  <si>
    <t>NR separately (SD among evaluation sets)</t>
  </si>
  <si>
    <t>MMFR average ACC 94.06% (DM 94.08, GAN 94.00), +6.97 over next-best LOTA; best on 7/10 generators; LOKI ACC 86.73% vs ~49–50% for FakeShield/SIDA/LEGION</t>
  </si>
  <si>
    <t>Highest accuracy across all JPEG/resize/noise levels; NPR collapses to near-random under mild perturbation; UniFD stable</t>
  </si>
  <si>
    <t>SD-only training generalizes to unseen GANs and commercial models with ~94% ACC and consistent reasoning</t>
  </si>
  <si>
    <t>FLUX and Midjourney hardest; LOTA collapses on DALL-E 3/FLUX</t>
  </si>
  <si>
    <t>YES — MLLM-based detectors (FakeShield, SIDA, LEGION) near chance with high false positives; low-level detectors fail under degradation</t>
  </si>
  <si>
    <t>UniFD; DE-FAKE; FatFormer; C2P; Effort; NPR; DRCT; FreqNet; SPAI; AIDE; LOTA; LLaVA, Qwen2.5-VL, InternVL2.5, GLM-4V, DeepSeek-VL2; FakeShield; SIDA; LEGION</t>
  </si>
  <si>
    <t>YES (natural-language forgery reasoning)</t>
  </si>
  <si>
    <t>Single-generator training with tests on 10 generators, 3 external benchmarks and degradations; interpretable reasoning; strong recent baselines incl. MLLM detectors</t>
  </si>
  <si>
    <t>13B MLLM cost; reasoning ground truth is GPT-4o-generated; no adversarial tests; per-generator numbers partly in figures</t>
  </si>
  <si>
    <t>Evaluated from arXiv v4 author version of IEEE TIP article; GPT-4o annotation bias</t>
  </si>
  <si>
    <t>High: MLLM with fused CLIP/DINO features transfers across families and domains and adds explainability</t>
  </si>
  <si>
    <t>Represents emerging MLLM reasoning-based detection with strong cross-generator evidence</t>
  </si>
  <si>
    <t>Efficient reasoning detectors; adversarial robustness; validation of reasoning faithfulness</t>
  </si>
  <si>
    <t>Three-class real / GAN / diffusion classification and binary detection with generalization to unseen architectures</t>
  </si>
  <si>
    <t>DeepFeatureX-SN: three DenseNet-161 base models (REAL-, GAN-, DM-specialised) trained with Siamese contrastive learning; concatenated features classified by CNN classifier</t>
  </si>
  <si>
    <t>DenseNet-161 ×3 (ImageNet-initialised) + CNN classifier</t>
  </si>
  <si>
    <t>Contrastively learned class-specific deep features</t>
  </si>
  <si>
    <t>Family-level (GAN vs DM) source cues</t>
  </si>
  <si>
    <t>Custom balanced dataset (72,334 PNG images; 40%/40%/20% splits)</t>
  </si>
  <si>
    <t>CelebA; FFHQ; other real sources</t>
  </si>
  <si>
    <t>AttGAN, BigGAN, CycleGAN, GauGAN, GDWCT, ProGAN, StarGAN, StyleGAN, StyleGAN2, StyleGAN3; DALL-E 2, DALL-E mini, Glide, Latent Diffusion, Stable Diffusion</t>
  </si>
  <si>
    <t>~57.9k images for base models and classifier (80%)</t>
  </si>
  <si>
    <t>Held-out 20% split; generalization sets T(i/o) for GAN, DM and mixed (2,000 fake + 2,000 real each, JPEG-compressed)</t>
  </si>
  <si>
    <t>AFHQ; ImageNet; COCO (generalization); CelebA/FFHQ (inference)</t>
  </si>
  <si>
    <t>Seen-architecture variants (GauGAN, BigGAN, ProGAN, CycleGAN, COCOFake, SD1); unseen GANformer, Denoising-Diffusion GAN, Diffusion-GAN, Projected GAN, Taming Transformers, VQ-Diffusion, DDPM, Glide</t>
  </si>
  <si>
    <t>4,000 per generalization set</t>
  </si>
  <si>
    <t>Faces, animals, landscapes, objects, bedrooms, buildings, art</t>
  </si>
  <si>
    <t>JPEG QF 90–50; mirroring; ±45° rotation; ×2 and ×0.5 resizing; JPEG-compressed generalization sets</t>
  </si>
  <si>
    <t>ACC (three-class and binary)</t>
  </si>
  <si>
    <t>Three-class ACC 97.29%; binary 97.70%</t>
  </si>
  <si>
    <t>Average generalization ACC 67.40% (unseen GAN 74.45%, unseen DM 57.24%) vs ≤65.84% for prior methods; most baselines ~50%</t>
  </si>
  <si>
    <t>Binary ACC 96.48% (QF90) → 69.85% (QF50); rotation 81–85%; ×2 upscaling 61.11%; ×0.5 90.19%</t>
  </si>
  <si>
    <t>97.7% binary in-distribution; +~10% generalization over GAN-only baselines</t>
  </si>
  <si>
    <t>Unseen diffusion models only 57.24%; heavy JPEG and upscaling degrade strongly</t>
  </si>
  <si>
    <t>YES — generalization ~67% average, near chance for unseen DMs; trained on raw PNG but tested on JPEG</t>
  </si>
  <si>
    <t>Gandhi2020; Wang2020 (CNNSpot); Arshed2024; Guarnera2024; Pontorno2024 (DeepFeatureX)</t>
  </si>
  <si>
    <t>Explicit seen-vs-unseen architecture splits for GAN and DM; robustness battery; code released</t>
  </si>
  <si>
    <t>Trained with both families so no family-held-out test; modest absolute generalization; PNG-train/JPEG-test confound</t>
  </si>
  <si>
    <t>Format mismatch (PNG train vs JPEG test) conflates compression robustness with generator shift</t>
  </si>
  <si>
    <t>Shows family-specialised contrastive features give limited transfer to unseen architectures</t>
  </si>
  <si>
    <t>Evidence that even multi-family training yields ~67% unseen-architecture accuracy</t>
  </si>
  <si>
    <t>Better transfer to unseen diffusion models; format-consistent evaluation</t>
  </si>
  <si>
    <t>Metric</t>
  </si>
  <si>
    <t>multiple</t>
  </si>
  <si>
    <t>Analysis-Ready Data Extraction Matrix — 99 Included Studies</t>
  </si>
  <si>
    <t>Normalized from 08_Data Extraction. R0151 removed (full-text exclusion). Controlled vocabularies standardized; suspect tail-column shifts in R0106, R0128 and R0259 repaired against full-text evidence. Stage 5 (2026-10-21): 25 newly screened full-text INCLUDE records added (Validation_Status = Pending).</t>
  </si>
  <si>
    <t>CONTINUAL-ADAPTIVE</t>
  </si>
  <si>
    <t>OPEN-SET</t>
  </si>
  <si>
    <t>Evaluated across 14 unseen test categories spanning GANs, Diffusion Models, Autoregressive Models, and real-world scenes. Trained on 2,000 images (ProGAN + ADM). Robustness against noise, denoising, JPEG, blur, resampling, and resizing evaluated. | Normalization: `FEW-SHOT` normalized to ZERO-SHOT for target-domain transfer because no target data/calibration were used.</t>
  </si>
  <si>
    <t>Evaluated across 4 classes (Real Malignant, DCGAN, WGAN, Stable Diffusion). Total dataset size of 2,000 images. Compared partial, full, and scratch training across 5 CNN backbones. | Normalization: `ADAPTED` normalized to N/A because the paper reports only in-domain evaluation, not target-domain adaptation.</t>
  </si>
  <si>
    <t>Evaluated against 3 SOTA detectors (Wang, Gragnaniello, Kitware) across 6 GAN architectures. Tested against 36,000 facial images. Code made publicly available. | Normalization: `ADAPTED` normalized to ZERO-SHOT for the reported unseen-generator transfer because target data were not used.</t>
  </si>
  <si>
    <t>AUC; Accuracy; F1; TPR@FPR=0.05; cross-model mean/SD; unseen-model detection rate; performance-retention rate</t>
  </si>
  <si>
    <t>Full-image AUC 0.962; local-image AUC 0.801; F1 0.85; TPR 0.89 at FPR 0.05</t>
  </si>
  <si>
    <t>Cross-model mean ACC 0.81 (SD 0.026); unseen-model detection rate 0.76; MAE ACC 0.78 was lowest tested cross-model result</t>
  </si>
  <si>
    <t>Compression performance-retention rate 0.93; low-resolution recognition/retention rate 0.88</t>
  </si>
  <si>
    <t>Cross-model mean ACC 0.81 with low SD 0.026 and unseen-model detection rate 0.76</t>
  </si>
  <si>
    <t>MAE cross-model ACC 0.78; local-image AUC 0.801 vs full-image AUC 0.962</t>
  </si>
  <si>
    <t>MAE is the hardest tested generator family (0.78 ACC); local-region detection is weaker than full-image detection.</t>
  </si>
  <si>
    <t>Pixel-level anomaly maps (A_map) and feature-difference mappings (M_diff)</t>
  </si>
  <si>
    <t>Dynamic frequency-band attention for multi-style artworks; contrastive spectral learning; explicit unseen-model evaluation including Midjourney V5 and DALL-E 3</t>
  </si>
  <si>
    <t>Higher computational cost than CNN-DCT; lower performance on MAE generators; art-domain specificity</t>
  </si>
  <si>
    <t>Art-domain specialization may limit transfer to photorealistic natural images; unseen-model suite is still finite.</t>
  </si>
  <si>
    <t>Evaluates frequency/contrastive representations across multiple unseen generation technologies, including modern commercial models.</t>
  </si>
  <si>
    <t>Shows adaptive frequency attention plus contrastive spectral learning can substantially outperform static frequency analysis under cross-model shift.</t>
  </si>
  <si>
    <t>Emerging non-diffusion generators such as MAE remain harder to detect, and broad natural-image transfer remains unresolved.</t>
  </si>
  <si>
    <t>Training performed on Latent Diffusion and Standard Diffusion from AI-ArtBench. Evaluation includes unseen models (StyleGAN2, Midjourney, DALL-E, MAE, Midjourney V5, DALL-E 3), confirming zero-shot cross-generator and cross-family testing. Dataset availability confirmed via Kaggle. Code availability declared in manuscript. | Normalization: Tail fields and performance columns realigned against full-text evidence; SCADET ablations and CNN-DCT baseline verified.</t>
  </si>
  <si>
    <t>Evaluated on standard public CIFAKE dataset. Statistical significance validated via McNemar's test ($p &lt; 0.0001$). | Normalization: Ablation_Study normalized to YES: Comparison between baseline ResNet-50 and SE-ResNet50. | Normalization: Code_Available normalized to NO: Code stated as available only upon reasonable request; coded as not publicly available. | Normalization: Dataset_Available normalized to YES: CIFAKE publicly available on Kaggle.</t>
  </si>
  <si>
    <t>Evaluated on the newly introduced Synthbuster benchmark across 9 diffusion models. Dataset and code are open-access. | Normalization: Ablation_Study normalized to YES: Cross-difference vs. DnCNN denoiser residual extraction. | Normalization: Code_Available normalized to YES: Public GitHub repository. | Normalization: Dataset_Available normalized to YES: Dataset available through Zenodo.</t>
  </si>
  <si>
    <t>High zero-shot cross-generator performance across 20 test sets; parameter-efficient LoRA adaptation; RGB/HSV/Lab fusion; semantic concept alignment</t>
  </si>
  <si>
    <t>Lower accuracy on modern high-fidelity diffusion models such as SDv2/SDXL/Midjourney; weaker on stylized/abstract imagery; no dedicated post-processing robustness suite</t>
  </si>
  <si>
    <t>Evaluation is largely on unperturbed benchmark splits; LoRA is trained on a ProGAN source distribution, so residual benchmark/source confounding may remain.</t>
  </si>
  <si>
    <t>Demonstrates broad zero-shot transfer from ProGAN training to 20 GAN, diffusion and other generator test sets using CLIP-based multi-color-space features.</t>
  </si>
  <si>
    <t>Shows that semantic foundation-model features combined with multi-color-space artifact cues improve cross-family generalization substantially.</t>
  </si>
  <si>
    <t>Modern latent diffusion and highly stylized synthetic imagery remain substantially harder despite advanced CLIP-based generalization.</t>
  </si>
  <si>
    <t>Evaluated on 20 standard datasets. Systematic ablation studies validate LoRA rank/placement and color space choices. | Normalization: Ablation_Study normalized to YES: Module effectiveness, LoRA injection location/rank, color spaces, and loss weighting. | Normalization: Code_Available normalized to NO: No public code release identified in the extracted record. | Normalization: Dataset_Available normalized to YES: Uses public CNNSpot, GenImage, DRCT and PatchCraft benchmarks. | Normalization: Tail fields realigned; LoRA/color-space ablations and 20-test-set evaluation verified from full text.</t>
  </si>
  <si>
    <t>Evaluated on Kaggle CIPLab dataset via 5-fold cross-validation. Ablation study confirms the contribution of the adaptive mechanism. | Normalization: Ablation_Study normalized to YES: Lite-CNN, DCGAN/Adaptive-DCGAN variants and adaptive-factor ablations. | Normalization: Code_Available normalized to YES: Reported as available upon request in source extraction. | Normalization: Dataset_Available normalized to YES: Public Kaggle/CIPLab dataset.</t>
  </si>
  <si>
    <t>Evaluated across 11 cross-dataset domains and multiple degradation conditions. Open-source data and code available. | Normalization: Ablation_Study normalized to YES: Only Semantic, Only Artifact, Simple Concat, and EXACT variants.</t>
  </si>
  <si>
    <t>Evaluated on a custom 4,000-image dataset. SHAP and Grad-CAM used for XAI analysis. | Normalization: Ablation_Study normalized to YES: RGB-only baseline vs multimodal semantic-mask model.</t>
  </si>
  <si>
    <t>Evaluated across 10 unseen generators. Trained exclusively on Stable Diffusion v1.4 (60k images). | Normalization: Ablation_Study normalized to YES: VCP/TFM/ACF, fusion strategies and inversion-step ablations.</t>
  </si>
  <si>
    <t>Evaluated across 3 distinct datasets (CIFAKE, RVF-10K, Art Images). Custom ViT vs ResNet50/101 baselines. | Normalization: Ablation_Study normalized to YES: Patch size, resolution, transformer depth, MLP dimension and scheduler ablations. | Normalization: Dataset_Available normalized to YES: CIFAKE, RVF-10K and Art Images are public Kaggle datasets.</t>
  </si>
  <si>
    <t>Evaluated on newly collected STSF benchmark (358 semantic fakes, 968 real images). RADAR compared against low-level (DIRE, RIGID) and object detection (Faster-RCNN, DETR) baselines. | Normalization: Hybrid setup contains LoRA fine-tuning and a zero-shot ChatGPT component; normalized to MIXED. | Normalization: Ablation_Study normalized to YES: Without ChatGPT Assistor and cross-category variants. | Normalization: Dataset_Available normalized to YES: STSF dataset reported as publicly shared via Google Drive.</t>
  </si>
  <si>
    <t>Denoising; sharpening; resampling (10% upsampling/downsampling)</t>
  </si>
  <si>
    <t>Systematic decomposition of intra-model vs cross-model source mismatch; broad modern diffusion/DiT evaluation; comparison of holistic, atomistic and weighted mitigation strategies</t>
  </si>
  <si>
    <t>Evaluation uses grayscale 128×128 patches; OOD sources wholly absent from mitigation training remain difficult; scope is primarily diffusion-based image synthesis.</t>
  </si>
  <si>
    <t>Mitigation success depends on including diverse source conditions during training; completely unseen-source OOD generalization remains unresolved.</t>
  </si>
  <si>
    <t>Directly quantifies how source-model components, hyperparameters and post-processing shifts undermine detector transfer.</t>
  </si>
  <si>
    <t>Establishes source mismatch as a core reason matched-condition evaluations overestimate real-world AIGI detection performance.</t>
  </si>
  <si>
    <t>Generalization to completely unseen source configurations remains open even when multi-source mitigation substantially reduces known-source mismatch.</t>
  </si>
  <si>
    <t>Structured extraction completed directly from paper R0259. | Normalization: Non-adversarial robustness operations moved from Adversarial_Attack to Other_Robustness. | Normalization: Tail fields realigned; paper explicitly states that mismatch remains for sources completely absent from training.</t>
  </si>
  <si>
    <t>Status</t>
  </si>
  <si>
    <t>Frequency / spectral</t>
  </si>
  <si>
    <t>Semantic / foundation-model</t>
  </si>
  <si>
    <t>Study-Level Generalization Evidence Map</t>
  </si>
  <si>
    <t>Protocol</t>
  </si>
  <si>
    <t>Unseen_Generator</t>
  </si>
  <si>
    <t>Cross_Family</t>
  </si>
  <si>
    <t>Cross_Dataset</t>
  </si>
  <si>
    <t>Cross_Domain</t>
  </si>
  <si>
    <t>Open_Set</t>
  </si>
  <si>
    <t>Continual_Adaptive</t>
  </si>
  <si>
    <t>Robustness</t>
  </si>
  <si>
    <t>Evidence_Supports</t>
  </si>
  <si>
    <t>Author_Claims</t>
  </si>
  <si>
    <t>Unseen generator</t>
  </si>
  <si>
    <t>Continual/adaptive</t>
  </si>
  <si>
    <t>Cross-family</t>
  </si>
  <si>
    <t>Cross-domain/content</t>
  </si>
  <si>
    <t>Adversarial / counter-forensic</t>
  </si>
  <si>
    <t>Open-set / uncertainty</t>
  </si>
  <si>
    <t>Final Multi-Axis Taxonomy Framework for the SLR</t>
  </si>
  <si>
    <t>Axis</t>
  </si>
  <si>
    <t>Level 1</t>
  </si>
  <si>
    <t>Level 2 / subtype</t>
  </si>
  <si>
    <t>Definition</t>
  </si>
  <si>
    <t>Typical cues/examples</t>
  </si>
  <si>
    <t>Coding rule</t>
  </si>
  <si>
    <t>Can overlap?</t>
  </si>
  <si>
    <t>Role in paper</t>
  </si>
  <si>
    <t>A. Detection objective</t>
  </si>
  <si>
    <t>Detection</t>
  </si>
  <si>
    <t>Binary real vs AI-generated</t>
  </si>
  <si>
    <t>Determine authenticity at image/frame level</t>
  </si>
  <si>
    <t>Real/fake classifier</t>
  </si>
  <si>
    <t>Use when primary output is authenticity</t>
  </si>
  <si>
    <t>NO — primary task is single-valued</t>
  </si>
  <si>
    <t>RQ1 / overview</t>
  </si>
  <si>
    <t>Attribution</t>
  </si>
  <si>
    <t>Source attribution</t>
  </si>
  <si>
    <t>Identify generator/model/family</t>
  </si>
  <si>
    <t>Generator fingerprint/classifier</t>
  </si>
  <si>
    <t>Use when source identity is primary output</t>
  </si>
  <si>
    <t>Localization</t>
  </si>
  <si>
    <t>Manipulation/local-region localization</t>
  </si>
  <si>
    <t>Identify generated/edited regions</t>
  </si>
  <si>
    <t>Masks, anomaly maps, patch scores</t>
  </si>
  <si>
    <t>Use when output is spatial localization</t>
  </si>
  <si>
    <t>Hybrid task</t>
  </si>
  <si>
    <t>Detection+attribution / detection+localization</t>
  </si>
  <si>
    <t>Joint objectives</t>
  </si>
  <si>
    <t>Multi-head systems</t>
  </si>
  <si>
    <t>Use exact controlled Primary_Task label</t>
  </si>
  <si>
    <t>B. Forensic evidence family</t>
  </si>
  <si>
    <t>Spatial / visual artifact</t>
  </si>
  <si>
    <t>Texture / local artifact</t>
  </si>
  <si>
    <t>Pixel-space or patch-space visual inconsistencies</t>
  </si>
  <si>
    <t>textures, edges, boundaries, local anomalies</t>
  </si>
  <si>
    <t>Primary when spatial visual evidence is the dominant mechanism</t>
  </si>
  <si>
    <t>YES — secondary cues allowed</t>
  </si>
  <si>
    <t>MAIN METHOD TAXONOMY</t>
  </si>
  <si>
    <t>Patch / region consistency</t>
  </si>
  <si>
    <t>Inter-patch or local-global inconsistency</t>
  </si>
  <si>
    <t>patch relations, attention maps</t>
  </si>
  <si>
    <t>Use when method explicitly models patch/region relations</t>
  </si>
  <si>
    <t>Fourier / DCT spectral cues</t>
  </si>
  <si>
    <t>Frequency-domain periodicity or energy artifacts</t>
  </si>
  <si>
    <t>FFT, DCT, spectral energy</t>
  </si>
  <si>
    <t>Primary when frequency analysis is the central detector mechanism</t>
  </si>
  <si>
    <t>Wavelet / multi-band cues</t>
  </si>
  <si>
    <t>Multi-resolution spectral decomposition</t>
  </si>
  <si>
    <t>DWT, wavelets, frequency bands</t>
  </si>
  <si>
    <t>Use when wavelet/multiband decomposition is explicit</t>
  </si>
  <si>
    <t>Noise / residual forensic</t>
  </si>
  <si>
    <t>Noise residual / camera-like traces</t>
  </si>
  <si>
    <t>Residual statistics separating camera and synthesis processes</t>
  </si>
  <si>
    <t>PRNU-like traces, denoising residuals, high-pass noise</t>
  </si>
  <si>
    <t>Separate from generic frequency if residual/noise statistics are central</t>
  </si>
  <si>
    <t>Source / fingerprint forensic</t>
  </si>
  <si>
    <t>Generator fingerprint</t>
  </si>
  <si>
    <t>Model/source-specific generation traces</t>
  </si>
  <si>
    <t>fingerprints, architecture traces, source signatures</t>
  </si>
  <si>
    <t>Primary for source-attribution/fingerprint methods</t>
  </si>
  <si>
    <t>CLIP/VLM representation</t>
  </si>
  <si>
    <t>Broad pretrained semantic/visual embeddings</t>
  </si>
  <si>
    <t>CLIP, BLIP, VLM, pretrained ViT</t>
  </si>
  <si>
    <t>Primary only if pretrained semantic representation is central</t>
  </si>
  <si>
    <t>Prompt / concept alignment</t>
  </si>
  <si>
    <t>Text-image or semantic prototype evidence</t>
  </si>
  <si>
    <t>prompts, semantic prototypes, concept loss</t>
  </si>
  <si>
    <t>Use when language/semantic alignment contributes directly</t>
  </si>
  <si>
    <t>Reconstruction / inversion</t>
  </si>
  <si>
    <t>Reconstruction consistency</t>
  </si>
  <si>
    <t>Real/fake difference after reconstruction</t>
  </si>
  <si>
    <t>DIRE-like reconstruction error</t>
  </si>
  <si>
    <t>Primary if reconstruction/inversion is the core forensic signal</t>
  </si>
  <si>
    <t>Diffusion trajectory / latent cues</t>
  </si>
  <si>
    <t>Latent or denoising dynamics used as evidence</t>
  </si>
  <si>
    <t>latent mismatch, diffusion steps, trajectory features</t>
  </si>
  <si>
    <t>Use for process-specific latent/diffusion methods</t>
  </si>
  <si>
    <t>Geometry / physical cues</t>
  </si>
  <si>
    <t>Geometry / biometric structure</t>
  </si>
  <si>
    <t>Physical/structural inconsistencies</t>
  </si>
  <si>
    <t>3D face geometry, landmarks, physical constraints</t>
  </si>
  <si>
    <t>Use only when explicit physical/geometry evidence is central</t>
  </si>
  <si>
    <t>Hybrid / multi-cue</t>
  </si>
  <si>
    <t>Explicit fusion</t>
  </si>
  <si>
    <t>Two or more evidence families are jointly central</t>
  </si>
  <si>
    <t>spatial+frequency, semantic+noise, semantic+reconstruction</t>
  </si>
  <si>
    <t>Code as HYBRID only when fusion itself is part of the method contribution</t>
  </si>
  <si>
    <t>C. Learning / model strategy</t>
  </si>
  <si>
    <t>Conventional discriminative</t>
  </si>
  <si>
    <t>CNN / transformer classifier</t>
  </si>
  <si>
    <t>End-to-end supervised discrimination</t>
  </si>
  <si>
    <t>CNN, ViT, Swin, EfficientNet</t>
  </si>
  <si>
    <t>Architecture alone is not a forensic family</t>
  </si>
  <si>
    <t>RQ1 supporting taxonomy</t>
  </si>
  <si>
    <t>Foundation-model transfer</t>
  </si>
  <si>
    <t>Frozen / fine-tuned pretrained model</t>
  </si>
  <si>
    <t>Transfer from broad pretrained model</t>
  </si>
  <si>
    <t>CLIP, ViT, BLIP, LoRA</t>
  </si>
  <si>
    <t>Code separately from semantic evidence family</t>
  </si>
  <si>
    <t>RQ1/RQ3</t>
  </si>
  <si>
    <t>Contrastive / metric learning</t>
  </si>
  <si>
    <t>Representation separation/alignment</t>
  </si>
  <si>
    <t>Contrastive, triplet, prototype losses</t>
  </si>
  <si>
    <t>SupCon, prototypes</t>
  </si>
  <si>
    <t>Use when explicit metric/contrastive objective is central</t>
  </si>
  <si>
    <t>RQ3</t>
  </si>
  <si>
    <t>Disentanglement / invariance</t>
  </si>
  <si>
    <t>Separate content/source from authenticity</t>
  </si>
  <si>
    <t>Feature factorization, domain invariance</t>
  </si>
  <si>
    <t>content-vs-generation factors</t>
  </si>
  <si>
    <t>Use when nuisance/source separation is explicit</t>
  </si>
  <si>
    <t>Ensemble / fusion</t>
  </si>
  <si>
    <t>Multiple models/views combined</t>
  </si>
  <si>
    <t>Voting, late fusion, experts</t>
  </si>
  <si>
    <t>ensembles, multi-branch networks</t>
  </si>
  <si>
    <t>Use when multi-model/view aggregation is central</t>
  </si>
  <si>
    <t>Reject or quantify unknown/unreliable cases</t>
  </si>
  <si>
    <t>energy, uncertainty, abstention</t>
  </si>
  <si>
    <t>open-set rejection</t>
  </si>
  <si>
    <t>Use only when unknown/rejection is explicitly evaluated</t>
  </si>
  <si>
    <t>Continual / adaptive</t>
  </si>
  <si>
    <t>Update under emerging generators</t>
  </si>
  <si>
    <t>continual learning, test-time adaptation</t>
  </si>
  <si>
    <t>memory, model merging, PEFT updates</t>
  </si>
  <si>
    <t>Use only for explicit adaptation over time/target stream</t>
  </si>
  <si>
    <t>D. Generalization evidence</t>
  </si>
  <si>
    <t>Generator shift</t>
  </si>
  <si>
    <t>Train/test generator disjointness</t>
  </si>
  <si>
    <t>held-out model</t>
  </si>
  <si>
    <t>Requires genuine unseen generator</t>
  </si>
  <si>
    <t>Family shift</t>
  </si>
  <si>
    <t>GAN↔diffusion or other family transfer</t>
  </si>
  <si>
    <t>GAN to diffusion</t>
  </si>
  <si>
    <t>Requires train/test family difference</t>
  </si>
  <si>
    <t>Dataset/source shift</t>
  </si>
  <si>
    <t>Cross-dataset</t>
  </si>
  <si>
    <t>Different dataset/real-image source</t>
  </si>
  <si>
    <t>ImageNet→other real source</t>
  </si>
  <si>
    <t>Do not count independent retraining as cross-dataset</t>
  </si>
  <si>
    <t>Content/domain shift</t>
  </si>
  <si>
    <t>Different semantic/content domain</t>
  </si>
  <si>
    <t>faces→general scenes</t>
  </si>
  <si>
    <t>Requires actual held-out content/domain</t>
  </si>
  <si>
    <t>Open-world</t>
  </si>
  <si>
    <t>Open-set</t>
  </si>
  <si>
    <t>Unknown source rejection/abstention</t>
  </si>
  <si>
    <t>unknown generators</t>
  </si>
  <si>
    <t>Closed-set attribution is not open-set</t>
  </si>
  <si>
    <t>Evolution</t>
  </si>
  <si>
    <t>Detector changes as new generators arrive</t>
  </si>
  <si>
    <t>continual update</t>
  </si>
  <si>
    <t>Separate from zero-shot transfer</t>
  </si>
  <si>
    <t>E. Robustness / deployment</t>
  </si>
  <si>
    <t>Benign processing</t>
  </si>
  <si>
    <t>JPEG / blur / resize / noise</t>
  </si>
  <si>
    <t>Common transformations</t>
  </si>
  <si>
    <t>JPEG, blur, resize, noise</t>
  </si>
  <si>
    <t>Code each separately</t>
  </si>
  <si>
    <t>RQ4</t>
  </si>
  <si>
    <t>Platform processing</t>
  </si>
  <si>
    <t>Social-media / messaging pipeline</t>
  </si>
  <si>
    <t>Realistic platform transformations</t>
  </si>
  <si>
    <t>WhatsApp, Instagram, Facebook, X</t>
  </si>
  <si>
    <t>Prefer actual or clearly simulated platform pipeline</t>
  </si>
  <si>
    <t>Active evasion</t>
  </si>
  <si>
    <t>Attacks designed to fool detector</t>
  </si>
  <si>
    <t>adversarial perturbation, anti-forensics</t>
  </si>
  <si>
    <t>Must be an explicit adaptive/evasion test</t>
  </si>
  <si>
    <t>Important design principle</t>
  </si>
  <si>
    <t>Primary taxonomy</t>
  </si>
  <si>
    <t>Secondary taxonomy</t>
  </si>
  <si>
    <t>Paper implication</t>
  </si>
  <si>
    <t>Do not force one giant tree</t>
  </si>
  <si>
    <t>Forensic evidence family</t>
  </si>
  <si>
    <t>Learning/generalization/robustness axes</t>
  </si>
  <si>
    <t>AIGI methods are hybrid; a single deep hierarchy would misclassify methods that combine several cues.</t>
  </si>
  <si>
    <t>Use one primary method family plus orthogonal tags for strategy and evaluation.</t>
  </si>
  <si>
    <t>Primary family must be exclusive</t>
  </si>
  <si>
    <t>Exactly one primary evidence family per paper</t>
  </si>
  <si>
    <t>Secondary families may overlap</t>
  </si>
  <si>
    <t>Allows meaningful counts and charts without double-counting every paper as 'spatial'.</t>
  </si>
  <si>
    <t>Primary-family distribution becomes the headline taxonomy figure.</t>
  </si>
  <si>
    <t>Subtypes should be evidence-driven</t>
  </si>
  <si>
    <t>Use Level 2 only where paper explicitly supports it</t>
  </si>
  <si>
    <t>Do not infer hidden cues</t>
  </si>
  <si>
    <t>Avoids over-coding from architecture names alone.</t>
  </si>
  <si>
    <t>Preserves reproducibility of taxonomy assignment.</t>
  </si>
  <si>
    <t>Generalization is not a method family</t>
  </si>
  <si>
    <t>Keep RQ3 dimensions separate</t>
  </si>
  <si>
    <t>Do not mix 'open-set' with 'frequency' etc.</t>
  </si>
  <si>
    <t>One describes how the detector works; the other describes how it is evaluated/generalizes.</t>
  </si>
  <si>
    <t>Makes Results structure much clearer.</t>
  </si>
  <si>
    <t>Taxonomy Coding Template — 99 Included Studies</t>
  </si>
  <si>
    <t>Primary_Evidence_Family</t>
  </si>
  <si>
    <t>Primary_Subtype</t>
  </si>
  <si>
    <t>Secondary_Evidence_Families</t>
  </si>
  <si>
    <t>Learning_Strategy_Tags</t>
  </si>
  <si>
    <t>Generalization_Tags</t>
  </si>
  <si>
    <t>Robustness_Tags</t>
  </si>
  <si>
    <t>Coding_Confidence</t>
  </si>
  <si>
    <t>Coding_Notes</t>
  </si>
  <si>
    <t>SEMANTIC / FOUNDATION-MODEL</t>
  </si>
  <si>
    <t>CLIP / VLM REPRESENTATION</t>
  </si>
  <si>
    <t>SPATIAL / VISUAL ARTIFACT</t>
  </si>
  <si>
    <t>FOUNDATION-MODEL TRANSFER</t>
  </si>
  <si>
    <t>UNSEEN GENERATOR</t>
  </si>
  <si>
    <t>Primary coded from Proposed_Method/Feature_Type and cue fields: semantic/foundation-model representation is central. Detected evidence families: SPATIAL / VISUAL ARTIFACT, SEMANTIC / FOUNDATION-MODEL.</t>
  </si>
  <si>
    <t>GEOMETRY / PHYSICAL CUES</t>
  </si>
  <si>
    <t>PHYSICAL / ISP CONSISTENCY</t>
  </si>
  <si>
    <t>UNSEEN GENERATOR; CROSS-FAMILY; CROSS-DATASET; CROSS-DOMAIN / CONTENT</t>
  </si>
  <si>
    <t>JPEG; BLUR; NOISE; SOCIAL-MEDIA / PLATFORM; OTHER</t>
  </si>
  <si>
    <t>Stage 5 full-text coding (2026-10-21): training-free ISP-emulation physical-consistency cue measured with frozen DINOv2; GEOMETRY / PHYSICAL CUES chosen because physical imaging constraints are the central evidence. Generalization/robustness tags derived from 10_Analysis_Ready fields. Validated by authors (status updated 2026-10-27).</t>
  </si>
  <si>
    <t>TEXTURE / LOCAL ARTIFACT</t>
  </si>
  <si>
    <t>CONVENTIONAL DISCRIMINATIVE</t>
  </si>
  <si>
    <t>Primary coded from Proposed_Method/Feature_Type and cue fields: spatial/visual artifacts dominate. Detected evidence families: SPATIAL / VISUAL ARTIFACT.</t>
  </si>
  <si>
    <t>EXPLICIT MULTI-CUE FUSION</t>
  </si>
  <si>
    <t>SPATIAL / VISUAL ARTIFACT; FREQUENCY / SPECTRAL; NOISE / RESIDUAL FORENSIC; SEMANTIC / FOUNDATION-MODEL</t>
  </si>
  <si>
    <t>FOUNDATION-MODEL TRANSFER; CONTRASTIVE / METRIC LEARNING; ENSEMBLE / FUSION</t>
  </si>
  <si>
    <t>UNSEEN GENERATOR; CROSS-FAMILY</t>
  </si>
  <si>
    <t>JPEG; BLUR; NOISE; OTHER</t>
  </si>
  <si>
    <t>Stage 5 full-text coding (2026-10-21): four-branch DINO+CLIP+FFT-phase/residual+hand-crafted fusion is the method contribution. Generalization/robustness tags derived from 10_Analysis_Ready fields. Validated by authors (status updated 2026-10-27).</t>
  </si>
  <si>
    <t>SPATIAL / VISUAL ARTIFACT; SEMANTIC / FOUNDATION-MODEL</t>
  </si>
  <si>
    <t>Primary coded from Proposed_Method/Feature_Type and cue fields: explicit multi-cue/fusion mechanism. Detected evidence families: SPATIAL / VISUAL ARTIFACT, SEMANTIC / FOUNDATION-MODEL.</t>
  </si>
  <si>
    <t>FREQUENCY / SPECTRAL</t>
  </si>
  <si>
    <t>FOURIER / DCT SPECTRAL CUES</t>
  </si>
  <si>
    <t>SPATIAL / VISUAL ARTIFACT; GEOMETRY / PHYSICAL CUES</t>
  </si>
  <si>
    <t>Primary coded from Proposed_Method/Feature_Type and cue fields: frequency/spectral mechanism is central, multiple evidence families overlap. Detected evidence families: SPATIAL / VISUAL ARTIFACT, FREQUENCY / SPECTRAL, GEOMETRY / PHYSICAL CUES.</t>
  </si>
  <si>
    <t>SPATIAL / VISUAL ARTIFACT; FREQUENCY / SPECTRAL; SEMANTIC / FOUNDATION-MODEL; RECONSTRUCTION / INVERSION</t>
  </si>
  <si>
    <t>CONTRASTIVE / METRIC LEARNING; ENSEMBLE / FUSION</t>
  </si>
  <si>
    <t>JPEG; NOISE; OTHER</t>
  </si>
  <si>
    <t>Primary coded from Proposed_Method/Feature_Type and cue fields: explicit multi-cue/fusion mechanism. Detected evidence families: SPATIAL / VISUAL ARTIFACT, FREQUENCY / SPECTRAL, SEMANTIC / FOUNDATION-MODEL, RECONSTRUCTION / INVERSION.</t>
  </si>
  <si>
    <t>PATCH / REGION CONSISTENCY</t>
  </si>
  <si>
    <t>UNSEEN GENERATOR; CROSS-FAMILY; CROSS-DATASET</t>
  </si>
  <si>
    <t>JPEG; BLUR; OTHER</t>
  </si>
  <si>
    <t>PROMPT / CONCEPT ALIGNMENT</t>
  </si>
  <si>
    <t>Stage 5 full-text coding (2026-10-21): learnable CLIP prompts with semantic-preserving balanced objective. Generalization/robustness tags derived from 10_Analysis_Ready fields. Validated by authors (status updated 2026-10-27).</t>
  </si>
  <si>
    <t>ENSEMBLE / FUSION</t>
  </si>
  <si>
    <t>JPEG; ADVERSARIAL / COUNTER-FORENSIC; OTHER</t>
  </si>
  <si>
    <t>Stage 5 full-text coding (2026-10-21): adversarial-robustness study; coded by attack evidence (frequency-domain perturbation, Bayesian surrogate ensemble) following R0101 precedent. Generalization/robustness tags derived from 10_Analysis_Ready fields. Validated by authors (status updated 2026-10-27).</t>
  </si>
  <si>
    <t>JPEG; BLUR; RESIZE; NOISE; SOCIAL-MEDIA / PLATFORM; OTHER</t>
  </si>
  <si>
    <t>UNSEEN GENERATOR; CROSS-DATASET</t>
  </si>
  <si>
    <t>NOISE / RESIDUAL FORENSIC</t>
  </si>
  <si>
    <t>NOISE RESIDUAL / CAMERA-LIKE TRACES</t>
  </si>
  <si>
    <t>SPATIAL / VISUAL ARTIFACT; FREQUENCY / SPECTRAL</t>
  </si>
  <si>
    <t>UNSEEN GENERATOR; CROSS-DOMAIN / CONTENT</t>
  </si>
  <si>
    <t>Primary coded from Proposed_Method/Feature_Type and cue fields: noise/residual statistics are central, multiple evidence families overlap. Detected evidence families: SPATIAL / VISUAL ARTIFACT, FREQUENCY / SPECTRAL, NOISE / RESIDUAL FORENSIC.</t>
  </si>
  <si>
    <t>JPEG; BLUR; RESIZE; OTHER</t>
  </si>
  <si>
    <t>Stage 5 full-text coding (2026-10-21): dual-branch modelling of periodic upsampling grid artifacts in low-texture patches. Generalization/robustness tags derived from 10_Analysis_Ready fields. Validated by authors (status updated 2026-10-27).</t>
  </si>
  <si>
    <t>JPEG; BLUR; RESIZE; NOISE; OTHER</t>
  </si>
  <si>
    <t>Primary coded from Proposed_Method/Feature_Type and cue fields: spatial/visual artifacts dominate. Detected evidence families: SPATIAL / VISUAL ARTIFACT, SEMANTIC / FOUNDATION-MODEL.</t>
  </si>
  <si>
    <t>SPATIAL / VISUAL ARTIFACT; FREQUENCY / SPECTRAL; SEMANTIC / FOUNDATION-MODEL; GEOMETRY / PHYSICAL CUES</t>
  </si>
  <si>
    <t>CROSS-DATASET; CROSS-DOMAIN / CONTENT</t>
  </si>
  <si>
    <t>RESIZE; OTHER</t>
  </si>
  <si>
    <t>Primary coded from Proposed_Method/Feature_Type and cue fields: explicit multi-cue/fusion mechanism. Detected evidence families: SPATIAL / VISUAL ARTIFACT, FREQUENCY / SPECTRAL, SEMANTIC / FOUNDATION-MODEL, GEOMETRY / PHYSICAL CUES.</t>
  </si>
  <si>
    <t>WAVELET / MULTI-BAND</t>
  </si>
  <si>
    <t>Stage 5 full-text coding (2026-10-21): contourlet multiscale/multidirectional inter-channel spectral features fused with CNN. Generalization/robustness tags derived from 10_Analysis_Ready fields. Validated by authors (status updated 2026-10-27).</t>
  </si>
  <si>
    <t>SPATIAL / VISUAL ARTIFACT; FREQUENCY / SPECTRAL; GEOMETRY / PHYSICAL CUES</t>
  </si>
  <si>
    <t>Primary coded from Proposed_Method/Feature_Type and cue fields: explicit multi-cue/fusion mechanism. Detected evidence families: SPATIAL / VISUAL ARTIFACT, FREQUENCY / SPECTRAL, GEOMETRY / PHYSICAL CUES.</t>
  </si>
  <si>
    <t>ENSEMBLE / FUSION; OPEN-SET / UNCERTAINTY</t>
  </si>
  <si>
    <t>UNSEEN GENERATOR; CROSS-FAMILY; CROSS-DATASET; CROSS-DOMAIN / CONTENT; OPEN-SET</t>
  </si>
  <si>
    <t>RECONSTRUCTION / INVERSION</t>
  </si>
  <si>
    <t>DIFFUSION TRAJECTORY / LATENT CUES</t>
  </si>
  <si>
    <t>Primary coded from Proposed_Method/Feature_Type and cue fields: reconstruction/latent process is central. Detected evidence families: SPATIAL / VISUAL ARTIFACT, RECONSTRUCTION / INVERSION.</t>
  </si>
  <si>
    <t>JPEG; BLUR; NOISE</t>
  </si>
  <si>
    <t>Primary coded from Proposed_Method/Feature_Type and cue fields: spatial/visual artifacts dominate. Detected evidence families: SPATIAL / VISUAL ARTIFACT, FREQUENCY / SPECTRAL.</t>
  </si>
  <si>
    <t>RECONSTRUCTION CONSISTENCY</t>
  </si>
  <si>
    <t>SPATIAL / VISUAL ARTIFACT; FREQUENCY / SPECTRAL; SOURCE / FINGERPRINT FORENSIC</t>
  </si>
  <si>
    <t>OPEN-SET / UNCERTAINTY</t>
  </si>
  <si>
    <t>UNSEEN GENERATOR; CROSS-DATASET; CROSS-DOMAIN / CONTENT; OPEN-SET</t>
  </si>
  <si>
    <t>Primary coded from Proposed_Method/Feature_Type and cue fields: reconstruction/latent process is central, multiple evidence families overlap. Detected evidence families: SPATIAL / VISUAL ARTIFACT, FREQUENCY / SPECTRAL, SOURCE / FINGERPRINT FORENSIC, RECONSTRUCTION / INVERSION.</t>
  </si>
  <si>
    <t>SOURCE / FINGERPRINT FORENSIC</t>
  </si>
  <si>
    <t>GENERATOR / SOURCE FINGERPRINT</t>
  </si>
  <si>
    <t>CONTRASTIVE / METRIC LEARNING; OPEN-SET / UNCERTAINTY</t>
  </si>
  <si>
    <t>UNSEEN GENERATOR; CROSS-FAMILY; CROSS-DOMAIN / CONTENT; OPEN-SET</t>
  </si>
  <si>
    <t>Primary coded from Proposed_Method/Feature_Type and cue fields: source/fingerprint objective is central. Detected evidence families: SPATIAL / VISUAL ARTIFACT, SOURCE / FINGERPRINT FORENSIC.</t>
  </si>
  <si>
    <t>CONVENTIONAL DISCRIMINATIVE; ENSEMBLE / FUSION</t>
  </si>
  <si>
    <t>Stage 5 full-text coding (2026-10-21): EfficientNet-B4+ShuffleNet feature fusion with ELM on GAN faces. Generalization/robustness tags derived from 10_Analysis_Ready fields. Validated by authors (status updated 2026-10-27).</t>
  </si>
  <si>
    <t>SPATIAL / VISUAL ARTIFACT; FREQUENCY / SPECTRAL; SEMANTIC / FOUNDATION-MODEL</t>
  </si>
  <si>
    <t>FOUNDATION-MODEL TRANSFER; ENSEMBLE / FUSION</t>
  </si>
  <si>
    <t>Stage 5 full-text coding (2026-10-21): CLIP semantics + wavelet frequency + Swin with cross-domain attention/gating. Generalization/robustness tags derived from 10_Analysis_Ready fields. Validated by authors (status updated 2026-10-27).</t>
  </si>
  <si>
    <t>FREQUENCY / SPECTRAL; SEMANTIC / FOUNDATION-MODEL; SOURCE / FINGERPRINT FORENSIC</t>
  </si>
  <si>
    <t>UNSEEN GENERATOR; CROSS-DATASET; CROSS-DOMAIN / CONTENT</t>
  </si>
  <si>
    <t>Stage 5 full-text coding (2026-10-21): benchmark paper; coded by dominant benchmarked detector evidence (CF vision models, AIDE, ThinkFake) following R0085 precedent. Generalization/robustness tags derived from 10_Analysis_Ready fields. Validated by authors (status updated 2026-10-27).</t>
  </si>
  <si>
    <t>FREQUENCY / SPECTRAL; NOISE / RESIDUAL FORENSIC; SOURCE / FINGERPRINT FORENSIC</t>
  </si>
  <si>
    <t>Primary coded from Proposed_Method/Feature_Type and cue fields: spatial/visual artifacts dominate, multiple evidence families overlap. Detected evidence families: SPATIAL / VISUAL ARTIFACT, FREQUENCY / SPECTRAL, NOISE / RESIDUAL FORENSIC, SOURCE / FINGERPRINT FORENSIC.</t>
  </si>
  <si>
    <t>DISENTANGLEMENT / INVARIANCE</t>
  </si>
  <si>
    <t>UNSEEN GENERATOR; CROSS-FAMILY; CROSS-DOMAIN / CONTENT</t>
  </si>
  <si>
    <t>Primary coded from Proposed_Method/Feature_Type and cue fields: reconstruction/latent process is central, multiple evidence families overlap. Detected evidence families: SPATIAL / VISUAL ARTIFACT, FREQUENCY / SPECTRAL, SEMANTIC / FOUNDATION-MODEL, RECONSTRUCTION / INVERSION.</t>
  </si>
  <si>
    <t>Primary coded from Proposed_Method/Feature_Type and cue fields: frequency/spectral mechanism is central. Detected evidence families: SPATIAL / VISUAL ARTIFACT, FREQUENCY / SPECTRAL.</t>
  </si>
  <si>
    <t>UNSEEN GENERATOR; CROSS-FAMILY; CROSS-DATASET; OPEN-SET</t>
  </si>
  <si>
    <t>Stage 5 full-text coding (2026-10-21): architecture-level attribution with backdoor-trigger open-set rejection. Generalization/robustness tags derived from 10_Analysis_Ready fields. Validated by authors (status updated 2026-10-27).</t>
  </si>
  <si>
    <t>Primary coded from Proposed_Method/Feature_Type and cue fields: explicit multi-cue/fusion mechanism. Detected evidence families: SPATIAL / VISUAL ARTIFACT, FREQUENCY / SPECTRAL, SEMANTIC / FOUNDATION-MODEL.</t>
  </si>
  <si>
    <t>Stage 5 full-text coding (2026-10-21): inverse-ISP RAW-domain denoiser residual. Generalization/robustness tags derived from 10_Analysis_Ready fields. Validated by authors (status updated 2026-10-27).</t>
  </si>
  <si>
    <t>FOUNDATION-MODEL TRANSFER; DISENTANGLEMENT / INVARIANCE</t>
  </si>
  <si>
    <t>Stage 5 full-text coding (2026-10-21): stage-wise CLIP embedding analysis with artifact-invariant augmentation and real-distribution adapter. Generalization/robustness tags derived from 10_Analysis_Ready fields. Validated by authors (status updated 2026-10-27).</t>
  </si>
  <si>
    <t>SPATIAL / VISUAL ARTIFACT; FREQUENCY / SPECTRAL; RECONSTRUCTION / INVERSION</t>
  </si>
  <si>
    <t>Stage 5 full-text coding (2026-10-21): self-blended pseudo-fake branch fused with real-only reconstruction-residual branch. Generalization/robustness tags derived from 10_Analysis_Ready fields. Validated by authors (status updated 2026-10-27).</t>
  </si>
  <si>
    <t>JPEG; BLUR; ADVERSARIAL / COUNTER-FORENSIC; OTHER</t>
  </si>
  <si>
    <t>SPATIAL / VISUAL ARTIFACT; FREQUENCY / SPECTRAL; NOISE / RESIDUAL FORENSIC; SEMANTIC / FOUNDATION-MODEL; RECONSTRUCTION / INVERSION</t>
  </si>
  <si>
    <t>Primary coded from Proposed_Method/Feature_Type and cue fields: explicit multi-cue/fusion mechanism. Detected evidence families: SPATIAL / VISUAL ARTIFACT, FREQUENCY / SPECTRAL, NOISE / RESIDUAL FORENSIC, SEMANTIC / FOUNDATION-MODEL, RECONSTRUCTION / INVERSION.</t>
  </si>
  <si>
    <t>NOISE; OTHER</t>
  </si>
  <si>
    <t>ADVERSARIAL / COUNTER-FORENSIC; OTHER</t>
  </si>
  <si>
    <t>Stage 5 full-text coding (2026-10-21): counter-forensic study; coded by attacked evidence (frequency fingerprints) following R0101 precedent. Generalization/robustness tags derived from 10_Analysis_Ready fields. Validated by authors (status updated 2026-10-27).</t>
  </si>
  <si>
    <t>Primary coded from Proposed_Method/Feature_Type and cue fields: reconstruction/latent process is central, multiple evidence families overlap. Detected evidence families: SPATIAL / VISUAL ARTIFACT, FREQUENCY / SPECTRAL, RECONSTRUCTION / INVERSION.</t>
  </si>
  <si>
    <t>Primary coded from Proposed_Method/Feature_Type and cue fields: semantic/foundation-model representation is central, multiple evidence families overlap. Detected evidence families: SPATIAL / VISUAL ARTIFACT, SEMANTIC / FOUNDATION-MODEL, GEOMETRY / PHYSICAL CUES.</t>
  </si>
  <si>
    <t>CONTINUAL / ADAPTIVE</t>
  </si>
  <si>
    <t>Primary coded from Proposed_Method/Feature_Type and cue fields: semantic/foundation-model representation is central, multiple evidence families overlap. Detected evidence families: SPATIAL / VISUAL ARTIFACT, FREQUENCY / SPECTRAL, SEMANTIC / FOUNDATION-MODEL.</t>
  </si>
  <si>
    <t>JPEG; BLUR</t>
  </si>
  <si>
    <t>SEMANTIC / FOUNDATION-MODEL; RECONSTRUCTION / INVERSION</t>
  </si>
  <si>
    <t>CONTRASTIVE / METRIC LEARNING</t>
  </si>
  <si>
    <t>Primary coded from Proposed_Method/Feature_Type and cue fields: spatial/visual artifacts dominate, multiple evidence families overlap. Detected evidence families: SPATIAL / VISUAL ARTIFACT, SEMANTIC / FOUNDATION-MODEL, RECONSTRUCTION / INVERSION.</t>
  </si>
  <si>
    <t>Primary coded from Proposed_Method/Feature_Type and cue fields: explicit multi-cue/fusion mechanism. Detected evidence families: SPATIAL / VISUAL ARTIFACT, FREQUENCY / SPECTRAL.</t>
  </si>
  <si>
    <t>Stage 5 full-text coding (2026-10-21): ensemble of Gram-Net, co-occurrence, ResNet50V2 and DenseNet201. Generalization/robustness tags derived from 10_Analysis_Ready fields. Validated by authors (status updated 2026-10-27).</t>
  </si>
  <si>
    <t>FREQUENCY / SPECTRAL; RECONSTRUCTION / INVERSION</t>
  </si>
  <si>
    <t>Primary coded from Proposed_Method/Feature_Type and cue fields: spatial/visual artifacts dominate, multiple evidence families overlap. Detected evidence families: SPATIAL / VISUAL ARTIFACT, FREQUENCY / SPECTRAL, RECONSTRUCTION / INVERSION.</t>
  </si>
  <si>
    <t>Stage 5 full-text coding (2026-10-21): LMBP local statistics fused with CLIP concept-alignment prompts. Generalization/robustness tags derived from 10_Analysis_Ready fields. Validated by authors (status updated 2026-10-27).</t>
  </si>
  <si>
    <t>FREQUENCY / SPECTRAL; SOURCE / FINGERPRINT FORENSIC; SEMANTIC / FOUNDATION-MODEL</t>
  </si>
  <si>
    <t>Primary coded from Proposed_Method/Feature_Type and cue fields: spatial/visual artifacts dominate, multiple evidence families overlap. Detected evidence families: SPATIAL / VISUAL ARTIFACT, FREQUENCY / SPECTRAL, SOURCE / FINGERPRINT FORENSIC, SEMANTIC / FOUNDATION-MODEL.</t>
  </si>
  <si>
    <t>JPEG</t>
  </si>
  <si>
    <t>CONTINUAL / ADAPTIVE; ENSEMBLE / FUSION</t>
  </si>
  <si>
    <t>UNSEEN GENERATOR; CROSS-FAMILY; CONTINUAL / ADAPTIVE</t>
  </si>
  <si>
    <t>Stage 5 full-text coding (2026-10-21): detector-agnostic update framework; evidence family coded from main host detector (AIDE) and model-merging strategy. Generalization/robustness tags derived from 10_Analysis_Ready fields. Validated by authors (status updated 2026-10-27).</t>
  </si>
  <si>
    <t>FOUNDATION-MODEL TRANSFER; CONTINUAL / ADAPTIVE</t>
  </si>
  <si>
    <t>UNSEEN GENERATOR; CROSS-FAMILY; CROSS-DATASET; CROSS-DOMAIN / CONTENT; CONTINUAL / ADAPTIVE</t>
  </si>
  <si>
    <t>Stage 5 full-text coding (2026-10-21): LoRA-tuned CLIP offline detector plus K-FAC continual learning. Generalization/robustness tags derived from 10_Analysis_Ready fields. Validated by authors (status updated 2026-10-27).</t>
  </si>
  <si>
    <t>Primary coded from Proposed_Method/Feature_Type and cue fields: source/fingerprint objective is central, multiple evidence families overlap. Detected evidence families: SPATIAL / VISUAL ARTIFACT, SOURCE / FINGERPRINT FORENSIC, SEMANTIC / FOUNDATION-MODEL.</t>
  </si>
  <si>
    <t>FOUNDATION-MODEL TRANSFER; ENSEMBLE / FUSION; OPEN-SET / UNCERTAINTY</t>
  </si>
  <si>
    <t>JPEG; BLUR; RESIZE</t>
  </si>
  <si>
    <t>Primary coded from Proposed_Method/Feature_Type and cue fields: explicit multi-cue/fusion mechanism. Detected evidence families: SPATIAL / VISUAL ARTIFACT, FREQUENCY / SPECTRAL, NOISE / RESIDUAL FORENSIC, SEMANTIC / FOUNDATION-MODEL.</t>
  </si>
  <si>
    <t>UNSEEN GENERATOR; CROSS-DATASET; OPEN-SET</t>
  </si>
  <si>
    <t>BLUR; RESIZE; ADVERSARIAL / COUNTER-FORENSIC; OTHER</t>
  </si>
  <si>
    <t>Primary coded from Proposed_Method/Feature_Type and cue fields: reconstruction/latent process is central, multiple evidence families overlap. Detected evidence families: SPATIAL / VISUAL ARTIFACT, SEMANTIC / FOUNDATION-MODEL, RECONSTRUCTION / INVERSION.</t>
  </si>
  <si>
    <t>JPEG; RESIZE; OTHER</t>
  </si>
  <si>
    <t>Primary coded from Proposed_Method/Feature_Type and cue fields: frequency/spectral mechanism is central, multiple evidence families overlap. Detected evidence families: SPATIAL / VISUAL ARTIFACT, FREQUENCY / SPECTRAL, SEMANTIC / FOUNDATION-MODEL.</t>
  </si>
  <si>
    <t>SPATIAL / VISUAL ARTIFACT; SEMANTIC / FOUNDATION-MODEL; RECONSTRUCTION / INVERSION</t>
  </si>
  <si>
    <t>JPEG; BLUR; SOCIAL-MEDIA / PLATFORM</t>
  </si>
  <si>
    <t>Primary coded from Proposed_Method/Feature_Type and cue fields: explicit multi-cue/fusion mechanism. Detected evidence families: SPATIAL / VISUAL ARTIFACT, SEMANTIC / FOUNDATION-MODEL, RECONSTRUCTION / INVERSION.</t>
  </si>
  <si>
    <t>JPEG; RESIZE; SOCIAL-MEDIA / PLATFORM</t>
  </si>
  <si>
    <t>JPEG; BLUR; RESIZE; NOISE; ADVERSARIAL / COUNTER-FORENSIC; OTHER</t>
  </si>
  <si>
    <t>Stage 5 full-text coding (2026-10-21): unsupervised contrastive feature learning with clustering-based fake identification. Generalization/robustness tags derived from 10_Analysis_Ready fields. Validated by authors (status updated 2026-10-27).</t>
  </si>
  <si>
    <t>Stage 5 full-text coding (2026-10-21): linear local attention modelling local artifacts and long-range region relations. Generalization/robustness tags derived from 10_Analysis_Ready fields. Validated by authors (status updated 2026-10-27).</t>
  </si>
  <si>
    <t>JPEG; OTHER</t>
  </si>
  <si>
    <t>SPATIAL / VISUAL ARTIFACT; RECONSTRUCTION / INVERSION</t>
  </si>
  <si>
    <t>ENSEMBLE / FUSION; CONTINUAL / ADAPTIVE</t>
  </si>
  <si>
    <t>Primary coded from Proposed_Method/Feature_Type and cue fields: explicit multi-cue/fusion mechanism. Detected evidence families: SPATIAL / VISUAL ARTIFACT, RECONSTRUCTION / INVERSION.</t>
  </si>
  <si>
    <t>Stage 5 full-text coding (2026-10-21): DIRE-style reconstruction knowledge distilled via targeted masking. Generalization/robustness tags derived from 10_Analysis_Ready fields. Validated by authors (status updated 2026-10-27).</t>
  </si>
  <si>
    <t>BLUR; OTHER</t>
  </si>
  <si>
    <t>FOUNDATION-MODEL TRANSFER; CONTRASTIVE / METRIC LEARNING</t>
  </si>
  <si>
    <t>JPEG; BLUR; RESIZE; NOISE; SOCIAL-MEDIA / PLATFORM; ADVERSARIAL / COUNTER-FORENSIC; OTHER</t>
  </si>
  <si>
    <t>Stage 5 full-text coding (2026-10-21): language-guided image-text contrastive training. Generalization/robustness tags derived from 10_Analysis_Ready fields. Validated by authors (status updated 2026-10-27).</t>
  </si>
  <si>
    <t>CROSS-DOMAIN / CONTENT</t>
  </si>
  <si>
    <t>FREQUENCY / SPECTRAL; NOISE / RESIDUAL FORENSIC</t>
  </si>
  <si>
    <t>Stage 5 full-text coding (2026-10-21): colour-space input representations with simple fusion and seed ensembling. Generalization/robustness tags derived from 10_Analysis_Ready fields. Validated by authors (status updated 2026-10-27).</t>
  </si>
  <si>
    <t>NOISE / RESIDUAL FORENSIC; SEMANTIC / FOUNDATION-MODEL</t>
  </si>
  <si>
    <t>Primary coded from Proposed_Method/Feature_Type and cue fields: spatial/visual artifacts dominate, multiple evidence families overlap. Detected evidence families: SPATIAL / VISUAL ARTIFACT, NOISE / RESIDUAL FORENSIC, SEMANTIC / FOUNDATION-MODEL.</t>
  </si>
  <si>
    <t>SPATIAL / VISUAL ARTIFACT; FREQUENCY / SPECTRAL; SEMANTIC / FOUNDATION-MODEL; RECONSTRUCTION / INVERSION; GEOMETRY / PHYSICAL CUES</t>
  </si>
  <si>
    <t>Primary coded from Proposed_Method/Feature_Type and cue fields: explicit multi-cue/fusion mechanism. Detected evidence families: SPATIAL / VISUAL ARTIFACT, FREQUENCY / SPECTRAL, SEMANTIC / FOUNDATION-MODEL, RECONSTRUCTION / INVERSION, GEOMETRY / PHYSICAL CUES.</t>
  </si>
  <si>
    <t>JPEG; RESIZE; NOISE; OTHER</t>
  </si>
  <si>
    <t>Stage 5 full-text coding (2026-10-21): MLLM with fused CLIP (semantic) and DINO (low-level) encoders. Generalization/robustness tags derived from 10_Analysis_Ready fields. Validated by authors (status updated 2026-10-27).</t>
  </si>
  <si>
    <t>FREQUENCY / SPECTRAL; SEMANTIC / FOUNDATION-MODEL; RECONSTRUCTION / INVERSION; GEOMETRY / PHYSICAL CUES</t>
  </si>
  <si>
    <t>Primary coded from Proposed_Method/Feature_Type and cue fields: spatial/visual artifacts dominate, multiple evidence families overlap. Detected evidence families: SPATIAL / VISUAL ARTIFACT, FREQUENCY / SPECTRAL, SEMANTIC / FOUNDATION-MODEL, RECONSTRUCTION / INVERSION, GEOMETRY / PHYSICAL CUES.</t>
  </si>
  <si>
    <t>Stage 5 full-text coding (2026-10-21): three Siamese-contrastive base models (real/GAN/DM) fused by CNN classifier. Generalization/robustness tags derived from 10_Analysis_Ready fields. Validated by authors (status updated 2026-10-27).</t>
  </si>
  <si>
    <t>FOUNDATION-MODEL TRANSFER; OPEN-SET / UNCERTAINTY</t>
  </si>
  <si>
    <t>Primary coded from Proposed_Method/Feature_Type and cue fields: frequency/spectral mechanism is central. Detected evidence families: FREQUENCY / SPECTRAL, GEOMETRY / PHYSICAL CUES.</t>
  </si>
  <si>
    <t>Live Integrity Checks — any non-zero FAIL count means the evidence base is inconsistent</t>
  </si>
  <si>
    <t>Created 2026-10-21. Per-record checks in rows 20+ recompute automatically when 06/10/28 are edited. Expected = value that must hold.</t>
  </si>
  <si>
    <t>Check</t>
  </si>
  <si>
    <t>Observed</t>
  </si>
  <si>
    <t>Expected</t>
  </si>
  <si>
    <t>Rule</t>
  </si>
  <si>
    <t>Included in 06 = rows in 10</t>
  </si>
  <si>
    <t>06 INCLUDE set and 10 must be identical in size</t>
  </si>
  <si>
    <t>Rows in 28 = rows in 10</t>
  </si>
  <si>
    <t>One taxonomy row per included study</t>
  </si>
  <si>
    <t>Duplicate Record_IDs in 10</t>
  </si>
  <si>
    <t>No duplicates</t>
  </si>
  <si>
    <t>Duplicate Record_IDs in 06</t>
  </si>
  <si>
    <t>06 rows = 05 title/abstract INCLUDEs</t>
  </si>
  <si>
    <t>Every TA include has exactly one full-text row</t>
  </si>
  <si>
    <t>06 EXCLUDE without code</t>
  </si>
  <si>
    <t>Every exclusion is coded</t>
  </si>
  <si>
    <t>06 INCLUDE not RETRIEVED</t>
  </si>
  <si>
    <t>Includes require text</t>
  </si>
  <si>
    <t>06 RETRIEVED but undecided</t>
  </si>
  <si>
    <t>All assessed reports decided</t>
  </si>
  <si>
    <t>PRISMA closes: sought = not retrieved + assessed</t>
  </si>
  <si>
    <t>Flow arithmetic</t>
  </si>
  <si>
    <t>PRISMA closes: assessed = included + excluded</t>
  </si>
  <si>
    <t>Per-record check failures (rows 20+)</t>
  </si>
  <si>
    <t>See per-record table</t>
  </si>
  <si>
    <t>05 EXCLUDE codes outside EC1–EC13</t>
  </si>
  <si>
    <t>Every TA exclusion carries a controlled code</t>
  </si>
  <si>
    <t>Row</t>
  </si>
  <si>
    <t>Record_ID (10)</t>
  </si>
  <si>
    <t>ID match 28 &amp; 14</t>
  </si>
  <si>
    <t>Not INCLUDE in 06</t>
  </si>
  <si>
    <t>Protocol≠flags</t>
  </si>
  <si>
    <t>Robustness inconsistent</t>
  </si>
  <si>
    <t>Family≠flags</t>
  </si>
  <si>
    <t>Strength vs evidence</t>
  </si>
  <si>
    <t>Zero-shot vs tests</t>
  </si>
  <si>
    <t>28 tags≠10 flags (generalization)</t>
  </si>
  <si>
    <t>Quality Appraisal (QA1–QA8 protocol rubric) — extraction-derived dimensions scored; manual dimensions validated by authors</t>
  </si>
  <si>
    <t>Scores 1 / 0.5 / 0 per protocol rubric. QA2, QA4, QA5, QA6, QA7 are scored deterministically from 10_Analysis_Ready fields using the rules in rows 4–8 (re-run after any extraction change). QA1, QA3 and QA8 require reading the full text and are left for manual dual scoring; they are NOT reported in the manuscript until completed.</t>
  </si>
  <si>
    <t>QA2 Dataset transparency</t>
  </si>
  <si>
    <t>1 = training/test generators and sample sizes all reported; 0.5 = 1–2 of these NR; 0 = 3–4 NR</t>
  </si>
  <si>
    <t>QA4 Baseline comparison</t>
  </si>
  <si>
    <t>1 = baselines re-run under the same protocol; 0.5 = literature-only/heterogeneous/limited comparison; 0 = none</t>
  </si>
  <si>
    <t>QA5 Generalization evaluation</t>
  </si>
  <si>
    <t>1 = cross-family, cross-dataset or open-set test; 0.5 = only unseen generator within family, cross-domain or continual; 0 = none</t>
  </si>
  <si>
    <t>QA6 Robustness evaluation</t>
  </si>
  <si>
    <t>1 = platform (social-media) or adversarial/counter-forensic test; 0.5 = benign corruptions only; 0 = none</t>
  </si>
  <si>
    <t>QA7 Metric completeness</t>
  </si>
  <si>
    <t>1 = ≥2 metrics including a threshold-free metric (AUC/AP/EER); 0.5 = other reported metrics; 0 = inadequate</t>
  </si>
  <si>
    <t>QA1 Task clarity</t>
  </si>
  <si>
    <t>QA3 Protocol clarity</t>
  </si>
  <si>
    <t>QA4 Baselines</t>
  </si>
  <si>
    <t>QA5 Generalization</t>
  </si>
  <si>
    <t>QA6 Robustness</t>
  </si>
  <si>
    <t>QA7 Metrics</t>
  </si>
  <si>
    <t>QA8 Limitations</t>
  </si>
  <si>
    <t>Derived subtotal (QA2,4–7; max 5)</t>
  </si>
  <si>
    <t>Validated</t>
  </si>
  <si>
    <t>Distribution (live)</t>
  </si>
  <si>
    <t>Dimension</t>
  </si>
  <si>
    <t>Score 1.0</t>
  </si>
  <si>
    <t>Score 0.5</t>
  </si>
  <si>
    <t>Score 0.0</t>
  </si>
  <si>
    <t>Mean</t>
  </si>
  <si>
    <t>QA2</t>
  </si>
  <si>
    <t>QA4</t>
  </si>
  <si>
    <t>QA5</t>
  </si>
  <si>
    <t>QA6</t>
  </si>
  <si>
    <t>QA7</t>
  </si>
  <si>
    <t>Training-free so 'unseen generator' is inherent; zero-shot across 18 sets. Strength HIGH rather than VERY HIGH because absolute AUC is moderate and adversarial/resize not tested. Cue-field clarifications: Semantic_Features: generic self-supervised visual embeddings, not semantic alignment; Reconstruction_Latent_Features: ISP remapping, not generative reconstruction. | Validated by authors (PKK, AJ), 2026-10-21.</t>
  </si>
  <si>
    <t>Cross-generator numbers only in Fig. 16 heat-map; coded Evidence_Supports_Generalization = NO because authors report degradation. Cue-field clarifications: Explainability: t-SNE only. | Validated by authors (PKK, AJ), 2026-10-21.</t>
  </si>
  <si>
    <t>Table I values OCR-verified from page 8. Strength coded HIGH (broad protocol, but mean ACC 72% and no robustness). Cue-field clarifications: Explainability: t-SNE. | Validated by authors (PKK, AJ), 2026-10-21.</t>
  </si>
  <si>
    <t>Robustness/adversarial study rather than a new detector; included under IC3 (evaluates detection methods) and IC4 (robustness). | Validated by authors (PKK, AJ), 2026-10-21.</t>
  </si>
  <si>
    <t>Numbers from text; Table values not OCR'd. Cue-field clarifications: Frequency_Features: periodicity captured spatially. | Validated by authors (PKK, AJ), 2026-10-21.</t>
  </si>
  <si>
    <t>Included under precedent for face-specific detectors with explicit cross-model generalization (EC4 not triggered). | Validated by authors (PKK, AJ), 2026-10-21.</t>
  </si>
  <si>
    <t>Included for consistency with prior corpus decisions on fully synthetic GAN-face detectors (e.g., R0131, R0071); coded LOW. | Validated by authors (PKK, AJ), 2026-10-21.</t>
  </si>
  <si>
    <t>Unseen_Generator_Test coded UNCLEAR: paper states 80/20 splits of DFDC/ForenSynths/GenImage but tables reuse ProGAN-only protocol baselines. | Validated by authors (PKK, AJ), 2026-10-21.</t>
  </si>
  <si>
    <t>Benchmark paper; Zero_Shot_or_Adapted MIXED (detection zero-shot with pretrained weights, source tracing fine-tuned). | Validated by authors (PKK, AJ), 2026-10-21.</t>
  </si>
  <si>
    <t>Previously logged Not retrieved; full text found in AIGI Reseach folder ('10.1109 TIFS.2025.3592531.pdf'). | Validated by authors (PKK, AJ), 2026-10-21.</t>
  </si>
  <si>
    <t>IEEE Signal Processing Letters treated as peer-reviewed journal (consistent with inclusion of Pattern Recognition Letters papers). Cue-field clarifications: Semantic_Features: content suppressed; Reconstruction_Latent_Features: denoising residual, not generative reconstruction. | Validated by authors (PKK, AJ), 2026-10-21.</t>
  </si>
  <si>
    <t>Previously logged Not retrieved; full text found in folder ('10.1109.TIFS.2026.3676657.pdf'). | Validated by authors (PKK, AJ), 2026-10-21.</t>
  </si>
  <si>
    <t>Included as secondary deepfake literature with explicit cross-dataset generalization, consistent with prior inclusion of R0275 (FD2Foremer) and R0309; frame-level image analysis. | Validated by authors (PKK, AJ), 2026-10-21.</t>
  </si>
  <si>
    <t>Included as counter-forensic robustness study (evaluates detection methods), consistent with prior inclusion of R0101. | Validated by authors (PKK, AJ), 2026-10-21.</t>
  </si>
  <si>
    <t>Fully synthetic GAN faces (IC1 met); included for consistency with prior closed-set face-GAN inclusions; LOW. | Validated by authors (PKK, AJ), 2026-10-21.</t>
  </si>
  <si>
    <t>Supplementary material not in folder; robustness coded NO for main-text evidence. | Validated by authors (PKK, AJ), 2026-10-21.</t>
  </si>
  <si>
    <t>Coded Continual_Adaptive_Test YES and Zero_Shot_or_Adapted FINE-TUNED; Target_Data_Used YES (500–1,000 target images). | Validated by authors (PKK, AJ), 2026-10-21.</t>
  </si>
  <si>
    <t>Zero_Shot_or_Adapted MIXED (offline zero-shot + continual fine-tuning). | Validated by authors (PKK, AJ), 2026-10-21.</t>
  </si>
  <si>
    <t>Adversarial_Attack coded YES for label-flipping (training-data poisoning) attack. | Validated by authors (PKK, AJ), 2026-10-21.</t>
  </si>
  <si>
    <t>Previously logged Not retrieved; full text found in folder ('10.1109LSP.2026.3714736.pdf'). Cue-field clarifications: Semantic_Features: higher-layer contextual cues, no pretrained VLM. | Validated by authors (PKK, AJ), 2026-10-21.</t>
  </si>
  <si>
    <t>IET Image Processing (Wiley) peer-reviewed journal. | Validated by authors (PKK, AJ), 2026-10-21.</t>
  </si>
  <si>
    <t>Evaluated from arXiv:2305.13800v2 (author version) supplied as full text for DOI 10.1109/TAI.2025.3641104. | Validated by authors (PKK, AJ), 2026-10-21.</t>
  </si>
  <si>
    <t>Generalization tests exist (zero-shot Tiny-GenImage) but fail; coded tests YES, Evidence_Supports NO, strength LOW. | Validated by authors (PKK, AJ), 2026-10-21.</t>
  </si>
  <si>
    <t>Full text in folder is arXiv:2503.21210v4 (author version) of DOI 10.1109/TIP.2026.3673967; coded from that version. | Validated by authors (PKK, AJ), 2026-10-21.</t>
  </si>
  <si>
    <t>Cross_Family_Test NO because both GAN and DM families are present in training; unseen architectures within families tested. Cue-field clarifications: Explainability: t-SNE. | Validated by authors (PKK, AJ), 2026-10-21.</t>
  </si>
  <si>
    <t>QA1_QA3_QA8_Basis</t>
  </si>
  <si>
    <t>QA1/QA3: extraction fields; QA8: extraction proxy (failure evidence / limitations fields). Scored by AI 2026-10-21; validated by authors (status updated 2026-10-27)</t>
  </si>
  <si>
    <t>QA1/QA3: extraction fields; QA8: full text (1109 TIP 2026 3709453.pdf): own-method limitations stated. Scored by AI 2026-10-21; validated by authors (status updated 2026-10-27)</t>
  </si>
  <si>
    <t>QA1/QA3: extraction fields; QA8: full text (10.5815ijigsp.2026.04.02.pdf): future work only. Scored by AI 2026-10-21; validated by authors (status updated 2026-10-27)</t>
  </si>
  <si>
    <t>QA1/QA3: extraction fields; QA8: full text (10.1109 TPAMI2026.3664388.pdf): own-method limitations stated. Scored by AI 2026-10-21; validated by authors (status updated 2026-10-27)</t>
  </si>
  <si>
    <t>QA1/QA3: extraction fields; QA8: full text (10.1109 TMM.2026.3682154.pdf): future work only. Scored by AI 2026-10-21; validated by authors (status updated 2026-10-27)</t>
  </si>
  <si>
    <t>QA1/QA3: extraction fields; QA8: full text (10.1109 TCSVT.2026.3656696.pdf): future work only. Scored by AI 2026-10-21; validated by authors (status updated 2026-10-27)</t>
  </si>
  <si>
    <t>QA1/QA3: extraction fields; QA8: full text (10.1109 TBIOM.2026.3687469.pdf): future work only. Scored by AI 2026-10-21; validated by authors (status updated 2026-10-27)</t>
  </si>
  <si>
    <t>QA1/QA3: extraction fields; QA8: full text (10.1109ACCESS.2024.3470128.pdf): no limitation/future-work text. Scored by AI 2026-10-21; validated by authors (status updated 2026-10-27)</t>
  </si>
  <si>
    <t>QA1/QA3: extraction fields; QA8: full text (10.3390electronics15030716.pdf): no limitation/future-work text. Scored by AI 2026-10-21; validated by authors (status updated 2026-10-27)</t>
  </si>
  <si>
    <t>QA1/QA3: extraction fields; QA8: full text (10.1109.OJSP.2026.3684389.pdf): future work only. Scored by AI 2026-10-21; validated by authors (status updated 2026-10-27)</t>
  </si>
  <si>
    <t>QA1/QA3: extraction fields; QA8: full text (10.1109 TIFS.2025.3592531.pdf): future work only. Scored by AI 2026-10-21; validated by authors (status updated 2026-10-27)</t>
  </si>
  <si>
    <t>QA1/QA3: extraction fields; QA8: full text (1109 LSP 2026.3678476.pdf): future work only. Scored by AI 2026-10-21; validated by authors (status updated 2026-10-27)</t>
  </si>
  <si>
    <t>QA1/QA3: extraction fields; QA8: full text (10.1109.TIFS.2026.3676657.pdf): future work only. Scored by AI 2026-10-21; validated by authors (status updated 2026-10-27)</t>
  </si>
  <si>
    <t>QA1/QA3: extraction fields; QA8: full text (10.1109ACCESS.2024.3382196.pdf): future work only. Scored by AI 2026-10-21; validated by authors (status updated 2026-10-27)</t>
  </si>
  <si>
    <t>QA1/QA3: extraction fields; QA8: full text (10.1109.ACCESS.2025.3597641.pdf): future work only. Scored by AI 2026-10-21; validated by authors (status updated 2026-10-27)</t>
  </si>
  <si>
    <t>QA1/QA3: extraction fields; QA8: full text (10.1109.ACCESS.2024.3393842.pdf): future work only. Scored by AI 2026-10-21; validated by authors (status updated 2026-10-27)</t>
  </si>
  <si>
    <t>QA1/QA3: extraction fields; QA8: full text (10.1109.LSP.2026.3710437.pdf): no limitation/future-work text. Scored by AI 2026-10-21; validated by authors (status updated 2026-10-27)</t>
  </si>
  <si>
    <t>QA1/QA3: extraction fields; QA8: full text (10.1109.TCSVT.2026.3683200.pdf): future work only. Scored by AI 2026-10-21; validated by authors (status updated 2026-10-27)</t>
  </si>
  <si>
    <t>QA1/QA3: extraction fields; QA8: full text (10.1109.TMM.2026.3651067.pdf): no limitation/future-work text. Scored by AI 2026-10-21; validated by authors (status updated 2026-10-27)</t>
  </si>
  <si>
    <t>QA1/QA3: extraction fields; QA8: full text (10.1109.TCSVT.2024.3383833.pdf): no limitation/future-work text. Scored by AI 2026-10-21; validated by authors (status updated 2026-10-27)</t>
  </si>
  <si>
    <t>QA1/QA3: extraction fields; QA8: full text (10.1109LSP.2026.3714736.pdf): future work only. Scored by AI 2026-10-21; validated by authors (status updated 2026-10-27)</t>
  </si>
  <si>
    <t>QA1/QA3: extraction fields; QA8: full text (huang-et-al-2026-diffusion-generated-image-detection-via-targeted-mask-based-knowledge-distillation.pdf): own-method limitations stated. Scored by AI 2026-10-21; validated by authors (status updated 2026-10-27)</t>
  </si>
  <si>
    <t>QA1/QA3: extraction fields; QA8: full text (10.1109TAI.2025.3641104.pdf): future work only. Scored by AI 2026-10-21; validated by authors (status updated 2026-10-27)</t>
  </si>
  <si>
    <t>QA1/QA3: extraction fields; QA8: full text (Color_Space_Analysis_for_AI-Generated_Image_Detection_on_CIFAKE_CNN_Models_and_Statistical_Evaluation.pdf): future work only. Scored by AI 2026-10-21; validated by authors (status updated 2026-10-27)</t>
  </si>
  <si>
    <t>QA1/QA3: extraction fields; QA8: full text (s11042-025-21060-1.pdf): own-method limitations stated. Scored by AI 2026-10-21; validated by authors (status updated 2026-10-27)</t>
  </si>
  <si>
    <t>Setting</t>
  </si>
  <si>
    <t>Shift</t>
  </si>
  <si>
    <t>Target</t>
  </si>
  <si>
    <t>Value_pct</t>
  </si>
  <si>
    <t>Stat</t>
  </si>
  <si>
    <t>Pair_Eligible</t>
  </si>
  <si>
    <t>Quote</t>
  </si>
  <si>
    <t>Source_Field</t>
  </si>
  <si>
    <t>Check_Status</t>
  </si>
  <si>
    <t>in-domain</t>
  </si>
  <si>
    <t>none</t>
  </si>
  <si>
    <t>same-pool split</t>
  </si>
  <si>
    <t>AUC</t>
  </si>
  <si>
    <t>value</t>
  </si>
  <si>
    <t>Y</t>
  </si>
  <si>
    <t>same-pool in-distribution AUROC 1.00</t>
  </si>
  <si>
    <t>Validated by authors (status updated 2026-10-27)</t>
  </si>
  <si>
    <t>ood</t>
  </si>
  <si>
    <t>unseen-generator</t>
  </si>
  <si>
    <t>withheld Midjourney v6</t>
  </si>
  <si>
    <t>Withheld Midjourney v6: AUROC 0.989</t>
  </si>
  <si>
    <t>ImageNet benchmark</t>
  </si>
  <si>
    <t>N</t>
  </si>
  <si>
    <t>ImageNet benchmark: AUC 81.98%</t>
  </si>
  <si>
    <t>same-source split</t>
  </si>
  <si>
    <t>Reported final accuracy 96.35%</t>
  </si>
  <si>
    <t>GenImage SD1.4</t>
  </si>
  <si>
    <t>GenImage SD1.4 ACC 99.15%</t>
  </si>
  <si>
    <t>robustness</t>
  </si>
  <si>
    <t>jpeg/blur mix</t>
  </si>
  <si>
    <t>mean</t>
  </si>
  <si>
    <t>Mean robust accuracy 98.36% (GenImage SD1.4)</t>
  </si>
  <si>
    <t>GenImage Midjourney</t>
  </si>
  <si>
    <t>AP 99.5%, ACC 98.4%</t>
  </si>
  <si>
    <t>GenImage (7 unseen)</t>
  </si>
  <si>
    <t>GenImage average AP 86.6%, ACC 79.5%</t>
  </si>
  <si>
    <t>approximately 99.9% ACC and 100% AP</t>
  </si>
  <si>
    <t>all 45 sets: mean ACC 93.0%, AP 98.4%</t>
  </si>
  <si>
    <t>jpeg</t>
  </si>
  <si>
    <t>JPEG Q30</t>
  </si>
  <si>
    <t>Severe JPEG Q30: ACC 88.3%</t>
  </si>
  <si>
    <t>SD v1.4 source: ACC 99.9%, AP 100%</t>
  </si>
  <si>
    <t>GenImage</t>
  </si>
  <si>
    <t>GenImage mean ACC 84.5%, AP 97.3%</t>
  </si>
  <si>
    <t>RealAIGI/CIFAKE/FF++ splits</t>
  </si>
  <si>
    <t>reports ACC 99.12%</t>
  </si>
  <si>
    <t>approximately ACC 99.94%, AP 99.99%</t>
  </si>
  <si>
    <t>cross-dataset</t>
  </si>
  <si>
    <t>Layer4 cross-dataset GenImage average ACC 82.71%</t>
  </si>
  <si>
    <t>10 benchmarks</t>
  </si>
  <si>
    <t>Average over 10 benchmarks: AP 86.14, F1 70.58, ACC 72.00</t>
  </si>
  <si>
    <t>JPEG Q50</t>
  </si>
  <si>
    <t>98.29% at Q50</t>
  </si>
  <si>
    <t>Kaggle source</t>
  </si>
  <si>
    <t>Kaggle source: ACC 97.93%</t>
  </si>
  <si>
    <t>AUC 0.988</t>
  </si>
  <si>
    <t>FaceForensics++</t>
  </si>
  <si>
    <t>FaceForensics++: ACC 94.18%</t>
  </si>
  <si>
    <t>Celeb-DF v2</t>
  </si>
  <si>
    <t>Celeb-DF v2: 91.87%</t>
  </si>
  <si>
    <t>DFDC</t>
  </si>
  <si>
    <t>DFDC: 89.45%</t>
  </si>
  <si>
    <t>AUC 0.970</t>
  </si>
  <si>
    <t>91.71%, 0.961</t>
  </si>
  <si>
    <t>89.41%, 0.949</t>
  </si>
  <si>
    <t>ProGAN (1-class)</t>
  </si>
  <si>
    <t>ACC 98%, AP 96.37%</t>
  </si>
  <si>
    <t>cross-GAN</t>
  </si>
  <si>
    <t>cross-GAN mean 80.83/75.15</t>
  </si>
  <si>
    <t>22 generators</t>
  </si>
  <si>
    <t>ProGAN-trained mean ACC 90.78% over 22 generators</t>
  </si>
  <si>
    <t>AUC 100%</t>
  </si>
  <si>
    <t>ProGAN: TPR 87.2%, AUC 99.7%</t>
  </si>
  <si>
    <t>StyleGAN3: TPR 84.4%, AUC 99.6%</t>
  </si>
  <si>
    <t>SMTD</t>
  </si>
  <si>
    <t>F1</t>
  </si>
  <si>
    <t>F1 98.96%</t>
  </si>
  <si>
    <t>leave-one-dataset-out</t>
  </si>
  <si>
    <t>Average cross-dataset CT-CNN ACC 75.91%, F1 77.85%, AUC 90.85%</t>
  </si>
  <si>
    <t>pooled six sources</t>
  </si>
  <si>
    <t>Best ensemble ACC 79.2</t>
  </si>
  <si>
    <t>Midjourney</t>
  </si>
  <si>
    <t>Midjourney 66.02%</t>
  </si>
  <si>
    <t>GLIDE</t>
  </si>
  <si>
    <t>GLIDE 73.61%</t>
  </si>
  <si>
    <t>VQDM</t>
  </si>
  <si>
    <t>VQDM 57.17%</t>
  </si>
  <si>
    <t>BigGAN</t>
  </si>
  <si>
    <t>BigGAN 55.97%</t>
  </si>
  <si>
    <t>StyleGAN3 45.34%</t>
  </si>
  <si>
    <t>30 generators</t>
  </si>
  <si>
    <t>Mean across 30 generators: ACC 96.5%, AP 98.8%</t>
  </si>
  <si>
    <t>Chameleon</t>
  </si>
  <si>
    <t>Chameleon 62.1%</t>
  </si>
  <si>
    <t>45 sets</t>
  </si>
  <si>
    <t>45 sets: ACC 94.3%, AP 99.2%</t>
  </si>
  <si>
    <t>JPEG Q30 86.9/94.2%</t>
  </si>
  <si>
    <t>AIGC-Trace closed set</t>
  </si>
  <si>
    <t>Closed-set ACC 98.8%</t>
  </si>
  <si>
    <t>ForenSynths</t>
  </si>
  <si>
    <t>ForenSynths 97.3% ACC</t>
  </si>
  <si>
    <t>open-set</t>
  </si>
  <si>
    <t>near-OOD rejection</t>
  </si>
  <si>
    <t>near-OOD best AUROC only 0.583</t>
  </si>
  <si>
    <t>closed set</t>
  </si>
  <si>
    <t>fully open (config 1)</t>
  </si>
  <si>
    <t>Fully open AUC 0.92 / 0.81 / 0.85</t>
  </si>
  <si>
    <t>fully open (config 2)</t>
  </si>
  <si>
    <t>fully open (config 3)</t>
  </si>
  <si>
    <t>80/20 split</t>
  </si>
  <si>
    <t>80/20 split test ACC 91.32%</t>
  </si>
  <si>
    <t>GenImage (SD1.4 protocol)</t>
  </si>
  <si>
    <t>GenImage SD1.4 protocol mean ACC 77.5%</t>
  </si>
  <si>
    <t>Average cross-generator ACC: 80.4% on GenImage</t>
  </si>
  <si>
    <t>DiffusionForensics</t>
  </si>
  <si>
    <t>98.7% on DiffusionForensics</t>
  </si>
  <si>
    <t>digital validation</t>
  </si>
  <si>
    <t>DENSENET/Inception/Xception 100% ACC</t>
  </si>
  <si>
    <t>print-and-scan</t>
  </si>
  <si>
    <t>printed-and-scanned</t>
  </si>
  <si>
    <t>all methods collapse to ~50% ACC</t>
  </si>
  <si>
    <t>unknown architectures</t>
  </si>
  <si>
    <t>Open-set average AU-ROC 93.58%</t>
  </si>
  <si>
    <t>validation split</t>
  </si>
  <si>
    <t>98.2% accuracy</t>
  </si>
  <si>
    <t>SIDset</t>
  </si>
  <si>
    <t>95.74% ACC, 98.52% AUC</t>
  </si>
  <si>
    <t>9 external generators</t>
  </si>
  <si>
    <t>avg 84.6%</t>
  </si>
  <si>
    <t>earlier generators</t>
  </si>
  <si>
    <t>Earlier generators mean ACC 89.9%, AP 97.7%</t>
  </si>
  <si>
    <t>recent generators</t>
  </si>
  <si>
    <t>recent generators mean ACC 93.6%, AP 99.3%</t>
  </si>
  <si>
    <t>Synthbuster</t>
  </si>
  <si>
    <t>Synthbuster 85.76%</t>
  </si>
  <si>
    <t>diverse unseen sets</t>
  </si>
  <si>
    <t>diverse unseen 75.82%</t>
  </si>
  <si>
    <t>Celeb-DF</t>
  </si>
  <si>
    <t>AUC 94.25%</t>
  </si>
  <si>
    <t>skin-image dataset</t>
  </si>
  <si>
    <t>Hybrid generator-level 94.3</t>
  </si>
  <si>
    <t>ProGAN 100% ACC/100% AP</t>
  </si>
  <si>
    <t>BigGAN 95.2%</t>
  </si>
  <si>
    <t>CycleGAN</t>
  </si>
  <si>
    <t>CycleGAN 98.5%</t>
  </si>
  <si>
    <t>cross-family</t>
  </si>
  <si>
    <t>MJ 88.2%</t>
  </si>
  <si>
    <t>SD1.4 86.5%</t>
  </si>
  <si>
    <t>SD1.5 92.1%</t>
  </si>
  <si>
    <t>GenImage Wukong</t>
  </si>
  <si>
    <t>Wukong 86.3%</t>
  </si>
  <si>
    <t>BigGAN, JPEG Q50</t>
  </si>
  <si>
    <t>JPEG Q50 89.1%</t>
  </si>
  <si>
    <t>adversarial</t>
  </si>
  <si>
    <t>BigGAN, adversarial</t>
  </si>
  <si>
    <t>adversarial attack 83.4%</t>
  </si>
  <si>
    <t>96.25% ACC</t>
  </si>
  <si>
    <t>internal test</t>
  </si>
  <si>
    <t>Internal test ACC 97.95%</t>
  </si>
  <si>
    <t>FFHQ/StyleGAN2</t>
  </si>
  <si>
    <t>reaches 99.20% accuracy</t>
  </si>
  <si>
    <t>CelebA + StyleGAN2</t>
  </si>
  <si>
    <t>99.11% average accuracy</t>
  </si>
  <si>
    <t>AIGIBench same-source</t>
  </si>
  <si>
    <t>99.7% average accuracy</t>
  </si>
  <si>
    <t>96.3% mAcc</t>
  </si>
  <si>
    <t>UniversalFakeDetect-style benchmark</t>
  </si>
  <si>
    <t>95.58% average ACC</t>
  </si>
  <si>
    <t>ProGAN AP 100%</t>
  </si>
  <si>
    <t>18 datasets</t>
  </si>
  <si>
    <t>Overall mAP 96.13% across 18 datasets</t>
  </si>
  <si>
    <t>FFHQ/StyleGAN</t>
  </si>
  <si>
    <t>Case I proposed model 94.8% ACC</t>
  </si>
  <si>
    <t>PGAN</t>
  </si>
  <si>
    <t>proposed Siamese 54.75% ACC</t>
  </si>
  <si>
    <t>seen sources</t>
  </si>
  <si>
    <t>0.9504 ACC / 0.9899 AUC</t>
  </si>
  <si>
    <t>ten unseen subsets</t>
  </si>
  <si>
    <t>0.6590 ACC / 0.7746 AUC</t>
  </si>
  <si>
    <t>JPEG Q50 0.9392/0.9851</t>
  </si>
  <si>
    <t>16 generators</t>
  </si>
  <si>
    <t>ProGAN-trained mean ACC 96.13%, AP 99.15% over 16 generators</t>
  </si>
  <si>
    <t>Overall ACC 92.3%, AP 98.6%</t>
  </si>
  <si>
    <t>JPEG Q50: Acc 89.0%</t>
  </si>
  <si>
    <t>validation</t>
  </si>
  <si>
    <t>Val ACC 87.32%</t>
  </si>
  <si>
    <t>Test ACC 93% on unseen StyleGAN3</t>
  </si>
  <si>
    <t>Binary ACC 99.87%</t>
  </si>
  <si>
    <t>JPEG ACC 83.7%</t>
  </si>
  <si>
    <t>14 categories</t>
  </si>
  <si>
    <t>80.82% average accuracy</t>
  </si>
  <si>
    <t>JPEG ACC 79.55%</t>
  </si>
  <si>
    <t>custom test set</t>
  </si>
  <si>
    <t>Test Acc: 98.50%</t>
  </si>
  <si>
    <t>curated collection</t>
  </si>
  <si>
    <t>Accuracy: 94.8%</t>
  </si>
  <si>
    <t>SD v1.5 self-test</t>
  </si>
  <si>
    <t>~71.8% ACC / 78.5% AP</t>
  </si>
  <si>
    <t>leave-one-model-out</t>
  </si>
  <si>
    <t>Leave-one-model-out avg: 61.2% ACC, 65.1% AP</t>
  </si>
  <si>
    <t>Detection AVG ACC 99.56%</t>
  </si>
  <si>
    <t>CoCoGLIDE</t>
  </si>
  <si>
    <t>CoCoGLIDE 54.19%</t>
  </si>
  <si>
    <t>HIFI-IFDL</t>
  </si>
  <si>
    <t>HIFI-IFDL 82.97%</t>
  </si>
  <si>
    <t>GenImage 80.28%</t>
  </si>
  <si>
    <t>CASIA</t>
  </si>
  <si>
    <t>CASIA 77.16%</t>
  </si>
  <si>
    <t>Full-image AUC 0.962</t>
  </si>
  <si>
    <t>RSI test</t>
  </si>
  <si>
    <t>Accuracy 100%</t>
  </si>
  <si>
    <t>ADE20K</t>
  </si>
  <si>
    <t>ADE20K (OASIS) 88.9%</t>
  </si>
  <si>
    <t>Sketchy</t>
  </si>
  <si>
    <t>Sketchy (S2I-DetectoRS) 94.3%</t>
  </si>
  <si>
    <t>CUB-200-2011</t>
  </si>
  <si>
    <t>CUB-200-2011 (AttnGAN) 97.8%</t>
  </si>
  <si>
    <t>AIGCDetectBenchmark (16)</t>
  </si>
  <si>
    <t>Mean ACC 90.97% and AP 96.62%</t>
  </si>
  <si>
    <t>UFD Benchmark 1</t>
  </si>
  <si>
    <t>In-Domain (ID) ACC 99.5% / AP 99.9%</t>
  </si>
  <si>
    <t>UFD Benchmark 1 OOD</t>
  </si>
  <si>
    <t>Out-Of-Domain (OOD) ACC 93.0% / AP 97.3%</t>
  </si>
  <si>
    <t>Chameleon ACC 67.83%</t>
  </si>
  <si>
    <t>Synthbuster mean ACC 78.18%</t>
  </si>
  <si>
    <t>JPEG QF50</t>
  </si>
  <si>
    <t>QF=50 ACC 82.79%</t>
  </si>
  <si>
    <t>in-distribution test</t>
  </si>
  <si>
    <t>AU-ROC 0.993</t>
  </si>
  <si>
    <t>uncompressed OOD</t>
  </si>
  <si>
    <t>Uncompressed OOD Avg Acc 70.4% (Raw)</t>
  </si>
  <si>
    <t>GAN dataset</t>
  </si>
  <si>
    <t>GAN dataset mean ACC 98.8%, AP 99.8%</t>
  </si>
  <si>
    <t>diffusion dataset</t>
  </si>
  <si>
    <t>diffusion dataset mean ACC 96.3%, AP 99.0%</t>
  </si>
  <si>
    <t>Celeb-DF ACC 96.3%</t>
  </si>
  <si>
    <t>ACC 96.12%</t>
  </si>
  <si>
    <t>generic model</t>
  </si>
  <si>
    <t>MCC</t>
  </si>
  <si>
    <t>Generic Model MCC: 0.872</t>
  </si>
  <si>
    <t>generalization training</t>
  </si>
  <si>
    <t>Generalization Training MCC: 0.527</t>
  </si>
  <si>
    <t>19 unseen sets</t>
  </si>
  <si>
    <t>Overall Mean ACC 84.57% / AP 92.46%</t>
  </si>
  <si>
    <t>20% split</t>
  </si>
  <si>
    <t>Accuracy 95%</t>
  </si>
  <si>
    <t>in-domain test</t>
  </si>
  <si>
    <t>Acc 99.49%</t>
  </si>
  <si>
    <t>11 cross-dataset domains</t>
  </si>
  <si>
    <t>Cross-Dataset Mean Acc: 84.88%</t>
  </si>
  <si>
    <t>JPEG Q=30 Acc: 81.42%</t>
  </si>
  <si>
    <t>ADM (LSUN)</t>
  </si>
  <si>
    <t>ADM (LSUN) ACC 82.7%</t>
  </si>
  <si>
    <t>4 diffusion generators</t>
  </si>
  <si>
    <t>ADM-trained mean ACC 80.4%</t>
  </si>
  <si>
    <t>StyleGAN 66.0%</t>
  </si>
  <si>
    <t>custom split</t>
  </si>
  <si>
    <t>Acc 0.985</t>
  </si>
  <si>
    <t>Tgan</t>
  </si>
  <si>
    <t>Tgan mean AP .974</t>
  </si>
  <si>
    <t>Acc 98.7%, AP 99.9%</t>
  </si>
  <si>
    <t>38 unseen generators</t>
  </si>
  <si>
    <t>Mean Acc across 38 unseen generators: 87.2%</t>
  </si>
  <si>
    <t>Mean AP: 94.6%</t>
  </si>
  <si>
    <t>SD v1.5</t>
  </si>
  <si>
    <t>99.02% AUC</t>
  </si>
  <si>
    <t>10 unseen generators</t>
  </si>
  <si>
    <t>90.29% Mean AUC</t>
  </si>
  <si>
    <t>CIFAKE: 96.60% Accuracy</t>
  </si>
  <si>
    <t>Best CIFAKE ACC 98.91%</t>
  </si>
  <si>
    <t>WILD closed set</t>
  </si>
  <si>
    <t>Closed-set Macro AUC: 98.13%</t>
  </si>
  <si>
    <t>WILD open set</t>
  </si>
  <si>
    <t>Open-set Rejection: 100.00% AUC</t>
  </si>
  <si>
    <t>PRISM full generation</t>
  </si>
  <si>
    <t>GenImage Cross-Dataset Avg Accuracy: 90.3%</t>
  </si>
  <si>
    <t>DRCT-2M</t>
  </si>
  <si>
    <t>DRCT-2M Cross-Dataset Avg Accuracy: 97.4%</t>
  </si>
  <si>
    <t>Celeb-DF AUC: 79.2%</t>
  </si>
  <si>
    <t>DFDC AUC: 73.6%</t>
  </si>
  <si>
    <t>MMFR (10 generators)</t>
  </si>
  <si>
    <t>MMFR average ACC 94.06%</t>
  </si>
  <si>
    <t>LOKI</t>
  </si>
  <si>
    <t>LOKI ACC 86.73%</t>
  </si>
  <si>
    <t>held-out split (binary)</t>
  </si>
  <si>
    <t>binary 97.70%</t>
  </si>
  <si>
    <t>generalization sets</t>
  </si>
  <si>
    <t>Average generalization ACC 67.40%</t>
  </si>
  <si>
    <t>69.85% (QF50)</t>
  </si>
  <si>
    <t>Cross-GAN Mean Acc: 92.9%, Mean A.P.: 98.5%</t>
  </si>
  <si>
    <t>cross-diffusion</t>
  </si>
  <si>
    <t>Cross-Diffusion Mean Acc: 89.5%, Mean A.P.: 97.7%</t>
  </si>
  <si>
    <t>78.36%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</si>
</sst>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mmm\-yyyy"/>
    <numFmt numFmtId="165" formatCode="yyyy\-mm\-dd"/>
    <numFmt numFmtId="166" formatCode="0.0%"/>
  </numFmts>
  <fonts count="26">
    <font>
      <sz val="10"/>
      <color rgb="FF000000"/>
      <name val="Arial"/>
      <scheme val="minor"/>
    </font>
    <font>
      <b/>
      <sz val="11"/>
      <color rgb="FFFFFFFF"/>
      <name val="Montserrat"/>
    </font>
    <font>
      <b/>
      <sz val="10"/>
      <color rgb="FFFFFFFF"/>
      <name val="Montserrat"/>
    </font>
    <font>
      <b/>
      <sz val="10"/>
      <color theme="1"/>
      <name val="Arial"/>
      <family val="2"/>
    </font>
    <font>
      <sz val="10"/>
      <color rgb="FF171B1F"/>
      <name val="Roboto"/>
    </font>
    <font>
      <sz val="10"/>
      <color theme="1"/>
      <name val="Arial"/>
      <family val="2"/>
    </font>
    <font>
      <b/>
      <sz val="10"/>
      <color rgb="FFFFFFFF"/>
      <name val="Arial"/>
      <family val="2"/>
    </font>
    <font>
      <sz val="11"/>
      <color theme="1"/>
      <name val="Carlito"/>
    </font>
    <font>
      <sz val="10"/>
      <color rgb="FF000000"/>
      <name val="Arial"/>
      <family val="2"/>
    </font>
    <font>
      <b/>
      <sz val="8"/>
      <color rgb="FF000000"/>
      <name val="Helvetica Neue"/>
      <family val="2"/>
    </font>
    <font>
      <sz val="8"/>
      <color rgb="FF000000"/>
      <name val="Helvetica Neue"/>
      <family val="2"/>
    </font>
    <font>
      <sz val="10"/>
      <color theme="1"/>
      <name val="Roboto"/>
    </font>
    <font>
      <b/>
      <sz val="10"/>
      <color rgb="FF3A5F8E"/>
      <name val="Roboto"/>
    </font>
    <font>
      <sz val="10"/>
      <color rgb="FF1F1F1F"/>
      <name val="Google Sans"/>
    </font>
    <font>
      <sz val="10"/>
      <color theme="1"/>
      <name val="Roboto"/>
    </font>
    <font>
      <sz val="10"/>
      <color theme="1"/>
      <name val="Arial"/>
      <family val="2"/>
      <scheme val="minor"/>
    </font>
    <font>
      <b/>
      <sz val="16"/>
      <color rgb="FFFFFFFF"/>
      <name val="Arial"/>
      <family val="2"/>
    </font>
    <font>
      <i/>
      <sz val="10"/>
      <color rgb="FF404040"/>
      <name val="Arial"/>
      <family val="2"/>
    </font>
    <font>
      <b/>
      <sz val="10"/>
      <color rgb="FF1F1F1F"/>
      <name val="Arial"/>
      <family val="2"/>
    </font>
    <font>
      <sz val="10"/>
      <color rgb="FF000000"/>
      <name val="Arial"/>
      <family val="2"/>
    </font>
    <font>
      <b/>
      <sz val="10"/>
      <color rgb="FFFFFFFF"/>
      <name val="Arial"/>
      <family val="2"/>
    </font>
    <font>
      <b/>
      <sz val="14"/>
      <color rgb="FFFFFFFF"/>
      <name val="Arial"/>
      <family val="2"/>
    </font>
    <font>
      <i/>
      <sz val="10"/>
      <color rgb="FF1F2937"/>
      <name val="Arial"/>
      <family val="2"/>
    </font>
    <font>
      <b/>
      <sz val="13"/>
      <name val="Arial"/>
      <family val="2"/>
    </font>
    <font>
      <b/>
      <sz val="10"/>
      <color rgb="FFFFFFFF"/>
      <name val="Arial"/>
      <family val="2"/>
    </font>
    <font>
      <b/>
      <sz val="10"/>
      <name val="Arial"/>
      <family val="2"/>
    </font>
  </fonts>
  <fills count="18">
    <fill>
      <patternFill patternType="none"/>
    </fill>
    <fill>
      <patternFill patternType="gray125"/>
    </fill>
    <fill>
      <patternFill patternType="solid">
        <fgColor rgb="FF126681"/>
        <bgColor rgb="FF126681"/>
      </patternFill>
    </fill>
    <fill>
      <patternFill patternType="solid">
        <fgColor rgb="FF1972E5"/>
        <bgColor rgb="FF1972E5"/>
      </patternFill>
    </fill>
    <fill>
      <patternFill patternType="solid">
        <fgColor rgb="FFE5E5E5"/>
        <bgColor rgb="FFE5E5E5"/>
      </patternFill>
    </fill>
    <fill>
      <patternFill patternType="solid">
        <fgColor rgb="FF3366CC"/>
        <bgColor rgb="FF3366CC"/>
      </patternFill>
    </fill>
    <fill>
      <patternFill patternType="solid">
        <fgColor rgb="FF4985E8"/>
        <bgColor rgb="FF4985E8"/>
      </patternFill>
    </fill>
    <fill>
      <patternFill patternType="solid">
        <fgColor rgb="FF2F618B"/>
        <bgColor rgb="FF2F618B"/>
      </patternFill>
    </fill>
    <fill>
      <patternFill patternType="solid">
        <fgColor rgb="FFD4D4D4"/>
        <bgColor rgb="FFD4D4D4"/>
      </patternFill>
    </fill>
    <fill>
      <patternFill patternType="solid">
        <fgColor rgb="FFF6F8FF"/>
        <bgColor rgb="FFF6F8FF"/>
      </patternFill>
    </fill>
    <fill>
      <patternFill patternType="solid">
        <fgColor rgb="FFFFFFFF"/>
        <bgColor rgb="FFFFFFFF"/>
      </patternFill>
    </fill>
    <fill>
      <patternFill patternType="solid">
        <fgColor rgb="FF3A5F8E"/>
        <bgColor rgb="FF3A5F8E"/>
      </patternFill>
    </fill>
    <fill>
      <patternFill patternType="solid">
        <fgColor rgb="FFF7F9FF"/>
        <bgColor rgb="FFF7F9FF"/>
      </patternFill>
    </fill>
    <fill>
      <patternFill patternType="solid">
        <fgColor rgb="FF1F4E78"/>
        <bgColor rgb="FF1F4E78"/>
      </patternFill>
    </fill>
    <fill>
      <patternFill patternType="solid">
        <fgColor rgb="FFD9EAF7"/>
        <bgColor rgb="FFD9EAF7"/>
      </patternFill>
    </fill>
    <fill>
      <patternFill patternType="solid">
        <fgColor rgb="FF5B9BD5"/>
        <bgColor rgb="FF5B9BD5"/>
      </patternFill>
    </fill>
    <fill>
      <patternFill patternType="solid">
        <fgColor rgb="FF17365D"/>
        <bgColor rgb="FF17365D"/>
      </patternFill>
    </fill>
    <fill>
      <patternFill patternType="solid">
        <fgColor rgb="FF1F38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0" fontId="1" fillId="2" borderId="0" xfId="0" applyFont="1" applyFill="1"/>
    <xf numFmtId="0" fontId="2" fillId="3" borderId="0" xfId="0" applyFont="1" applyFill="1" applyAlignment="1">
      <alignment wrapText="1"/>
    </xf>
    <xf numFmtId="0" fontId="3" fillId="4" borderId="0" xfId="0" applyFont="1" applyFill="1"/>
    <xf numFmtId="0" fontId="3" fillId="0" borderId="0" xfId="0" applyFont="1"/>
    <xf numFmtId="0" fontId="5" fillId="0" borderId="0" xfId="0" applyFont="1"/>
    <xf numFmtId="164" fontId="4" fillId="0" borderId="0" xfId="0" applyNumberFormat="1" applyFont="1"/>
    <xf numFmtId="0" fontId="4" fillId="0" borderId="0" xfId="0" applyFont="1"/>
    <xf numFmtId="164" fontId="5" fillId="0" borderId="0" xfId="0" applyNumberFormat="1" applyFont="1"/>
    <xf numFmtId="165" fontId="4" fillId="0" borderId="0" xfId="0" applyNumberFormat="1" applyFont="1"/>
    <xf numFmtId="0" fontId="5" fillId="0" borderId="0" xfId="0" applyFont="1" applyAlignment="1">
      <alignment wrapText="1"/>
    </xf>
    <xf numFmtId="164" fontId="5" fillId="0" borderId="0" xfId="0" applyNumberFormat="1" applyFont="1" applyAlignment="1">
      <alignment wrapText="1"/>
    </xf>
    <xf numFmtId="165" fontId="5" fillId="0" borderId="0" xfId="0" applyNumberFormat="1" applyFont="1"/>
    <xf numFmtId="0" fontId="6" fillId="5" borderId="0" xfId="0" applyFont="1" applyFill="1"/>
    <xf numFmtId="0" fontId="7" fillId="0" borderId="0" xfId="0" applyFont="1" applyAlignment="1">
      <alignment horizontal="left"/>
    </xf>
    <xf numFmtId="0" fontId="7" fillId="0" borderId="0" xfId="0" applyFont="1"/>
    <xf numFmtId="0" fontId="6" fillId="6" borderId="0" xfId="0" applyFont="1" applyFill="1" applyAlignment="1">
      <alignment horizontal="center"/>
    </xf>
    <xf numFmtId="0" fontId="6" fillId="6" borderId="0" xfId="0" applyFont="1" applyFill="1" applyAlignment="1">
      <alignment horizontal="right"/>
    </xf>
    <xf numFmtId="0" fontId="2" fillId="7" borderId="0" xfId="0" applyFont="1" applyFill="1" applyAlignment="1">
      <alignment horizontal="center" vertical="center"/>
    </xf>
    <xf numFmtId="0" fontId="8" fillId="0" borderId="0" xfId="0" applyFont="1"/>
    <xf numFmtId="0" fontId="8" fillId="0" borderId="0" xfId="0" applyFont="1" applyAlignment="1">
      <alignment horizontal="right"/>
    </xf>
    <xf numFmtId="0" fontId="9" fillId="8" borderId="1" xfId="0" applyFont="1" applyFill="1" applyBorder="1" applyAlignment="1">
      <alignment vertical="top"/>
    </xf>
    <xf numFmtId="0" fontId="10" fillId="9" borderId="1" xfId="0" applyFont="1" applyFill="1" applyBorder="1" applyAlignment="1">
      <alignment vertical="top"/>
    </xf>
    <xf numFmtId="0" fontId="8" fillId="9" borderId="1" xfId="0" applyFont="1" applyFill="1" applyBorder="1" applyAlignment="1">
      <alignment vertical="top"/>
    </xf>
    <xf numFmtId="0" fontId="10" fillId="10" borderId="1" xfId="0" applyFont="1" applyFill="1" applyBorder="1" applyAlignment="1">
      <alignment vertical="top"/>
    </xf>
    <xf numFmtId="0" fontId="8" fillId="10" borderId="1" xfId="0" applyFont="1" applyFill="1" applyBorder="1" applyAlignment="1">
      <alignment vertical="top"/>
    </xf>
    <xf numFmtId="0" fontId="11" fillId="0" borderId="0" xfId="0" applyFont="1"/>
    <xf numFmtId="0" fontId="12" fillId="0" borderId="0" xfId="0" applyFont="1"/>
    <xf numFmtId="0" fontId="6" fillId="11" borderId="0" xfId="0" applyFont="1" applyFill="1"/>
    <xf numFmtId="0" fontId="5" fillId="12" borderId="0" xfId="0" applyFont="1" applyFill="1"/>
    <xf numFmtId="0" fontId="5" fillId="10" borderId="0" xfId="0" applyFont="1" applyFill="1"/>
    <xf numFmtId="0" fontId="11" fillId="12" borderId="0" xfId="0" applyFont="1" applyFill="1"/>
    <xf numFmtId="0" fontId="11" fillId="10" borderId="0" xfId="0" applyFont="1" applyFill="1"/>
    <xf numFmtId="0" fontId="13" fillId="10" borderId="0" xfId="0" applyFont="1" applyFill="1"/>
    <xf numFmtId="0" fontId="13" fillId="0" borderId="0" xfId="0" applyFont="1"/>
    <xf numFmtId="0" fontId="13" fillId="12" borderId="0" xfId="0" applyFont="1" applyFill="1"/>
    <xf numFmtId="0" fontId="14" fillId="10" borderId="0" xfId="0" applyFont="1" applyFill="1" applyAlignment="1">
      <alignment vertical="top"/>
    </xf>
    <xf numFmtId="0" fontId="14" fillId="9" borderId="0" xfId="0" applyFont="1" applyFill="1" applyAlignment="1">
      <alignment vertical="top"/>
    </xf>
    <xf numFmtId="3" fontId="13" fillId="10" borderId="0" xfId="0" applyNumberFormat="1" applyFont="1" applyFill="1"/>
    <xf numFmtId="3" fontId="13" fillId="12" borderId="0" xfId="0" applyNumberFormat="1" applyFont="1" applyFill="1"/>
    <xf numFmtId="0" fontId="15" fillId="0" borderId="0" xfId="0" applyFont="1"/>
    <xf numFmtId="0" fontId="18" fillId="14" borderId="0" xfId="0" applyFont="1" applyFill="1" applyAlignment="1">
      <alignment horizontal="center" vertical="center" wrapText="1"/>
    </xf>
    <xf numFmtId="0" fontId="19" fillId="0" borderId="0" xfId="0" applyFont="1"/>
    <xf numFmtId="0" fontId="20" fillId="13" borderId="0" xfId="0" applyFont="1" applyFill="1" applyAlignment="1">
      <alignment horizontal="center" vertical="center" wrapText="1"/>
    </xf>
    <xf numFmtId="0" fontId="19" fillId="0" borderId="0" xfId="0" applyFont="1" applyAlignment="1">
      <alignment wrapText="1"/>
    </xf>
    <xf numFmtId="0" fontId="20" fillId="13" borderId="0" xfId="0" applyFont="1" applyFill="1" applyAlignment="1">
      <alignment wrapText="1"/>
    </xf>
    <xf numFmtId="0" fontId="22" fillId="14" borderId="0" xfId="0" applyFont="1" applyFill="1" applyAlignment="1">
      <alignment vertical="center" wrapText="1"/>
    </xf>
    <xf numFmtId="0" fontId="20" fillId="15" borderId="0" xfId="0" applyFont="1" applyFill="1" applyAlignment="1">
      <alignment wrapText="1"/>
    </xf>
    <xf numFmtId="0" fontId="20" fillId="15" borderId="0" xfId="0" applyFont="1" applyFill="1" applyAlignment="1">
      <alignment horizontal="center" vertical="center" wrapText="1"/>
    </xf>
    <xf numFmtId="0" fontId="19" fillId="0" borderId="0" xfId="0" applyFont="1" applyAlignment="1">
      <alignment vertical="top" wrapText="1"/>
    </xf>
    <xf numFmtId="166" fontId="19" fillId="0" borderId="0" xfId="0" applyNumberFormat="1" applyFont="1" applyAlignment="1">
      <alignment wrapText="1"/>
    </xf>
    <xf numFmtId="9" fontId="19" fillId="0" borderId="0" xfId="0" applyNumberFormat="1" applyFont="1" applyAlignment="1">
      <alignment wrapText="1"/>
    </xf>
    <xf numFmtId="0" fontId="18" fillId="14" borderId="0" xfId="0" applyFont="1" applyFill="1" applyAlignment="1">
      <alignment vertical="center" wrapText="1"/>
    </xf>
    <xf numFmtId="2" fontId="18" fillId="14" borderId="0" xfId="0" applyNumberFormat="1" applyFont="1" applyFill="1" applyAlignment="1">
      <alignment vertical="center" wrapText="1"/>
    </xf>
    <xf numFmtId="0" fontId="23" fillId="0" borderId="0" xfId="0" applyFont="1"/>
    <xf numFmtId="0" fontId="24" fillId="17" borderId="0" xfId="0" applyFont="1" applyFill="1"/>
    <xf numFmtId="0" fontId="24" fillId="17" borderId="0" xfId="0" applyFont="1" applyFill="1" applyAlignment="1">
      <alignment wrapText="1"/>
    </xf>
    <xf numFmtId="0" fontId="25" fillId="0" borderId="0" xfId="0" applyFont="1"/>
    <xf numFmtId="0" fontId="17" fillId="0" borderId="0" xfId="0" applyFont="1" applyAlignment="1">
      <alignment horizontal="center"/>
    </xf>
    <xf numFmtId="0" fontId="0" fillId="0" borderId="0" xfId="0"/>
    <xf numFmtId="0" fontId="16" fillId="13" borderId="0" xfId="0" applyFont="1" applyFill="1" applyAlignment="1">
      <alignment horizontal="center" vertical="center"/>
    </xf>
    <xf numFmtId="0" fontId="21" fillId="13" borderId="0" xfId="0" applyFont="1" applyFill="1" applyAlignment="1">
      <alignment horizontal="left" vertical="center"/>
    </xf>
    <xf numFmtId="0" fontId="21" fillId="16" borderId="0" xfId="0" applyFont="1" applyFill="1" applyAlignment="1">
      <alignment horizontal="left" vertical="center" wrapText="1"/>
    </xf>
    <xf numFmtId="49" fontId="0" fillId="0" borderId="0" xfId="0" applyNumberFormat="1"/>
  </cellXfs>
  <cellStyles count="1">
    <cellStyle name="Normal" xfId="0" builtinId="0"/>
  </cellStyles>
  <dxfs count="35">
    <dxf>
      <fill>
        <patternFill patternType="solid">
          <fgColor rgb="FFC6EFCE"/>
        </patternFill>
      </fill>
    </dxf>
    <dxf>
      <fill>
        <patternFill patternType="solid">
          <fgColor rgb="FFF8CBAD"/>
        </patternFill>
      </fill>
    </dxf>
    <dxf>
      <fill>
        <patternFill patternType="solid">
          <fgColor rgb="FFF8CBAD"/>
        </patternFill>
      </fill>
    </dxf>
    <dxf>
      <font>
        <b/>
        <color rgb="FF9C0006"/>
      </font>
      <fill>
        <patternFill patternType="solid">
          <fgColor rgb="FFF4CCCC"/>
          <bgColor rgb="FFF4CCCC"/>
        </patternFill>
      </fill>
    </dxf>
    <dxf>
      <font>
        <color rgb="FF9C6500"/>
      </font>
      <fill>
        <patternFill patternType="solid">
          <fgColor rgb="FFFFF2CC"/>
          <bgColor rgb="FFFFF2CC"/>
        </patternFill>
      </fill>
    </dxf>
    <dxf>
      <font>
        <color rgb="FF006100"/>
      </font>
      <fill>
        <patternFill patternType="solid">
          <fgColor rgb="FFC6EFCE"/>
          <bgColor rgb="FFC6EFCE"/>
        </patternFill>
      </fill>
    </dxf>
    <dxf>
      <font>
        <b/>
        <color rgb="FF9C0006"/>
      </font>
      <fill>
        <patternFill patternType="solid">
          <fgColor rgb="FFF4CCCC"/>
          <bgColor rgb="FFF4CCCC"/>
        </patternFill>
      </fill>
    </dxf>
    <dxf>
      <font>
        <b/>
        <color rgb="FF006100"/>
      </font>
      <fill>
        <patternFill patternType="solid">
          <fgColor rgb="FFC6EFCE"/>
          <bgColor rgb="FFC6EFCE"/>
        </patternFill>
      </fill>
    </dxf>
    <dxf>
      <font>
        <b/>
      </font>
      <fill>
        <patternFill patternType="solid">
          <fgColor rgb="FFFFF2CC"/>
          <bgColor rgb="FFFFF2CC"/>
        </patternFill>
      </fill>
    </dxf>
    <dxf>
      <font>
        <b/>
        <color rgb="FF9C6500"/>
      </font>
      <fill>
        <patternFill patternType="solid">
          <fgColor rgb="FFFCE5CD"/>
          <bgColor rgb="FFFCE5CD"/>
        </patternFill>
      </fill>
    </dxf>
    <dxf>
      <font>
        <b/>
        <color rgb="FF9C0006"/>
      </font>
      <fill>
        <patternFill patternType="solid">
          <fgColor rgb="FFF4CCCC"/>
          <bgColor rgb="FFF4CCCC"/>
        </patternFill>
      </fill>
    </dxf>
    <dxf>
      <font>
        <b/>
        <color rgb="FF006100"/>
      </font>
      <fill>
        <patternFill patternType="solid">
          <fgColor rgb="FFC6EFCE"/>
          <bgColor rgb="FFC6EFCE"/>
        </patternFill>
      </fill>
    </dxf>
    <dxf>
      <font>
        <b/>
        <color rgb="FF9C6500"/>
      </font>
      <fill>
        <patternFill patternType="solid">
          <fgColor rgb="FFFFEB9C"/>
          <bgColor rgb="FFFFEB9C"/>
        </patternFill>
      </fill>
    </dxf>
    <dxf>
      <font>
        <b/>
        <color rgb="FF006100"/>
      </font>
      <fill>
        <patternFill patternType="solid">
          <fgColor rgb="FFC6EFCE"/>
          <bgColor rgb="FFC6EFCE"/>
        </patternFill>
      </fill>
    </dxf>
    <dxf>
      <font>
        <b/>
        <color rgb="FF9C6500"/>
      </font>
      <fill>
        <patternFill patternType="solid">
          <fgColor rgb="FFFFEB9C"/>
          <bgColor rgb="FFFFEB9C"/>
        </patternFill>
      </fill>
    </dxf>
    <dxf>
      <font>
        <b/>
        <color rgb="FF006100"/>
      </font>
      <fill>
        <patternFill patternType="solid">
          <fgColor rgb="FFC6EFCE"/>
          <bgColor rgb="FFC6EFCE"/>
        </patternFill>
      </fill>
    </dxf>
    <dxf>
      <font>
        <color rgb="FF9C0006"/>
      </font>
      <fill>
        <patternFill patternType="solid">
          <fgColor rgb="FFFCE8E6"/>
          <bgColor rgb="FFFCE8E6"/>
        </patternFill>
      </fill>
    </dxf>
    <dxf>
      <font>
        <color rgb="FF006100"/>
      </font>
      <fill>
        <patternFill patternType="solid">
          <fgColor rgb="FFC6EFCE"/>
          <bgColor rgb="FFC6EFCE"/>
        </patternFill>
      </fill>
    </dxf>
    <dxf>
      <font>
        <color rgb="FF9C0006"/>
      </font>
      <fill>
        <patternFill patternType="solid">
          <fgColor rgb="FFFCE8E6"/>
          <bgColor rgb="FFFCE8E6"/>
        </patternFill>
      </fill>
    </dxf>
    <dxf>
      <font>
        <color rgb="FF006100"/>
      </font>
      <fill>
        <patternFill patternType="solid">
          <fgColor rgb="FFC6EFCE"/>
          <bgColor rgb="FFC6EFCE"/>
        </patternFill>
      </fill>
    </dxf>
    <dxf>
      <fill>
        <patternFill patternType="solid">
          <fgColor rgb="FFF4CCCC"/>
          <bgColor rgb="FFF4CCCC"/>
        </patternFill>
      </fill>
    </dxf>
    <dxf>
      <fill>
        <patternFill patternType="solid">
          <fgColor rgb="FFFFEB9C"/>
          <bgColor rgb="FFFFEB9C"/>
        </patternFill>
      </fill>
    </dxf>
    <dxf>
      <fill>
        <patternFill patternType="solid">
          <fgColor rgb="FFC6EFCE"/>
          <bgColor rgb="FFC6EFCE"/>
        </patternFill>
      </fill>
    </dxf>
    <dxf>
      <fill>
        <patternFill patternType="solid">
          <fgColor rgb="FF63BE7B"/>
          <bgColor rgb="FF63BE7B"/>
        </patternFill>
      </fill>
    </dxf>
    <dxf>
      <fill>
        <patternFill patternType="solid">
          <fgColor rgb="FFF4CCCC"/>
          <bgColor rgb="FFF4CCCC"/>
        </patternFill>
      </fill>
    </dxf>
    <dxf>
      <fill>
        <patternFill patternType="solid">
          <fgColor rgb="FFFFF2CC"/>
          <bgColor rgb="FFFFF2CC"/>
        </patternFill>
      </fill>
    </dxf>
    <dxf>
      <fill>
        <patternFill patternType="solid">
          <fgColor rgb="FFE2F0D9"/>
          <bgColor rgb="FFE2F0D9"/>
        </patternFill>
      </fill>
    </dxf>
    <dxf>
      <font>
        <b/>
      </font>
      <fill>
        <patternFill patternType="solid">
          <fgColor rgb="FFC6E0B4"/>
          <bgColor rgb="FFC6E0B4"/>
        </patternFill>
      </fill>
    </dxf>
    <dxf>
      <fill>
        <patternFill patternType="solid">
          <fgColor rgb="FFFFF2CC"/>
          <bgColor rgb="FFFFF2CC"/>
        </patternFill>
      </fill>
    </dxf>
    <dxf>
      <fill>
        <patternFill patternType="solid">
          <fgColor rgb="FFFCE5CD"/>
          <bgColor rgb="FFFCE5CD"/>
        </patternFill>
      </fill>
    </dxf>
    <dxf>
      <font>
        <b/>
      </font>
      <fill>
        <patternFill patternType="solid">
          <fgColor rgb="FFF4CCCC"/>
          <bgColor rgb="FFF4CCCC"/>
        </patternFill>
      </fill>
    </dxf>
    <dxf>
      <fill>
        <patternFill patternType="solid">
          <fgColor theme="0"/>
          <bgColor theme="0"/>
        </patternFill>
      </fill>
    </dxf>
    <dxf>
      <fill>
        <patternFill patternType="solid">
          <fgColor rgb="FFD9E6FC"/>
          <bgColor rgb="FFD9E6FC"/>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 defaultTableStyle="TableStyleMedium9" defaultPivotStyle="PivotStyleLight16">
    <tableStyle name="10_Analysis_Ready-style" pivot="0" count="4" xr9:uid="{00000000-0011-0000-FFFF-FFFF00000000}">
      <tableStyleElement type="wholeTable" size="0" dxfId="34"/>
      <tableStyleElement type="headerRow" dxfId="33"/>
      <tableStyleElement type="firstRowStripe" dxfId="32"/>
      <tableStyleElement type="secondRowStripe" dxfId="3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34" Type="http://schemas.openxmlformats.org/officeDocument/2006/relationships/styles" Target="styles.xml"/><Relationship Id="rId7" Type="http://schemas.openxmlformats.org/officeDocument/2006/relationships/worksheet" Target="worksheets/sheet7.xml"/><Relationship Id="rId3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32" Type="http://schemas.openxmlformats.org/officeDocument/2006/relationships/worksheet" Target="worksheets/sheet32.xml"/><Relationship Id="rId5" Type="http://schemas.openxmlformats.org/officeDocument/2006/relationships/worksheet" Target="worksheets/sheet5.xml"/><Relationship Id="rId28" Type="http://schemas.openxmlformats.org/officeDocument/2006/relationships/worksheet" Target="worksheets/sheet28.xml"/><Relationship Id="rId10" Type="http://schemas.openxmlformats.org/officeDocument/2006/relationships/worksheet" Target="worksheets/sheet10.xml"/><Relationship Id="rId31" Type="http://schemas.openxmlformats.org/officeDocument/2006/relationships/worksheet" Target="worksheets/sheet31.xml"/><Relationship Id="rId4" Type="http://schemas.openxmlformats.org/officeDocument/2006/relationships/worksheet" Target="worksheets/sheet4.xml"/><Relationship Id="rId14" Type="http://schemas.openxmlformats.org/officeDocument/2006/relationships/worksheet" Target="worksheets/sheet14.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alysisReadyTable" displayName="AnalysisReadyTable" ref="A3:BT102">
  <tableColumns count="72">
    <tableColumn id="1" xr3:uid="{00000000-0010-0000-0000-000001000000}" name="Record_ID"/>
    <tableColumn id="2" xr3:uid="{00000000-0010-0000-0000-000002000000}" name="Title"/>
    <tableColumn id="3" xr3:uid="{00000000-0010-0000-0000-000003000000}" name="Year"/>
    <tableColumn id="4" xr3:uid="{00000000-0010-0000-0000-000004000000}" name="Journal"/>
    <tableColumn id="5" xr3:uid="{00000000-0010-0000-0000-000005000000}" name="DOI"/>
    <tableColumn id="6" xr3:uid="{00000000-0010-0000-0000-000006000000}" name="Primary_Task"/>
    <tableColumn id="7" xr3:uid="{00000000-0010-0000-0000-000007000000}" name="Detection_Level"/>
    <tableColumn id="8" xr3:uid="{00000000-0010-0000-0000-000008000000}" name="Forensic_Objective"/>
    <tableColumn id="9" xr3:uid="{00000000-0010-0000-0000-000009000000}" name="Proposed_Method"/>
    <tableColumn id="10" xr3:uid="{00000000-0010-0000-0000-00000A000000}" name="Backbone_Architecture"/>
    <tableColumn id="11" xr3:uid="{00000000-0010-0000-0000-00000B000000}" name="Feature_Type"/>
    <tableColumn id="12" xr3:uid="{00000000-0010-0000-0000-00000C000000}" name="Spatial_Features"/>
    <tableColumn id="13" xr3:uid="{00000000-0010-0000-0000-00000D000000}" name="Frequency_Features"/>
    <tableColumn id="14" xr3:uid="{00000000-0010-0000-0000-00000E000000}" name="Semantic_Features"/>
    <tableColumn id="15" xr3:uid="{00000000-0010-0000-0000-00000F000000}" name="Reconstruction_Latent_Features"/>
    <tableColumn id="16" xr3:uid="{00000000-0010-0000-0000-000010000000}" name="Other_Forensic_Cues"/>
    <tableColumn id="17" xr3:uid="{00000000-0010-0000-0000-000011000000}" name="Training_Dataset"/>
    <tableColumn id="18" xr3:uid="{00000000-0010-0000-0000-000012000000}" name="Training_Real_Source"/>
    <tableColumn id="19" xr3:uid="{00000000-0010-0000-0000-000013000000}" name="Training_Generator_s"/>
    <tableColumn id="20" xr3:uid="{00000000-0010-0000-0000-000014000000}" name="Training_Sample_Size"/>
    <tableColumn id="21" xr3:uid="{00000000-0010-0000-0000-000015000000}" name="Test_Dataset_s"/>
    <tableColumn id="22" xr3:uid="{00000000-0010-0000-0000-000016000000}" name="Test_Real_Source_s"/>
    <tableColumn id="23" xr3:uid="{00000000-0010-0000-0000-000017000000}" name="Test_Generator_s"/>
    <tableColumn id="24" xr3:uid="{00000000-0010-0000-0000-000018000000}" name="Test_Sample_Size"/>
    <tableColumn id="25" xr3:uid="{00000000-0010-0000-0000-000019000000}" name="Generator_Families"/>
    <tableColumn id="26" xr3:uid="{00000000-0010-0000-0000-00001A000000}" name="GAN_Included"/>
    <tableColumn id="27" xr3:uid="{00000000-0010-0000-0000-00001B000000}" name="Diffusion_Included"/>
    <tableColumn id="28" xr3:uid="{00000000-0010-0000-0000-00001C000000}" name="Transformer_Autoregressive_Included"/>
    <tableColumn id="29" xr3:uid="{00000000-0010-0000-0000-00001D000000}" name="Commercial_Models_Included"/>
    <tableColumn id="30" xr3:uid="{00000000-0010-0000-0000-00001E000000}" name="Domain_Content"/>
    <tableColumn id="31" xr3:uid="{00000000-0010-0000-0000-00001F000000}" name="Face_Specific"/>
    <tableColumn id="32" xr3:uid="{00000000-0010-0000-0000-000020000000}" name="Generalization_Protocol"/>
    <tableColumn id="33" xr3:uid="{00000000-0010-0000-0000-000021000000}" name="Unseen_Generator_Test"/>
    <tableColumn id="34" xr3:uid="{00000000-0010-0000-0000-000022000000}" name="Cross_Family_Test"/>
    <tableColumn id="35" xr3:uid="{00000000-0010-0000-0000-000023000000}" name="Cross_Dataset_Test"/>
    <tableColumn id="36" xr3:uid="{00000000-0010-0000-0000-000024000000}" name="Cross_Domain_Content_Test"/>
    <tableColumn id="37" xr3:uid="{00000000-0010-0000-0000-000025000000}" name="Open_Set_Test"/>
    <tableColumn id="38" xr3:uid="{00000000-0010-0000-0000-000026000000}" name="Continual_Adaptive_Test"/>
    <tableColumn id="39" xr3:uid="{00000000-0010-0000-0000-000027000000}" name="Zero_Shot_or_Adapted"/>
    <tableColumn id="40" xr3:uid="{00000000-0010-0000-0000-000028000000}" name="Target_Data_Used_For_Calibration"/>
    <tableColumn id="41" xr3:uid="{00000000-0010-0000-0000-000029000000}" name="Robustness_Tested"/>
    <tableColumn id="42" xr3:uid="{00000000-0010-0000-0000-00002A000000}" name="JPEG_Compression"/>
    <tableColumn id="43" xr3:uid="{00000000-0010-0000-0000-00002B000000}" name="Blur"/>
    <tableColumn id="44" xr3:uid="{00000000-0010-0000-0000-00002C000000}" name="Resize"/>
    <tableColumn id="45" xr3:uid="{00000000-0010-0000-0000-00002D000000}" name="Noise"/>
    <tableColumn id="46" xr3:uid="{00000000-0010-0000-0000-00002E000000}" name="Social_Media_Postprocessing"/>
    <tableColumn id="47" xr3:uid="{00000000-0010-0000-0000-00002F000000}" name="Adversarial_Attack"/>
    <tableColumn id="48" xr3:uid="{00000000-0010-0000-0000-000030000000}" name="Other_Robustness"/>
    <tableColumn id="49" xr3:uid="{00000000-0010-0000-0000-000031000000}" name="Metrics"/>
    <tableColumn id="50" xr3:uid="{00000000-0010-0000-0000-000032000000}" name="In_Domain_Performance"/>
    <tableColumn id="51" xr3:uid="{00000000-0010-0000-0000-000033000000}" name="Generalization_Performance"/>
    <tableColumn id="52" xr3:uid="{00000000-0010-0000-0000-000034000000}" name="Robustness_Performance"/>
    <tableColumn id="53" xr3:uid="{00000000-0010-0000-0000-000035000000}" name="Best_Key_Result"/>
    <tableColumn id="54" xr3:uid="{00000000-0010-0000-0000-000036000000}" name="Worst_Key_Result"/>
    <tableColumn id="55" xr3:uid="{00000000-0010-0000-0000-000037000000}" name="Generalization_Failure_Evidence"/>
    <tableColumn id="56" xr3:uid="{00000000-0010-0000-0000-000038000000}" name="Baselines_Compared"/>
    <tableColumn id="57" xr3:uid="{00000000-0010-0000-0000-000039000000}" name="Ablation_Study"/>
    <tableColumn id="58" xr3:uid="{00000000-0010-0000-0000-00003A000000}" name="Explainability"/>
    <tableColumn id="59" xr3:uid="{00000000-0010-0000-0000-00003B000000}" name="Code_Available"/>
    <tableColumn id="60" xr3:uid="{00000000-0010-0000-0000-00003C000000}" name="Dataset_Available"/>
    <tableColumn id="61" xr3:uid="{00000000-0010-0000-0000-00003D000000}" name="Authors_Claimed_Generalization"/>
    <tableColumn id="62" xr3:uid="{00000000-0010-0000-0000-00003E000000}" name="Evidence_Supports_Generalization"/>
    <tableColumn id="63" xr3:uid="{00000000-0010-0000-0000-00003F000000}" name="Generalization_Strength"/>
    <tableColumn id="64" xr3:uid="{00000000-0010-0000-0000-000040000000}" name="Main_Strengths"/>
    <tableColumn id="65" xr3:uid="{00000000-0010-0000-0000-000041000000}" name="Main_Limitations"/>
    <tableColumn id="66" xr3:uid="{00000000-0010-0000-0000-000042000000}" name="Threats_to_Validity"/>
    <tableColumn id="67" xr3:uid="{00000000-0010-0000-0000-000043000000}" name="Relevance_to_Universal_AIGI_Detection"/>
    <tableColumn id="68" xr3:uid="{00000000-0010-0000-0000-000044000000}" name="Key_Contribution_to_SLR"/>
    <tableColumn id="69" xr3:uid="{00000000-0010-0000-0000-000045000000}" name="Research_Gap_Exposed"/>
    <tableColumn id="70" xr3:uid="{00000000-0010-0000-0000-000046000000}" name="Reviewer"/>
    <tableColumn id="71" xr3:uid="{00000000-0010-0000-0000-000047000000}" name="Validation_Status"/>
    <tableColumn id="72" xr3:uid="{00000000-0010-0000-0000-000048000000}" name="Validator_Notes"/>
  </tableColumns>
  <tableStyleInfo name="10_Analysis_Read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workbookViewId="0"/>
  </sheetViews>
  <sheetFormatPr baseColWidth="10" defaultColWidth="12.6640625" defaultRowHeight="15" customHeight="1"/>
  <cols>
    <col min="1" max="1" width="10.1640625" customWidth="1"/>
    <col min="2" max="2" width="15.6640625" customWidth="1"/>
    <col min="3" max="3" width="56.1640625" customWidth="1"/>
    <col min="4" max="4" width="115" customWidth="1"/>
    <col min="5" max="5" width="80.5" customWidth="1"/>
    <col min="6" max="6" width="24.5" customWidth="1"/>
  </cols>
  <sheetData>
    <row r="1" spans="1:6" ht="15.75" customHeight="1">
      <c r="A1" s="1" t="s">
        <v>0</v>
      </c>
      <c r="B1" s="1" t="s">
        <v>1</v>
      </c>
      <c r="C1" s="1" t="s">
        <v>2</v>
      </c>
      <c r="D1" s="1" t="s">
        <v>3</v>
      </c>
      <c r="E1" s="1" t="s">
        <v>4</v>
      </c>
      <c r="F1" s="1" t="s">
        <v>5</v>
      </c>
    </row>
    <row r="2" spans="1:6" ht="15.75" customHeight="1">
      <c r="A2" s="6">
        <v>46246</v>
      </c>
      <c r="B2" s="7" t="s">
        <v>6</v>
      </c>
      <c r="C2" s="7" t="s">
        <v>7</v>
      </c>
      <c r="D2" s="7" t="s">
        <v>8</v>
      </c>
      <c r="E2" s="7" t="s">
        <v>9</v>
      </c>
      <c r="F2" s="7" t="s">
        <v>10</v>
      </c>
    </row>
    <row r="3" spans="1:6" ht="15.75" customHeight="1">
      <c r="A3" s="6">
        <v>46247</v>
      </c>
      <c r="B3" s="7" t="s">
        <v>11</v>
      </c>
      <c r="C3" s="7" t="s">
        <v>12</v>
      </c>
      <c r="D3" s="7" t="s">
        <v>13</v>
      </c>
      <c r="E3" s="7" t="s">
        <v>14</v>
      </c>
      <c r="F3" s="7" t="s">
        <v>10</v>
      </c>
    </row>
    <row r="4" spans="1:6" ht="15.75" customHeight="1">
      <c r="A4" s="9">
        <v>46248</v>
      </c>
      <c r="B4" s="7" t="s">
        <v>15</v>
      </c>
      <c r="C4" s="7"/>
      <c r="D4" s="7" t="s">
        <v>16</v>
      </c>
      <c r="E4" s="7" t="s">
        <v>17</v>
      </c>
      <c r="F4" s="7" t="s">
        <v>18</v>
      </c>
    </row>
    <row r="5" spans="1:6" ht="15.75" customHeight="1">
      <c r="A5" s="7"/>
      <c r="B5" s="7"/>
      <c r="C5" s="7"/>
      <c r="D5" s="7"/>
      <c r="E5" s="7"/>
      <c r="F5" s="7"/>
    </row>
    <row r="6" spans="1:6" ht="15.75" customHeight="1">
      <c r="A6" s="7"/>
      <c r="B6" s="7"/>
      <c r="C6" s="7"/>
      <c r="D6" s="7"/>
      <c r="E6" s="7"/>
      <c r="F6" s="7"/>
    </row>
    <row r="7" spans="1:6" ht="15.75" customHeight="1">
      <c r="A7" s="7"/>
      <c r="B7" s="7"/>
      <c r="C7" s="7"/>
      <c r="D7" s="7"/>
      <c r="E7" s="7"/>
      <c r="F7" s="7"/>
    </row>
    <row r="8" spans="1:6" ht="15.75" customHeight="1">
      <c r="A8" s="7"/>
      <c r="B8" s="7"/>
      <c r="C8" s="7"/>
      <c r="D8" s="7"/>
      <c r="E8" s="7"/>
      <c r="F8" s="7"/>
    </row>
    <row r="9" spans="1:6" ht="15.75" customHeight="1">
      <c r="A9" s="7"/>
      <c r="B9" s="7"/>
      <c r="C9" s="7"/>
      <c r="D9" s="7"/>
      <c r="E9" s="7"/>
      <c r="F9" s="7"/>
    </row>
    <row r="10" spans="1:6" ht="15.75" customHeight="1">
      <c r="A10" s="7"/>
      <c r="B10" s="7"/>
      <c r="C10" s="7"/>
      <c r="D10" s="7"/>
      <c r="E10" s="7"/>
      <c r="F10" s="7"/>
    </row>
    <row r="11" spans="1:6" ht="15.75" customHeight="1">
      <c r="A11" s="7"/>
      <c r="B11" s="7"/>
      <c r="C11" s="7"/>
      <c r="D11" s="7"/>
      <c r="E11" s="7"/>
      <c r="F11" s="7"/>
    </row>
    <row r="12" spans="1:6" ht="15.75" customHeight="1">
      <c r="A12" s="7"/>
      <c r="B12" s="7"/>
      <c r="C12" s="7"/>
      <c r="D12" s="7"/>
      <c r="E12" s="7"/>
      <c r="F12" s="7"/>
    </row>
    <row r="13" spans="1:6" ht="15.75" customHeight="1">
      <c r="A13" s="7"/>
      <c r="B13" s="7"/>
      <c r="C13" s="7"/>
      <c r="D13" s="7"/>
      <c r="E13" s="7"/>
      <c r="F13" s="7"/>
    </row>
    <row r="14" spans="1:6" ht="15.75" customHeight="1">
      <c r="A14" s="7"/>
      <c r="B14" s="7"/>
      <c r="C14" s="7"/>
      <c r="D14" s="7"/>
      <c r="E14" s="7"/>
      <c r="F14" s="7"/>
    </row>
    <row r="15" spans="1:6" ht="15.75" customHeight="1">
      <c r="A15" s="7"/>
      <c r="B15" s="7"/>
      <c r="C15" s="7"/>
      <c r="D15" s="7"/>
      <c r="E15" s="7"/>
      <c r="F15" s="7"/>
    </row>
    <row r="16" spans="1:6" ht="15.75" customHeight="1">
      <c r="A16" s="7"/>
      <c r="B16" s="7"/>
      <c r="C16" s="7"/>
      <c r="D16" s="7"/>
      <c r="E16" s="7"/>
      <c r="F16" s="7"/>
    </row>
    <row r="17" spans="1:6" ht="15.75" customHeight="1">
      <c r="A17" s="7"/>
      <c r="B17" s="7"/>
      <c r="C17" s="7"/>
      <c r="D17" s="7"/>
      <c r="E17" s="7"/>
      <c r="F17" s="7"/>
    </row>
    <row r="18" spans="1:6" ht="15.75" customHeight="1">
      <c r="A18" s="7"/>
      <c r="B18" s="7"/>
      <c r="C18" s="7"/>
      <c r="D18" s="7"/>
      <c r="E18" s="7"/>
      <c r="F18" s="7"/>
    </row>
    <row r="19" spans="1:6" ht="15.75" customHeight="1">
      <c r="A19" s="7"/>
      <c r="B19" s="7"/>
      <c r="C19" s="7"/>
      <c r="D19" s="7"/>
      <c r="E19" s="7"/>
      <c r="F19" s="7"/>
    </row>
    <row r="20" spans="1:6" ht="15.75" customHeight="1">
      <c r="A20" s="7"/>
      <c r="B20" s="7"/>
      <c r="C20" s="7"/>
      <c r="D20" s="7"/>
      <c r="E20" s="7"/>
      <c r="F20" s="7"/>
    </row>
    <row r="21" spans="1:6" ht="15.75" customHeight="1">
      <c r="A21" s="7"/>
      <c r="B21" s="7"/>
      <c r="C21" s="7"/>
      <c r="D21" s="7"/>
      <c r="E21" s="7"/>
      <c r="F21" s="7"/>
    </row>
    <row r="22" spans="1:6" ht="15.75" customHeight="1">
      <c r="A22" s="7"/>
      <c r="B22" s="7"/>
      <c r="C22" s="7"/>
      <c r="D22" s="7"/>
      <c r="E22" s="7"/>
      <c r="F22" s="7"/>
    </row>
    <row r="23" spans="1:6" ht="15.75" customHeight="1">
      <c r="A23" s="7"/>
      <c r="B23" s="7"/>
      <c r="C23" s="7"/>
      <c r="D23" s="7"/>
      <c r="E23" s="7"/>
      <c r="F23" s="7"/>
    </row>
    <row r="24" spans="1:6" ht="15.75" customHeight="1">
      <c r="A24" s="7"/>
      <c r="B24" s="7"/>
      <c r="C24" s="7"/>
      <c r="D24" s="7"/>
      <c r="E24" s="7"/>
      <c r="F24" s="7"/>
    </row>
    <row r="25" spans="1:6" ht="15.75" customHeight="1">
      <c r="A25" s="7"/>
      <c r="B25" s="7"/>
      <c r="C25" s="7"/>
      <c r="D25" s="7"/>
      <c r="E25" s="7"/>
      <c r="F25" s="7"/>
    </row>
    <row r="26" spans="1:6" ht="15.75" customHeight="1">
      <c r="A26" s="7"/>
      <c r="B26" s="7"/>
      <c r="C26" s="7"/>
      <c r="D26" s="7"/>
      <c r="E26" s="7"/>
      <c r="F26" s="7"/>
    </row>
    <row r="27" spans="1:6" ht="15.75" customHeight="1">
      <c r="A27" s="7"/>
      <c r="B27" s="7"/>
      <c r="C27" s="7"/>
      <c r="D27" s="7"/>
      <c r="E27" s="7"/>
      <c r="F27" s="7"/>
    </row>
    <row r="28" spans="1:6" ht="15.75" customHeight="1">
      <c r="A28" s="7"/>
      <c r="B28" s="7"/>
      <c r="C28" s="7"/>
      <c r="D28" s="7"/>
      <c r="E28" s="7"/>
      <c r="F28" s="7"/>
    </row>
    <row r="29" spans="1:6" ht="15.75" customHeight="1">
      <c r="A29" s="7"/>
      <c r="B29" s="7"/>
      <c r="C29" s="7"/>
      <c r="D29" s="7"/>
      <c r="E29" s="7"/>
      <c r="F29" s="7"/>
    </row>
    <row r="30" spans="1:6" ht="15.75" customHeight="1">
      <c r="A30" s="7"/>
      <c r="B30" s="7"/>
      <c r="C30" s="7"/>
      <c r="D30" s="7"/>
      <c r="E30" s="7"/>
      <c r="F30" s="7"/>
    </row>
    <row r="31" spans="1:6" ht="15.75" customHeight="1">
      <c r="A31" s="7"/>
      <c r="B31" s="7"/>
      <c r="C31" s="7"/>
      <c r="D31" s="7"/>
      <c r="E31" s="7"/>
      <c r="F31" s="7"/>
    </row>
    <row r="32" spans="1:6" ht="15.75" customHeight="1">
      <c r="A32" s="7"/>
      <c r="B32" s="7"/>
      <c r="C32" s="7"/>
      <c r="D32" s="7"/>
      <c r="E32" s="7"/>
      <c r="F32" s="7"/>
    </row>
    <row r="33" spans="1:6" ht="15.75" customHeight="1">
      <c r="A33" s="7"/>
      <c r="B33" s="7"/>
      <c r="C33" s="7"/>
      <c r="D33" s="7"/>
      <c r="E33" s="7"/>
      <c r="F33" s="7"/>
    </row>
    <row r="34" spans="1:6" ht="15.75" customHeight="1">
      <c r="A34" s="7"/>
      <c r="B34" s="7"/>
      <c r="C34" s="7"/>
      <c r="D34" s="7"/>
      <c r="E34" s="7"/>
      <c r="F34" s="7"/>
    </row>
    <row r="35" spans="1:6" ht="15.75" customHeight="1">
      <c r="A35" s="7"/>
      <c r="B35" s="7"/>
      <c r="C35" s="7"/>
      <c r="D35" s="7"/>
      <c r="E35" s="7"/>
      <c r="F35" s="7"/>
    </row>
    <row r="36" spans="1:6" ht="15.75" customHeight="1">
      <c r="A36" s="7"/>
      <c r="B36" s="7"/>
      <c r="C36" s="7"/>
      <c r="D36" s="7"/>
      <c r="E36" s="7"/>
      <c r="F36" s="7"/>
    </row>
    <row r="37" spans="1:6" ht="15.75" customHeight="1">
      <c r="A37" s="7"/>
      <c r="B37" s="7"/>
      <c r="C37" s="7"/>
      <c r="D37" s="7"/>
      <c r="E37" s="7"/>
      <c r="F37" s="7"/>
    </row>
    <row r="38" spans="1:6" ht="15.75" customHeight="1">
      <c r="A38" s="7"/>
      <c r="B38" s="7"/>
      <c r="C38" s="7"/>
      <c r="D38" s="7"/>
      <c r="E38" s="7"/>
      <c r="F38" s="7"/>
    </row>
    <row r="39" spans="1:6" ht="15.75" customHeight="1">
      <c r="A39" s="7"/>
      <c r="B39" s="7"/>
      <c r="C39" s="7"/>
      <c r="D39" s="7"/>
      <c r="E39" s="7"/>
      <c r="F39" s="7"/>
    </row>
    <row r="40" spans="1:6" ht="15.75" customHeight="1">
      <c r="A40" s="7"/>
      <c r="B40" s="7"/>
      <c r="C40" s="7"/>
      <c r="D40" s="7"/>
      <c r="E40" s="7"/>
      <c r="F40" s="7"/>
    </row>
    <row r="41" spans="1:6" ht="15.75" customHeight="1">
      <c r="A41" s="7"/>
      <c r="B41" s="7"/>
      <c r="C41" s="7"/>
      <c r="D41" s="7"/>
      <c r="E41" s="7"/>
      <c r="F41" s="7"/>
    </row>
    <row r="42" spans="1:6" ht="15.75" customHeight="1">
      <c r="A42" s="7"/>
      <c r="B42" s="7"/>
      <c r="C42" s="7"/>
      <c r="D42" s="7"/>
      <c r="E42" s="7"/>
      <c r="F42" s="7"/>
    </row>
    <row r="43" spans="1:6" ht="15.75" customHeight="1">
      <c r="A43" s="7"/>
      <c r="B43" s="7"/>
      <c r="C43" s="7"/>
      <c r="D43" s="7"/>
      <c r="E43" s="7"/>
      <c r="F43" s="7"/>
    </row>
    <row r="44" spans="1:6" ht="15.75" customHeight="1">
      <c r="A44" s="7"/>
      <c r="B44" s="7"/>
      <c r="C44" s="7"/>
      <c r="D44" s="7"/>
      <c r="E44" s="7"/>
      <c r="F44" s="7"/>
    </row>
    <row r="45" spans="1:6" ht="15.75" customHeight="1">
      <c r="A45" s="7"/>
      <c r="B45" s="7"/>
      <c r="C45" s="7"/>
      <c r="D45" s="7"/>
      <c r="E45" s="7"/>
      <c r="F45" s="7"/>
    </row>
    <row r="46" spans="1:6" ht="15.75" customHeight="1">
      <c r="A46" s="7"/>
      <c r="B46" s="7"/>
      <c r="C46" s="7"/>
      <c r="D46" s="7"/>
      <c r="E46" s="7"/>
      <c r="F46" s="7"/>
    </row>
    <row r="47" spans="1:6" ht="15.75" customHeight="1">
      <c r="A47" s="7"/>
      <c r="B47" s="7"/>
      <c r="C47" s="7"/>
      <c r="D47" s="7"/>
      <c r="E47" s="7"/>
      <c r="F47" s="7"/>
    </row>
    <row r="48" spans="1:6" ht="15.75" customHeight="1">
      <c r="A48" s="7"/>
      <c r="B48" s="7"/>
      <c r="C48" s="7"/>
      <c r="D48" s="7"/>
      <c r="E48" s="7"/>
      <c r="F48" s="7"/>
    </row>
    <row r="49" spans="1:6" ht="15.75" customHeight="1">
      <c r="A49" s="7"/>
      <c r="B49" s="7"/>
      <c r="C49" s="7"/>
      <c r="D49" s="7"/>
      <c r="E49" s="7"/>
      <c r="F49" s="7"/>
    </row>
    <row r="50" spans="1:6" ht="15.75" customHeight="1">
      <c r="A50" s="7"/>
      <c r="B50" s="7"/>
      <c r="C50" s="7"/>
      <c r="D50" s="7"/>
      <c r="E50" s="7"/>
      <c r="F50" s="7"/>
    </row>
    <row r="51" spans="1:6" ht="15.75" customHeight="1">
      <c r="A51" s="7"/>
      <c r="B51" s="7"/>
      <c r="C51" s="7"/>
      <c r="D51" s="7"/>
      <c r="E51" s="7"/>
      <c r="F51" s="7"/>
    </row>
    <row r="52" spans="1:6" ht="15.75" customHeight="1">
      <c r="A52" s="7"/>
      <c r="B52" s="7"/>
      <c r="C52" s="7"/>
      <c r="D52" s="7"/>
      <c r="E52" s="7"/>
      <c r="F52" s="7"/>
    </row>
    <row r="53" spans="1:6" ht="15.75" customHeight="1">
      <c r="A53" s="7"/>
      <c r="B53" s="7"/>
      <c r="C53" s="7"/>
      <c r="D53" s="7"/>
      <c r="E53" s="7"/>
      <c r="F53" s="7"/>
    </row>
    <row r="54" spans="1:6" ht="15.75" customHeight="1">
      <c r="A54" s="7"/>
      <c r="B54" s="7"/>
      <c r="C54" s="7"/>
      <c r="D54" s="7"/>
      <c r="E54" s="7"/>
      <c r="F54" s="7"/>
    </row>
    <row r="55" spans="1:6" ht="15.75" customHeight="1">
      <c r="A55" s="7"/>
      <c r="B55" s="7"/>
      <c r="C55" s="7"/>
      <c r="D55" s="7"/>
      <c r="E55" s="7"/>
      <c r="F55" s="7"/>
    </row>
    <row r="56" spans="1:6" ht="15.75" customHeight="1">
      <c r="A56" s="7"/>
      <c r="B56" s="7"/>
      <c r="C56" s="7"/>
      <c r="D56" s="7"/>
      <c r="E56" s="7"/>
      <c r="F56" s="7"/>
    </row>
    <row r="57" spans="1:6" ht="15.75" customHeight="1">
      <c r="A57" s="7"/>
      <c r="B57" s="7"/>
      <c r="C57" s="7"/>
      <c r="D57" s="7"/>
      <c r="E57" s="7"/>
      <c r="F57" s="7"/>
    </row>
    <row r="58" spans="1:6" ht="15.75" customHeight="1">
      <c r="A58" s="7"/>
      <c r="B58" s="7"/>
      <c r="C58" s="7"/>
      <c r="D58" s="7"/>
      <c r="E58" s="7"/>
      <c r="F58" s="7"/>
    </row>
    <row r="59" spans="1:6" ht="15.75" customHeight="1">
      <c r="A59" s="7"/>
      <c r="B59" s="7"/>
      <c r="C59" s="7"/>
      <c r="D59" s="7"/>
      <c r="E59" s="7"/>
      <c r="F59" s="7"/>
    </row>
    <row r="60" spans="1:6" ht="15.75" customHeight="1">
      <c r="A60" s="7"/>
      <c r="B60" s="7"/>
      <c r="C60" s="7"/>
      <c r="D60" s="7"/>
      <c r="E60" s="7"/>
      <c r="F60" s="7"/>
    </row>
    <row r="61" spans="1:6" ht="15.75" customHeight="1">
      <c r="A61" s="7"/>
      <c r="B61" s="7"/>
      <c r="C61" s="7"/>
      <c r="D61" s="7"/>
      <c r="E61" s="7"/>
      <c r="F61" s="7"/>
    </row>
    <row r="62" spans="1:6" ht="15.75" customHeight="1">
      <c r="A62" s="7"/>
      <c r="B62" s="7"/>
      <c r="C62" s="7"/>
      <c r="D62" s="7"/>
      <c r="E62" s="7"/>
      <c r="F62" s="7"/>
    </row>
    <row r="63" spans="1:6" ht="15.75" customHeight="1">
      <c r="A63" s="7"/>
      <c r="B63" s="7"/>
      <c r="C63" s="7"/>
      <c r="D63" s="7"/>
      <c r="E63" s="7"/>
      <c r="F63" s="7"/>
    </row>
    <row r="64" spans="1:6" ht="15.75" customHeight="1">
      <c r="A64" s="7"/>
      <c r="B64" s="7"/>
      <c r="C64" s="7"/>
      <c r="D64" s="7"/>
      <c r="E64" s="7"/>
      <c r="F64" s="7"/>
    </row>
    <row r="65" spans="1:6" ht="15.75" customHeight="1">
      <c r="A65" s="7"/>
      <c r="B65" s="7"/>
      <c r="C65" s="7"/>
      <c r="D65" s="7"/>
      <c r="E65" s="7"/>
      <c r="F65" s="7"/>
    </row>
    <row r="66" spans="1:6" ht="15.75" customHeight="1">
      <c r="A66" s="7"/>
      <c r="B66" s="7"/>
      <c r="C66" s="7"/>
      <c r="D66" s="7"/>
      <c r="E66" s="7"/>
      <c r="F66" s="7"/>
    </row>
    <row r="67" spans="1:6" ht="15.75" customHeight="1">
      <c r="A67" s="7"/>
      <c r="B67" s="7"/>
      <c r="C67" s="7"/>
      <c r="D67" s="7"/>
      <c r="E67" s="7"/>
      <c r="F67" s="7"/>
    </row>
    <row r="68" spans="1:6" ht="15.75" customHeight="1">
      <c r="A68" s="7"/>
      <c r="B68" s="7"/>
      <c r="C68" s="7"/>
      <c r="D68" s="7"/>
      <c r="E68" s="7"/>
      <c r="F68" s="7"/>
    </row>
    <row r="69" spans="1:6" ht="15.75" customHeight="1">
      <c r="A69" s="7"/>
      <c r="B69" s="7"/>
      <c r="C69" s="7"/>
      <c r="D69" s="7"/>
      <c r="E69" s="7"/>
      <c r="F69" s="7"/>
    </row>
    <row r="70" spans="1:6" ht="15.75" customHeight="1">
      <c r="A70" s="7"/>
      <c r="B70" s="7"/>
      <c r="C70" s="7"/>
      <c r="D70" s="7"/>
      <c r="E70" s="7"/>
      <c r="F70" s="7"/>
    </row>
    <row r="71" spans="1:6" ht="15.75" customHeight="1">
      <c r="A71" s="7"/>
      <c r="B71" s="7"/>
      <c r="C71" s="7"/>
      <c r="D71" s="7"/>
      <c r="E71" s="7"/>
      <c r="F71" s="7"/>
    </row>
    <row r="72" spans="1:6" ht="15.75" customHeight="1">
      <c r="A72" s="7"/>
      <c r="B72" s="7"/>
      <c r="C72" s="7"/>
      <c r="D72" s="7"/>
      <c r="E72" s="7"/>
      <c r="F72" s="7"/>
    </row>
    <row r="73" spans="1:6" ht="15.75" customHeight="1">
      <c r="A73" s="7"/>
      <c r="B73" s="7"/>
      <c r="C73" s="7"/>
      <c r="D73" s="7"/>
      <c r="E73" s="7"/>
      <c r="F73" s="7"/>
    </row>
    <row r="74" spans="1:6" ht="15.75" customHeight="1">
      <c r="A74" s="7"/>
      <c r="B74" s="7"/>
      <c r="C74" s="7"/>
      <c r="D74" s="7"/>
      <c r="E74" s="7"/>
      <c r="F74" s="7"/>
    </row>
    <row r="75" spans="1:6" ht="15.75" customHeight="1">
      <c r="A75" s="7"/>
      <c r="B75" s="7"/>
      <c r="C75" s="7"/>
      <c r="D75" s="7"/>
      <c r="E75" s="7"/>
      <c r="F75" s="7"/>
    </row>
    <row r="76" spans="1:6" ht="15.75" customHeight="1">
      <c r="A76" s="7"/>
      <c r="B76" s="7"/>
      <c r="C76" s="7"/>
      <c r="D76" s="7"/>
      <c r="E76" s="7"/>
      <c r="F76" s="7"/>
    </row>
    <row r="77" spans="1:6" ht="15.75" customHeight="1">
      <c r="A77" s="7"/>
      <c r="B77" s="7"/>
      <c r="C77" s="7"/>
      <c r="D77" s="7"/>
      <c r="E77" s="7"/>
      <c r="F77" s="7"/>
    </row>
    <row r="78" spans="1:6" ht="15.75" customHeight="1">
      <c r="A78" s="7"/>
      <c r="B78" s="7"/>
      <c r="C78" s="7"/>
      <c r="D78" s="7"/>
      <c r="E78" s="7"/>
      <c r="F78" s="7"/>
    </row>
    <row r="79" spans="1:6" ht="15.75" customHeight="1">
      <c r="A79" s="7"/>
      <c r="B79" s="7"/>
      <c r="C79" s="7"/>
      <c r="D79" s="7"/>
      <c r="E79" s="7"/>
      <c r="F79" s="7"/>
    </row>
    <row r="80" spans="1:6" ht="15.75" customHeight="1">
      <c r="A80" s="7"/>
      <c r="B80" s="7"/>
      <c r="C80" s="7"/>
      <c r="D80" s="7"/>
      <c r="E80" s="7"/>
      <c r="F80" s="7"/>
    </row>
    <row r="81" spans="1:6" ht="15.75" customHeight="1">
      <c r="A81" s="7"/>
      <c r="B81" s="7"/>
      <c r="C81" s="7"/>
      <c r="D81" s="7"/>
      <c r="E81" s="7"/>
      <c r="F81" s="7"/>
    </row>
    <row r="82" spans="1:6" ht="15.75" customHeight="1">
      <c r="A82" s="7"/>
      <c r="B82" s="7"/>
      <c r="C82" s="7"/>
      <c r="D82" s="7"/>
      <c r="E82" s="7"/>
      <c r="F82" s="7"/>
    </row>
    <row r="83" spans="1:6" ht="15.75" customHeight="1">
      <c r="A83" s="7"/>
      <c r="B83" s="7"/>
      <c r="C83" s="7"/>
      <c r="D83" s="7"/>
      <c r="E83" s="7"/>
      <c r="F83" s="7"/>
    </row>
    <row r="84" spans="1:6" ht="15.75" customHeight="1">
      <c r="A84" s="7"/>
      <c r="B84" s="7"/>
      <c r="C84" s="7"/>
      <c r="D84" s="7"/>
      <c r="E84" s="7"/>
      <c r="F84" s="7"/>
    </row>
    <row r="85" spans="1:6" ht="15.75" customHeight="1">
      <c r="A85" s="7"/>
      <c r="B85" s="7"/>
      <c r="C85" s="7"/>
      <c r="D85" s="7"/>
      <c r="E85" s="7"/>
      <c r="F85" s="7"/>
    </row>
    <row r="86" spans="1:6" ht="15.75" customHeight="1">
      <c r="A86" s="7"/>
      <c r="B86" s="7"/>
      <c r="C86" s="7"/>
      <c r="D86" s="7"/>
      <c r="E86" s="7"/>
      <c r="F86" s="7"/>
    </row>
    <row r="87" spans="1:6" ht="15.75" customHeight="1">
      <c r="A87" s="7"/>
      <c r="B87" s="7"/>
      <c r="C87" s="7"/>
      <c r="D87" s="7"/>
      <c r="E87" s="7"/>
      <c r="F87" s="7"/>
    </row>
    <row r="88" spans="1:6" ht="15.75" customHeight="1">
      <c r="A88" s="7"/>
      <c r="B88" s="7"/>
      <c r="C88" s="7"/>
      <c r="D88" s="7"/>
      <c r="E88" s="7"/>
      <c r="F88" s="7"/>
    </row>
    <row r="89" spans="1:6" ht="15.75" customHeight="1">
      <c r="A89" s="7"/>
      <c r="B89" s="7"/>
      <c r="C89" s="7"/>
      <c r="D89" s="7"/>
      <c r="E89" s="7"/>
      <c r="F89" s="7"/>
    </row>
    <row r="90" spans="1:6" ht="15.75" customHeight="1">
      <c r="A90" s="7"/>
      <c r="B90" s="7"/>
      <c r="C90" s="7"/>
      <c r="D90" s="7"/>
      <c r="E90" s="7"/>
      <c r="F90" s="7"/>
    </row>
    <row r="91" spans="1:6" ht="15.75" customHeight="1">
      <c r="A91" s="7"/>
      <c r="B91" s="7"/>
      <c r="C91" s="7"/>
      <c r="D91" s="7"/>
      <c r="E91" s="7"/>
      <c r="F91" s="7"/>
    </row>
    <row r="92" spans="1:6" ht="15.75" customHeight="1">
      <c r="A92" s="7"/>
      <c r="B92" s="7"/>
      <c r="C92" s="7"/>
      <c r="D92" s="7"/>
      <c r="E92" s="7"/>
      <c r="F92" s="7"/>
    </row>
    <row r="93" spans="1:6" ht="15.75" customHeight="1">
      <c r="A93" s="7"/>
      <c r="B93" s="7"/>
      <c r="C93" s="7"/>
      <c r="D93" s="7"/>
      <c r="E93" s="7"/>
      <c r="F93" s="7"/>
    </row>
    <row r="94" spans="1:6" ht="15.75" customHeight="1">
      <c r="A94" s="7"/>
      <c r="B94" s="7"/>
      <c r="C94" s="7"/>
      <c r="D94" s="7"/>
      <c r="E94" s="7"/>
      <c r="F94" s="7"/>
    </row>
    <row r="95" spans="1:6" ht="15.75" customHeight="1">
      <c r="A95" s="7"/>
      <c r="B95" s="7"/>
      <c r="C95" s="7"/>
      <c r="D95" s="7"/>
      <c r="E95" s="7"/>
      <c r="F95" s="7"/>
    </row>
    <row r="96" spans="1:6" ht="15.75" customHeight="1">
      <c r="A96" s="7"/>
      <c r="B96" s="7"/>
      <c r="C96" s="7"/>
      <c r="D96" s="7"/>
      <c r="E96" s="7"/>
      <c r="F96" s="7"/>
    </row>
    <row r="97" spans="1:6" ht="15.75" customHeight="1">
      <c r="A97" s="7"/>
      <c r="B97" s="7"/>
      <c r="C97" s="7"/>
      <c r="D97" s="7"/>
      <c r="E97" s="7"/>
      <c r="F97" s="7"/>
    </row>
    <row r="98" spans="1:6" ht="15.75" customHeight="1">
      <c r="A98" s="7"/>
      <c r="B98" s="7"/>
      <c r="C98" s="7"/>
      <c r="D98" s="7"/>
      <c r="E98" s="7"/>
      <c r="F98" s="7"/>
    </row>
    <row r="99" spans="1:6" ht="15.75" customHeight="1">
      <c r="A99" s="7"/>
      <c r="B99" s="7"/>
      <c r="C99" s="7"/>
      <c r="D99" s="7"/>
      <c r="E99" s="7"/>
      <c r="F99" s="7"/>
    </row>
    <row r="100" spans="1:6" ht="15.75" customHeight="1">
      <c r="A100" s="7"/>
      <c r="B100" s="7"/>
      <c r="C100" s="7"/>
      <c r="D100" s="7"/>
      <c r="E100" s="7"/>
      <c r="F100" s="7"/>
    </row>
    <row r="101" spans="1:6" ht="15.75" customHeight="1">
      <c r="A101" s="7"/>
      <c r="B101" s="7"/>
      <c r="C101" s="7"/>
      <c r="D101" s="7"/>
      <c r="E101" s="7"/>
      <c r="F101" s="7"/>
    </row>
    <row r="102" spans="1:6" ht="15.75" customHeight="1">
      <c r="A102" s="7"/>
      <c r="B102" s="7"/>
      <c r="C102" s="7"/>
      <c r="D102" s="7"/>
      <c r="E102" s="7"/>
      <c r="F102" s="7"/>
    </row>
    <row r="103" spans="1:6" ht="15.75" customHeight="1">
      <c r="A103" s="7"/>
      <c r="B103" s="7"/>
      <c r="C103" s="7"/>
      <c r="D103" s="7"/>
      <c r="E103" s="7"/>
      <c r="F103" s="7"/>
    </row>
    <row r="104" spans="1:6" ht="15.75" customHeight="1">
      <c r="A104" s="7"/>
      <c r="B104" s="7"/>
      <c r="C104" s="7"/>
      <c r="D104" s="7"/>
      <c r="E104" s="7"/>
      <c r="F104" s="7"/>
    </row>
    <row r="105" spans="1:6" ht="15.75" customHeight="1">
      <c r="A105" s="7"/>
      <c r="B105" s="7"/>
      <c r="C105" s="7"/>
      <c r="D105" s="7"/>
      <c r="E105" s="7"/>
      <c r="F105" s="7"/>
    </row>
    <row r="106" spans="1:6" ht="15.75" customHeight="1">
      <c r="A106" s="7"/>
      <c r="B106" s="7"/>
      <c r="C106" s="7"/>
      <c r="D106" s="7"/>
      <c r="E106" s="7"/>
      <c r="F106" s="7"/>
    </row>
    <row r="107" spans="1:6" ht="15.75" customHeight="1">
      <c r="A107" s="7"/>
      <c r="B107" s="7"/>
      <c r="C107" s="7"/>
      <c r="D107" s="7"/>
      <c r="E107" s="7"/>
      <c r="F107" s="7"/>
    </row>
    <row r="108" spans="1:6" ht="15.75" customHeight="1">
      <c r="A108" s="7"/>
      <c r="B108" s="7"/>
      <c r="C108" s="7"/>
      <c r="D108" s="7"/>
      <c r="E108" s="7"/>
      <c r="F108" s="7"/>
    </row>
    <row r="109" spans="1:6" ht="15.75" customHeight="1">
      <c r="A109" s="7"/>
      <c r="B109" s="7"/>
      <c r="C109" s="7"/>
      <c r="D109" s="7"/>
      <c r="E109" s="7"/>
      <c r="F109" s="7"/>
    </row>
    <row r="110" spans="1:6" ht="15.75" customHeight="1">
      <c r="A110" s="7"/>
      <c r="B110" s="7"/>
      <c r="C110" s="7"/>
      <c r="D110" s="7"/>
      <c r="E110" s="7"/>
      <c r="F110" s="7"/>
    </row>
    <row r="111" spans="1:6" ht="15.75" customHeight="1">
      <c r="A111" s="7"/>
      <c r="B111" s="7"/>
      <c r="C111" s="7"/>
      <c r="D111" s="7"/>
      <c r="E111" s="7"/>
      <c r="F111" s="7"/>
    </row>
    <row r="112" spans="1:6" ht="15.75" customHeight="1">
      <c r="A112" s="7"/>
      <c r="B112" s="7"/>
      <c r="C112" s="7"/>
      <c r="D112" s="7"/>
      <c r="E112" s="7"/>
      <c r="F112" s="7"/>
    </row>
    <row r="113" spans="1:6" ht="15.75" customHeight="1">
      <c r="A113" s="7"/>
      <c r="B113" s="7"/>
      <c r="C113" s="7"/>
      <c r="D113" s="7"/>
      <c r="E113" s="7"/>
      <c r="F113" s="7"/>
    </row>
    <row r="114" spans="1:6" ht="15.75" customHeight="1">
      <c r="A114" s="7"/>
      <c r="B114" s="7"/>
      <c r="C114" s="7"/>
      <c r="D114" s="7"/>
      <c r="E114" s="7"/>
      <c r="F114" s="7"/>
    </row>
    <row r="115" spans="1:6" ht="15.75" customHeight="1">
      <c r="A115" s="7"/>
      <c r="B115" s="7"/>
      <c r="C115" s="7"/>
      <c r="D115" s="7"/>
      <c r="E115" s="7"/>
      <c r="F115" s="7"/>
    </row>
    <row r="116" spans="1:6" ht="15.75" customHeight="1">
      <c r="A116" s="7"/>
      <c r="B116" s="7"/>
      <c r="C116" s="7"/>
      <c r="D116" s="7"/>
      <c r="E116" s="7"/>
      <c r="F116" s="7"/>
    </row>
    <row r="117" spans="1:6" ht="15.75" customHeight="1">
      <c r="A117" s="7"/>
      <c r="B117" s="7"/>
      <c r="C117" s="7"/>
      <c r="D117" s="7"/>
      <c r="E117" s="7"/>
      <c r="F117" s="7"/>
    </row>
    <row r="118" spans="1:6" ht="15.75" customHeight="1">
      <c r="A118" s="7"/>
      <c r="B118" s="7"/>
      <c r="C118" s="7"/>
      <c r="D118" s="7"/>
      <c r="E118" s="7"/>
      <c r="F118" s="7"/>
    </row>
    <row r="119" spans="1:6" ht="15.75" customHeight="1">
      <c r="A119" s="7"/>
      <c r="B119" s="7"/>
      <c r="C119" s="7"/>
      <c r="D119" s="7"/>
      <c r="E119" s="7"/>
      <c r="F119" s="7"/>
    </row>
    <row r="120" spans="1:6" ht="15.75" customHeight="1">
      <c r="A120" s="7"/>
      <c r="B120" s="7"/>
      <c r="C120" s="7"/>
      <c r="D120" s="7"/>
      <c r="E120" s="7"/>
      <c r="F120" s="7"/>
    </row>
    <row r="121" spans="1:6" ht="15.75" customHeight="1">
      <c r="A121" s="7"/>
      <c r="B121" s="7"/>
      <c r="C121" s="7"/>
      <c r="D121" s="7"/>
      <c r="E121" s="7"/>
      <c r="F121" s="7"/>
    </row>
    <row r="122" spans="1:6" ht="15.75" customHeight="1">
      <c r="A122" s="7"/>
      <c r="B122" s="7"/>
      <c r="C122" s="7"/>
      <c r="D122" s="7"/>
      <c r="E122" s="7"/>
      <c r="F122" s="7"/>
    </row>
    <row r="123" spans="1:6" ht="15.75" customHeight="1">
      <c r="A123" s="7"/>
      <c r="B123" s="7"/>
      <c r="C123" s="7"/>
      <c r="D123" s="7"/>
      <c r="E123" s="7"/>
      <c r="F123" s="7"/>
    </row>
    <row r="124" spans="1:6" ht="15.75" customHeight="1">
      <c r="A124" s="7"/>
      <c r="B124" s="7"/>
      <c r="C124" s="7"/>
      <c r="D124" s="7"/>
      <c r="E124" s="7"/>
      <c r="F124" s="7"/>
    </row>
    <row r="125" spans="1:6" ht="15.75" customHeight="1">
      <c r="A125" s="7"/>
      <c r="B125" s="7"/>
      <c r="C125" s="7"/>
      <c r="D125" s="7"/>
      <c r="E125" s="7"/>
      <c r="F125" s="7"/>
    </row>
    <row r="126" spans="1:6" ht="15.75" customHeight="1">
      <c r="A126" s="7"/>
      <c r="B126" s="7"/>
      <c r="C126" s="7"/>
      <c r="D126" s="7"/>
      <c r="E126" s="7"/>
      <c r="F126" s="7"/>
    </row>
    <row r="127" spans="1:6" ht="15.75" customHeight="1">
      <c r="A127" s="7"/>
      <c r="B127" s="7"/>
      <c r="C127" s="7"/>
      <c r="D127" s="7"/>
      <c r="E127" s="7"/>
      <c r="F127" s="7"/>
    </row>
    <row r="128" spans="1:6" ht="15.75" customHeight="1">
      <c r="A128" s="7"/>
      <c r="B128" s="7"/>
      <c r="C128" s="7"/>
      <c r="D128" s="7"/>
      <c r="E128" s="7"/>
      <c r="F128" s="7"/>
    </row>
    <row r="129" spans="1:6" ht="15.75" customHeight="1">
      <c r="A129" s="7"/>
      <c r="B129" s="7"/>
      <c r="C129" s="7"/>
      <c r="D129" s="7"/>
      <c r="E129" s="7"/>
      <c r="F129" s="7"/>
    </row>
    <row r="130" spans="1:6" ht="15.75" customHeight="1">
      <c r="A130" s="7"/>
      <c r="B130" s="7"/>
      <c r="C130" s="7"/>
      <c r="D130" s="7"/>
      <c r="E130" s="7"/>
      <c r="F130" s="7"/>
    </row>
    <row r="131" spans="1:6" ht="15.75" customHeight="1">
      <c r="A131" s="7"/>
      <c r="B131" s="7"/>
      <c r="C131" s="7"/>
      <c r="D131" s="7"/>
      <c r="E131" s="7"/>
      <c r="F131" s="7"/>
    </row>
    <row r="132" spans="1:6" ht="15.75" customHeight="1">
      <c r="A132" s="7"/>
      <c r="B132" s="7"/>
      <c r="C132" s="7"/>
      <c r="D132" s="7"/>
      <c r="E132" s="7"/>
      <c r="F132" s="7"/>
    </row>
    <row r="133" spans="1:6" ht="15.75" customHeight="1">
      <c r="A133" s="7"/>
      <c r="B133" s="7"/>
      <c r="C133" s="7"/>
      <c r="D133" s="7"/>
      <c r="E133" s="7"/>
      <c r="F133" s="7"/>
    </row>
    <row r="134" spans="1:6" ht="15.75" customHeight="1">
      <c r="A134" s="7"/>
      <c r="B134" s="7"/>
      <c r="C134" s="7"/>
      <c r="D134" s="7"/>
      <c r="E134" s="7"/>
      <c r="F134" s="7"/>
    </row>
    <row r="135" spans="1:6" ht="15.75" customHeight="1">
      <c r="A135" s="7"/>
      <c r="B135" s="7"/>
      <c r="C135" s="7"/>
      <c r="D135" s="7"/>
      <c r="E135" s="7"/>
      <c r="F135" s="7"/>
    </row>
    <row r="136" spans="1:6" ht="15.75" customHeight="1">
      <c r="A136" s="7"/>
      <c r="B136" s="7"/>
      <c r="C136" s="7"/>
      <c r="D136" s="7"/>
      <c r="E136" s="7"/>
      <c r="F136" s="7"/>
    </row>
    <row r="137" spans="1:6" ht="15.75" customHeight="1">
      <c r="A137" s="7"/>
      <c r="B137" s="7"/>
      <c r="C137" s="7"/>
      <c r="D137" s="7"/>
      <c r="E137" s="7"/>
      <c r="F137" s="7"/>
    </row>
    <row r="138" spans="1:6" ht="15.75" customHeight="1">
      <c r="A138" s="7"/>
      <c r="B138" s="7"/>
      <c r="C138" s="7"/>
      <c r="D138" s="7"/>
      <c r="E138" s="7"/>
      <c r="F138" s="7"/>
    </row>
    <row r="139" spans="1:6" ht="15.75" customHeight="1">
      <c r="A139" s="7"/>
      <c r="B139" s="7"/>
      <c r="C139" s="7"/>
      <c r="D139" s="7"/>
      <c r="E139" s="7"/>
      <c r="F139" s="7"/>
    </row>
    <row r="140" spans="1:6" ht="15.75" customHeight="1">
      <c r="A140" s="7"/>
      <c r="B140" s="7"/>
      <c r="C140" s="7"/>
      <c r="D140" s="7"/>
      <c r="E140" s="7"/>
      <c r="F140" s="7"/>
    </row>
    <row r="141" spans="1:6" ht="15.75" customHeight="1">
      <c r="A141" s="7"/>
      <c r="B141" s="7"/>
      <c r="C141" s="7"/>
      <c r="D141" s="7"/>
      <c r="E141" s="7"/>
      <c r="F141" s="7"/>
    </row>
    <row r="142" spans="1:6" ht="15.75" customHeight="1">
      <c r="A142" s="7"/>
      <c r="B142" s="7"/>
      <c r="C142" s="7"/>
      <c r="D142" s="7"/>
      <c r="E142" s="7"/>
      <c r="F142" s="7"/>
    </row>
    <row r="143" spans="1:6" ht="15.75" customHeight="1">
      <c r="A143" s="7"/>
      <c r="B143" s="7"/>
      <c r="C143" s="7"/>
      <c r="D143" s="7"/>
      <c r="E143" s="7"/>
      <c r="F143" s="7"/>
    </row>
    <row r="144" spans="1:6" ht="15.75" customHeight="1">
      <c r="A144" s="7"/>
      <c r="B144" s="7"/>
      <c r="C144" s="7"/>
      <c r="D144" s="7"/>
      <c r="E144" s="7"/>
      <c r="F144" s="7"/>
    </row>
    <row r="145" spans="1:6" ht="15.75" customHeight="1">
      <c r="A145" s="7"/>
      <c r="B145" s="7"/>
      <c r="C145" s="7"/>
      <c r="D145" s="7"/>
      <c r="E145" s="7"/>
      <c r="F145" s="7"/>
    </row>
    <row r="146" spans="1:6" ht="15.75" customHeight="1">
      <c r="A146" s="7"/>
      <c r="B146" s="7"/>
      <c r="C146" s="7"/>
      <c r="D146" s="7"/>
      <c r="E146" s="7"/>
      <c r="F146" s="7"/>
    </row>
    <row r="147" spans="1:6" ht="15.75" customHeight="1">
      <c r="A147" s="7"/>
      <c r="B147" s="7"/>
      <c r="C147" s="7"/>
      <c r="D147" s="7"/>
      <c r="E147" s="7"/>
      <c r="F147" s="7"/>
    </row>
    <row r="148" spans="1:6" ht="15.75" customHeight="1">
      <c r="A148" s="7"/>
      <c r="B148" s="7"/>
      <c r="C148" s="7"/>
      <c r="D148" s="7"/>
      <c r="E148" s="7"/>
      <c r="F148" s="7"/>
    </row>
    <row r="149" spans="1:6" ht="15.75" customHeight="1">
      <c r="A149" s="7"/>
      <c r="B149" s="7"/>
      <c r="C149" s="7"/>
      <c r="D149" s="7"/>
      <c r="E149" s="7"/>
      <c r="F149" s="7"/>
    </row>
    <row r="150" spans="1:6" ht="15.75" customHeight="1">
      <c r="A150" s="7"/>
      <c r="B150" s="7"/>
      <c r="C150" s="7"/>
      <c r="D150" s="7"/>
      <c r="E150" s="7"/>
      <c r="F150" s="7"/>
    </row>
    <row r="151" spans="1:6" ht="15.75" customHeight="1">
      <c r="A151" s="7"/>
      <c r="B151" s="7"/>
      <c r="C151" s="7"/>
      <c r="D151" s="7"/>
      <c r="E151" s="7"/>
      <c r="F151" s="7"/>
    </row>
    <row r="152" spans="1:6" ht="15.75" customHeight="1">
      <c r="A152" s="7"/>
      <c r="B152" s="7"/>
      <c r="C152" s="7"/>
      <c r="D152" s="7"/>
      <c r="E152" s="7"/>
      <c r="F152" s="7"/>
    </row>
    <row r="153" spans="1:6" ht="15.75" customHeight="1">
      <c r="A153" s="7"/>
      <c r="B153" s="7"/>
      <c r="C153" s="7"/>
      <c r="D153" s="7"/>
      <c r="E153" s="7"/>
      <c r="F153" s="7"/>
    </row>
    <row r="154" spans="1:6" ht="15.75" customHeight="1">
      <c r="A154" s="7"/>
      <c r="B154" s="7"/>
      <c r="C154" s="7"/>
      <c r="D154" s="7"/>
      <c r="E154" s="7"/>
      <c r="F154" s="7"/>
    </row>
    <row r="155" spans="1:6" ht="15.75" customHeight="1">
      <c r="A155" s="7"/>
      <c r="B155" s="7"/>
      <c r="C155" s="7"/>
      <c r="D155" s="7"/>
      <c r="E155" s="7"/>
      <c r="F155" s="7"/>
    </row>
    <row r="156" spans="1:6" ht="15.75" customHeight="1">
      <c r="A156" s="7"/>
      <c r="B156" s="7"/>
      <c r="C156" s="7"/>
      <c r="D156" s="7"/>
      <c r="E156" s="7"/>
      <c r="F156" s="7"/>
    </row>
    <row r="157" spans="1:6" ht="15.75" customHeight="1">
      <c r="A157" s="7"/>
      <c r="B157" s="7"/>
      <c r="C157" s="7"/>
      <c r="D157" s="7"/>
      <c r="E157" s="7"/>
      <c r="F157" s="7"/>
    </row>
    <row r="158" spans="1:6" ht="15.75" customHeight="1">
      <c r="A158" s="7"/>
      <c r="B158" s="7"/>
      <c r="C158" s="7"/>
      <c r="D158" s="7"/>
      <c r="E158" s="7"/>
      <c r="F158" s="7"/>
    </row>
    <row r="159" spans="1:6" ht="15.75" customHeight="1">
      <c r="A159" s="7"/>
      <c r="B159" s="7"/>
      <c r="C159" s="7"/>
      <c r="D159" s="7"/>
      <c r="E159" s="7"/>
      <c r="F159" s="7"/>
    </row>
    <row r="160" spans="1:6" ht="15.75" customHeight="1">
      <c r="A160" s="7"/>
      <c r="B160" s="7"/>
      <c r="C160" s="7"/>
      <c r="D160" s="7"/>
      <c r="E160" s="7"/>
      <c r="F160" s="7"/>
    </row>
    <row r="161" spans="1:6" ht="15.75" customHeight="1">
      <c r="A161" s="7"/>
      <c r="B161" s="7"/>
      <c r="C161" s="7"/>
      <c r="D161" s="7"/>
      <c r="E161" s="7"/>
      <c r="F161" s="7"/>
    </row>
    <row r="162" spans="1:6" ht="15.75" customHeight="1">
      <c r="A162" s="7"/>
      <c r="B162" s="7"/>
      <c r="C162" s="7"/>
      <c r="D162" s="7"/>
      <c r="E162" s="7"/>
      <c r="F162" s="7"/>
    </row>
    <row r="163" spans="1:6" ht="15.75" customHeight="1">
      <c r="A163" s="7"/>
      <c r="B163" s="7"/>
      <c r="C163" s="7"/>
      <c r="D163" s="7"/>
      <c r="E163" s="7"/>
      <c r="F163" s="7"/>
    </row>
    <row r="164" spans="1:6" ht="15.75" customHeight="1">
      <c r="A164" s="7"/>
      <c r="B164" s="7"/>
      <c r="C164" s="7"/>
      <c r="D164" s="7"/>
      <c r="E164" s="7"/>
      <c r="F164" s="7"/>
    </row>
    <row r="165" spans="1:6" ht="15.75" customHeight="1">
      <c r="A165" s="7"/>
      <c r="B165" s="7"/>
      <c r="C165" s="7"/>
      <c r="D165" s="7"/>
      <c r="E165" s="7"/>
      <c r="F165" s="7"/>
    </row>
    <row r="166" spans="1:6" ht="15.75" customHeight="1">
      <c r="A166" s="7"/>
      <c r="B166" s="7"/>
      <c r="C166" s="7"/>
      <c r="D166" s="7"/>
      <c r="E166" s="7"/>
      <c r="F166" s="7"/>
    </row>
    <row r="167" spans="1:6" ht="15.75" customHeight="1">
      <c r="A167" s="7"/>
      <c r="B167" s="7"/>
      <c r="C167" s="7"/>
      <c r="D167" s="7"/>
      <c r="E167" s="7"/>
      <c r="F167" s="7"/>
    </row>
    <row r="168" spans="1:6" ht="15.75" customHeight="1">
      <c r="A168" s="7"/>
      <c r="B168" s="7"/>
      <c r="C168" s="7"/>
      <c r="D168" s="7"/>
      <c r="E168" s="7"/>
      <c r="F168" s="7"/>
    </row>
    <row r="169" spans="1:6" ht="15.75" customHeight="1">
      <c r="A169" s="7"/>
      <c r="B169" s="7"/>
      <c r="C169" s="7"/>
      <c r="D169" s="7"/>
      <c r="E169" s="7"/>
      <c r="F169" s="7"/>
    </row>
    <row r="170" spans="1:6" ht="15.75" customHeight="1">
      <c r="A170" s="7"/>
      <c r="B170" s="7"/>
      <c r="C170" s="7"/>
      <c r="D170" s="7"/>
      <c r="E170" s="7"/>
      <c r="F170" s="7"/>
    </row>
    <row r="171" spans="1:6" ht="15.75" customHeight="1">
      <c r="A171" s="7"/>
      <c r="B171" s="7"/>
      <c r="C171" s="7"/>
      <c r="D171" s="7"/>
      <c r="E171" s="7"/>
      <c r="F171" s="7"/>
    </row>
    <row r="172" spans="1:6" ht="15.75" customHeight="1">
      <c r="A172" s="7"/>
      <c r="B172" s="7"/>
      <c r="C172" s="7"/>
      <c r="D172" s="7"/>
      <c r="E172" s="7"/>
      <c r="F172" s="7"/>
    </row>
    <row r="173" spans="1:6" ht="15.75" customHeight="1">
      <c r="A173" s="7"/>
      <c r="B173" s="7"/>
      <c r="C173" s="7"/>
      <c r="D173" s="7"/>
      <c r="E173" s="7"/>
      <c r="F173" s="7"/>
    </row>
    <row r="174" spans="1:6" ht="15.75" customHeight="1">
      <c r="A174" s="7"/>
      <c r="B174" s="7"/>
      <c r="C174" s="7"/>
      <c r="D174" s="7"/>
      <c r="E174" s="7"/>
      <c r="F174" s="7"/>
    </row>
    <row r="175" spans="1:6" ht="15.75" customHeight="1">
      <c r="A175" s="7"/>
      <c r="B175" s="7"/>
      <c r="C175" s="7"/>
      <c r="D175" s="7"/>
      <c r="E175" s="7"/>
      <c r="F175" s="7"/>
    </row>
    <row r="176" spans="1:6" ht="15.75" customHeight="1">
      <c r="A176" s="7"/>
      <c r="B176" s="7"/>
      <c r="C176" s="7"/>
      <c r="D176" s="7"/>
      <c r="E176" s="7"/>
      <c r="F176" s="7"/>
    </row>
    <row r="177" spans="1:6" ht="15.75" customHeight="1">
      <c r="A177" s="7"/>
      <c r="B177" s="7"/>
      <c r="C177" s="7"/>
      <c r="D177" s="7"/>
      <c r="E177" s="7"/>
      <c r="F177" s="7"/>
    </row>
    <row r="178" spans="1:6" ht="15.75" customHeight="1">
      <c r="A178" s="7"/>
      <c r="B178" s="7"/>
      <c r="C178" s="7"/>
      <c r="D178" s="7"/>
      <c r="E178" s="7"/>
      <c r="F178" s="7"/>
    </row>
    <row r="179" spans="1:6" ht="15.75" customHeight="1">
      <c r="A179" s="7"/>
      <c r="B179" s="7"/>
      <c r="C179" s="7"/>
      <c r="D179" s="7"/>
      <c r="E179" s="7"/>
      <c r="F179" s="7"/>
    </row>
    <row r="180" spans="1:6" ht="15.75" customHeight="1">
      <c r="A180" s="7"/>
      <c r="B180" s="7"/>
      <c r="C180" s="7"/>
      <c r="D180" s="7"/>
      <c r="E180" s="7"/>
      <c r="F180" s="7"/>
    </row>
    <row r="181" spans="1:6" ht="15.75" customHeight="1">
      <c r="A181" s="7"/>
      <c r="B181" s="7"/>
      <c r="C181" s="7"/>
      <c r="D181" s="7"/>
      <c r="E181" s="7"/>
      <c r="F181" s="7"/>
    </row>
    <row r="182" spans="1:6" ht="15.75" customHeight="1">
      <c r="A182" s="7"/>
      <c r="B182" s="7"/>
      <c r="C182" s="7"/>
      <c r="D182" s="7"/>
      <c r="E182" s="7"/>
      <c r="F182" s="7"/>
    </row>
    <row r="183" spans="1:6" ht="15.75" customHeight="1">
      <c r="A183" s="7"/>
      <c r="B183" s="7"/>
      <c r="C183" s="7"/>
      <c r="D183" s="7"/>
      <c r="E183" s="7"/>
      <c r="F183" s="7"/>
    </row>
    <row r="184" spans="1:6" ht="15.75" customHeight="1">
      <c r="A184" s="7"/>
      <c r="B184" s="7"/>
      <c r="C184" s="7"/>
      <c r="D184" s="7"/>
      <c r="E184" s="7"/>
      <c r="F184" s="7"/>
    </row>
    <row r="185" spans="1:6" ht="15.75" customHeight="1">
      <c r="A185" s="7"/>
      <c r="B185" s="7"/>
      <c r="C185" s="7"/>
      <c r="D185" s="7"/>
      <c r="E185" s="7"/>
      <c r="F185" s="7"/>
    </row>
    <row r="186" spans="1:6" ht="15.75" customHeight="1">
      <c r="A186" s="7"/>
      <c r="B186" s="7"/>
      <c r="C186" s="7"/>
      <c r="D186" s="7"/>
      <c r="E186" s="7"/>
      <c r="F186" s="7"/>
    </row>
    <row r="187" spans="1:6" ht="15.75" customHeight="1">
      <c r="A187" s="7"/>
      <c r="B187" s="7"/>
      <c r="C187" s="7"/>
      <c r="D187" s="7"/>
      <c r="E187" s="7"/>
      <c r="F187" s="7"/>
    </row>
    <row r="188" spans="1:6" ht="15.75" customHeight="1">
      <c r="A188" s="7"/>
      <c r="B188" s="7"/>
      <c r="C188" s="7"/>
      <c r="D188" s="7"/>
      <c r="E188" s="7"/>
      <c r="F188" s="7"/>
    </row>
    <row r="189" spans="1:6" ht="15.75" customHeight="1">
      <c r="A189" s="7"/>
      <c r="B189" s="7"/>
      <c r="C189" s="7"/>
      <c r="D189" s="7"/>
      <c r="E189" s="7"/>
      <c r="F189" s="7"/>
    </row>
    <row r="190" spans="1:6" ht="15.75" customHeight="1">
      <c r="A190" s="7"/>
      <c r="B190" s="7"/>
      <c r="C190" s="7"/>
      <c r="D190" s="7"/>
      <c r="E190" s="7"/>
      <c r="F190" s="7"/>
    </row>
    <row r="191" spans="1:6" ht="15.75" customHeight="1">
      <c r="A191" s="7"/>
      <c r="B191" s="7"/>
      <c r="C191" s="7"/>
      <c r="D191" s="7"/>
      <c r="E191" s="7"/>
      <c r="F191" s="7"/>
    </row>
    <row r="192" spans="1:6" ht="15.75" customHeight="1">
      <c r="A192" s="7"/>
      <c r="B192" s="7"/>
      <c r="C192" s="7"/>
      <c r="D192" s="7"/>
      <c r="E192" s="7"/>
      <c r="F192" s="7"/>
    </row>
    <row r="193" spans="1:6" ht="15.75" customHeight="1">
      <c r="A193" s="7"/>
      <c r="B193" s="7"/>
      <c r="C193" s="7"/>
      <c r="D193" s="7"/>
      <c r="E193" s="7"/>
      <c r="F193" s="7"/>
    </row>
    <row r="194" spans="1:6" ht="15.75" customHeight="1">
      <c r="A194" s="7"/>
      <c r="B194" s="7"/>
      <c r="C194" s="7"/>
      <c r="D194" s="7"/>
      <c r="E194" s="7"/>
      <c r="F194" s="7"/>
    </row>
    <row r="195" spans="1:6" ht="15.75" customHeight="1">
      <c r="A195" s="7"/>
      <c r="B195" s="7"/>
      <c r="C195" s="7"/>
      <c r="D195" s="7"/>
      <c r="E195" s="7"/>
      <c r="F195" s="7"/>
    </row>
    <row r="196" spans="1:6" ht="15.75" customHeight="1">
      <c r="A196" s="7"/>
      <c r="B196" s="7"/>
      <c r="C196" s="7"/>
      <c r="D196" s="7"/>
      <c r="E196" s="7"/>
      <c r="F196" s="7"/>
    </row>
    <row r="197" spans="1:6" ht="15.75" customHeight="1">
      <c r="A197" s="7"/>
      <c r="B197" s="7"/>
      <c r="C197" s="7"/>
      <c r="D197" s="7"/>
      <c r="E197" s="7"/>
      <c r="F197" s="7"/>
    </row>
    <row r="198" spans="1:6" ht="15.75" customHeight="1">
      <c r="A198" s="7"/>
      <c r="B198" s="7"/>
      <c r="C198" s="7"/>
      <c r="D198" s="7"/>
      <c r="E198" s="7"/>
      <c r="F198" s="7"/>
    </row>
    <row r="199" spans="1:6" ht="15.75" customHeight="1">
      <c r="A199" s="7"/>
      <c r="B199" s="7"/>
      <c r="C199" s="7"/>
      <c r="D199" s="7"/>
      <c r="E199" s="7"/>
      <c r="F199" s="7"/>
    </row>
    <row r="200" spans="1:6" ht="15.75" customHeight="1">
      <c r="A200" s="7"/>
      <c r="B200" s="7"/>
      <c r="C200" s="7"/>
      <c r="D200" s="7"/>
      <c r="E200" s="7"/>
      <c r="F200" s="7"/>
    </row>
    <row r="201" spans="1:6" ht="15.75" customHeight="1">
      <c r="A201" s="7"/>
      <c r="B201" s="7"/>
      <c r="C201" s="7"/>
      <c r="D201" s="7"/>
      <c r="E201" s="7"/>
      <c r="F201" s="7"/>
    </row>
    <row r="202" spans="1:6" ht="15.75" customHeight="1">
      <c r="A202" s="7"/>
      <c r="B202" s="7"/>
      <c r="C202" s="7"/>
      <c r="D202" s="7"/>
      <c r="E202" s="7"/>
      <c r="F202" s="7"/>
    </row>
    <row r="203" spans="1:6" ht="15.75" customHeight="1">
      <c r="A203" s="7"/>
      <c r="B203" s="7"/>
      <c r="C203" s="7"/>
      <c r="D203" s="7"/>
      <c r="E203" s="7"/>
      <c r="F203" s="7"/>
    </row>
    <row r="204" spans="1:6" ht="15.75" customHeight="1">
      <c r="A204" s="7"/>
      <c r="B204" s="7"/>
      <c r="C204" s="7"/>
      <c r="D204" s="7"/>
      <c r="E204" s="7"/>
      <c r="F204" s="7"/>
    </row>
    <row r="205" spans="1:6" ht="15.75" customHeight="1">
      <c r="A205" s="7"/>
      <c r="B205" s="7"/>
      <c r="C205" s="7"/>
      <c r="D205" s="7"/>
      <c r="E205" s="7"/>
      <c r="F205" s="7"/>
    </row>
    <row r="206" spans="1:6" ht="15.75" customHeight="1">
      <c r="A206" s="7"/>
      <c r="B206" s="7"/>
      <c r="C206" s="7"/>
      <c r="D206" s="7"/>
      <c r="E206" s="7"/>
      <c r="F206" s="7"/>
    </row>
    <row r="207" spans="1:6" ht="15.75" customHeight="1">
      <c r="A207" s="7"/>
      <c r="B207" s="7"/>
      <c r="C207" s="7"/>
      <c r="D207" s="7"/>
      <c r="E207" s="7"/>
      <c r="F207" s="7"/>
    </row>
    <row r="208" spans="1:6" ht="15.75" customHeight="1">
      <c r="A208" s="7"/>
      <c r="B208" s="7"/>
      <c r="C208" s="7"/>
      <c r="D208" s="7"/>
      <c r="E208" s="7"/>
      <c r="F208" s="7"/>
    </row>
    <row r="209" spans="1:6" ht="15.75" customHeight="1">
      <c r="A209" s="7"/>
      <c r="B209" s="7"/>
      <c r="C209" s="7"/>
      <c r="D209" s="7"/>
      <c r="E209" s="7"/>
      <c r="F209" s="7"/>
    </row>
    <row r="210" spans="1:6" ht="15.75" customHeight="1">
      <c r="A210" s="7"/>
      <c r="B210" s="7"/>
      <c r="C210" s="7"/>
      <c r="D210" s="7"/>
      <c r="E210" s="7"/>
      <c r="F210" s="7"/>
    </row>
    <row r="211" spans="1:6" ht="15.75" customHeight="1">
      <c r="A211" s="7"/>
      <c r="B211" s="7"/>
      <c r="C211" s="7"/>
      <c r="D211" s="7"/>
      <c r="E211" s="7"/>
      <c r="F211" s="7"/>
    </row>
    <row r="212" spans="1:6" ht="15.75" customHeight="1">
      <c r="A212" s="7"/>
      <c r="B212" s="7"/>
      <c r="C212" s="7"/>
      <c r="D212" s="7"/>
      <c r="E212" s="7"/>
      <c r="F212" s="7"/>
    </row>
    <row r="213" spans="1:6" ht="15.75" customHeight="1">
      <c r="A213" s="7"/>
      <c r="B213" s="7"/>
      <c r="C213" s="7"/>
      <c r="D213" s="7"/>
      <c r="E213" s="7"/>
      <c r="F213" s="7"/>
    </row>
    <row r="214" spans="1:6" ht="15.75" customHeight="1">
      <c r="A214" s="7"/>
      <c r="B214" s="7"/>
      <c r="C214" s="7"/>
      <c r="D214" s="7"/>
      <c r="E214" s="7"/>
      <c r="F214" s="7"/>
    </row>
    <row r="215" spans="1:6" ht="15.75" customHeight="1">
      <c r="A215" s="7"/>
      <c r="B215" s="7"/>
      <c r="C215" s="7"/>
      <c r="D215" s="7"/>
      <c r="E215" s="7"/>
      <c r="F215" s="7"/>
    </row>
    <row r="216" spans="1:6" ht="15.75" customHeight="1">
      <c r="A216" s="7"/>
      <c r="B216" s="7"/>
      <c r="C216" s="7"/>
      <c r="D216" s="7"/>
      <c r="E216" s="7"/>
      <c r="F216" s="7"/>
    </row>
    <row r="217" spans="1:6" ht="15.75" customHeight="1">
      <c r="A217" s="7"/>
      <c r="B217" s="7"/>
      <c r="C217" s="7"/>
      <c r="D217" s="7"/>
      <c r="E217" s="7"/>
      <c r="F217" s="7"/>
    </row>
    <row r="218" spans="1:6" ht="15.75" customHeight="1">
      <c r="A218" s="7"/>
      <c r="B218" s="7"/>
      <c r="C218" s="7"/>
      <c r="D218" s="7"/>
      <c r="E218" s="7"/>
      <c r="F218" s="7"/>
    </row>
    <row r="219" spans="1:6" ht="15.75" customHeight="1">
      <c r="A219" s="7"/>
      <c r="B219" s="7"/>
      <c r="C219" s="7"/>
      <c r="D219" s="7"/>
      <c r="E219" s="7"/>
      <c r="F219" s="7"/>
    </row>
    <row r="220" spans="1:6" ht="15.75" customHeight="1">
      <c r="A220" s="7"/>
      <c r="B220" s="7"/>
      <c r="C220" s="7"/>
      <c r="D220" s="7"/>
      <c r="E220" s="7"/>
      <c r="F220" s="7"/>
    </row>
    <row r="221" spans="1:6" ht="15.75" customHeight="1">
      <c r="A221" s="7" t="s">
        <v>19</v>
      </c>
      <c r="B221" s="7" t="s">
        <v>20</v>
      </c>
      <c r="C221" s="7" t="s">
        <v>21</v>
      </c>
      <c r="D221" s="7" t="s">
        <v>22</v>
      </c>
      <c r="E221" s="7" t="s">
        <v>23</v>
      </c>
      <c r="F221" s="7" t="s">
        <v>24</v>
      </c>
    </row>
    <row r="222" spans="1:6" ht="15.75" customHeight="1">
      <c r="A222" s="7" t="s">
        <v>19</v>
      </c>
      <c r="B222" s="7" t="s">
        <v>25</v>
      </c>
      <c r="C222" s="7" t="s">
        <v>26</v>
      </c>
      <c r="D222" s="7" t="s">
        <v>27</v>
      </c>
      <c r="E222" s="7" t="s">
        <v>28</v>
      </c>
      <c r="F222" s="7" t="s">
        <v>29</v>
      </c>
    </row>
    <row r="223" spans="1:6" ht="15.75" customHeight="1"/>
    <row r="224" spans="1: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00"/>
  <sheetViews>
    <sheetView workbookViewId="0"/>
  </sheetViews>
  <sheetFormatPr baseColWidth="10" defaultColWidth="12.6640625" defaultRowHeight="15" customHeight="1"/>
  <cols>
    <col min="1" max="1" width="10.6640625" customWidth="1"/>
    <col min="2" max="2" width="7.6640625" customWidth="1"/>
    <col min="3" max="3" width="7.33203125" customWidth="1"/>
    <col min="4" max="4" width="10.1640625" customWidth="1"/>
    <col min="5" max="5" width="10.5" customWidth="1"/>
    <col min="6" max="6" width="7.5" customWidth="1"/>
    <col min="7" max="7" width="255" customWidth="1"/>
    <col min="8" max="8" width="12" customWidth="1"/>
    <col min="9" max="9" width="14" customWidth="1"/>
    <col min="10" max="10" width="17.1640625" customWidth="1"/>
    <col min="11" max="11" width="12.6640625" customWidth="1"/>
    <col min="12" max="12" width="24.33203125" customWidth="1"/>
    <col min="13" max="13" width="10.33203125" customWidth="1"/>
    <col min="14" max="14" width="23.6640625" customWidth="1"/>
    <col min="15" max="15" width="26.1640625" customWidth="1"/>
    <col min="16" max="16" width="31.6640625" customWidth="1"/>
    <col min="17" max="17" width="11.6640625" customWidth="1"/>
    <col min="18" max="18" width="21.6640625" customWidth="1"/>
    <col min="19" max="19" width="255" customWidth="1"/>
  </cols>
  <sheetData>
    <row r="1" spans="1:19" ht="15.75" customHeight="1">
      <c r="A1" s="2" t="s">
        <v>30</v>
      </c>
      <c r="B1" s="2" t="s">
        <v>31</v>
      </c>
      <c r="C1" s="2" t="s">
        <v>32</v>
      </c>
      <c r="D1" s="2" t="s">
        <v>33</v>
      </c>
      <c r="E1" s="2" t="s">
        <v>34</v>
      </c>
      <c r="F1" s="2" t="s">
        <v>35</v>
      </c>
      <c r="G1" s="2" t="s">
        <v>36</v>
      </c>
      <c r="H1" s="2" t="s">
        <v>37</v>
      </c>
      <c r="I1" s="2" t="s">
        <v>38</v>
      </c>
      <c r="J1" s="2" t="s">
        <v>39</v>
      </c>
      <c r="K1" s="2" t="s">
        <v>40</v>
      </c>
      <c r="L1" s="2" t="s">
        <v>41</v>
      </c>
      <c r="M1" s="2" t="s">
        <v>42</v>
      </c>
      <c r="N1" s="2" t="s">
        <v>43</v>
      </c>
      <c r="O1" s="2" t="s">
        <v>44</v>
      </c>
      <c r="P1" s="2" t="s">
        <v>45</v>
      </c>
      <c r="Q1" s="2" t="s">
        <v>46</v>
      </c>
      <c r="R1" s="2" t="s">
        <v>47</v>
      </c>
      <c r="S1" s="2" t="s">
        <v>48</v>
      </c>
    </row>
    <row r="2" spans="1:19" ht="15.75" customHeight="1">
      <c r="A2" s="10" t="s">
        <v>49</v>
      </c>
      <c r="B2" s="10" t="s">
        <v>50</v>
      </c>
      <c r="C2" s="10"/>
      <c r="D2" s="11">
        <v>46247</v>
      </c>
      <c r="E2" s="10"/>
      <c r="F2" s="10"/>
      <c r="G2" s="10" t="s">
        <v>51</v>
      </c>
      <c r="H2" s="10" t="s">
        <v>52</v>
      </c>
      <c r="I2" s="10" t="s">
        <v>53</v>
      </c>
      <c r="J2" s="10" t="s">
        <v>54</v>
      </c>
      <c r="K2" s="10" t="s">
        <v>55</v>
      </c>
      <c r="L2" s="10" t="s">
        <v>56</v>
      </c>
      <c r="M2" s="10"/>
      <c r="N2" s="10">
        <v>517</v>
      </c>
      <c r="O2" s="10">
        <v>155</v>
      </c>
      <c r="P2" s="10">
        <v>155</v>
      </c>
      <c r="Q2" s="10"/>
      <c r="R2" s="10" t="s">
        <v>57</v>
      </c>
      <c r="S2" s="10" t="s">
        <v>58</v>
      </c>
    </row>
    <row r="3" spans="1:19" ht="15.75" customHeight="1">
      <c r="A3" s="10" t="s">
        <v>59</v>
      </c>
      <c r="B3" s="10" t="s">
        <v>50</v>
      </c>
      <c r="C3" s="10"/>
      <c r="D3" s="11">
        <v>46247</v>
      </c>
      <c r="E3" s="10"/>
      <c r="F3" s="10"/>
      <c r="G3" s="10" t="s">
        <v>60</v>
      </c>
      <c r="H3" s="10" t="s">
        <v>52</v>
      </c>
      <c r="I3" s="10" t="s">
        <v>53</v>
      </c>
      <c r="J3" s="10" t="s">
        <v>54</v>
      </c>
      <c r="K3" s="10" t="s">
        <v>55</v>
      </c>
      <c r="L3" s="10" t="s">
        <v>56</v>
      </c>
      <c r="M3" s="10"/>
      <c r="N3" s="10">
        <v>518</v>
      </c>
      <c r="O3" s="10">
        <v>318</v>
      </c>
      <c r="P3" s="10">
        <v>318</v>
      </c>
      <c r="Q3" s="10"/>
      <c r="R3" s="10" t="s">
        <v>61</v>
      </c>
      <c r="S3" s="10" t="s">
        <v>62</v>
      </c>
    </row>
    <row r="4" spans="1:19" ht="15.75" customHeight="1">
      <c r="A4" s="10"/>
      <c r="B4" s="10"/>
      <c r="C4" s="10"/>
      <c r="D4" s="10"/>
      <c r="E4" s="10"/>
      <c r="F4" s="10"/>
      <c r="G4" s="10"/>
      <c r="H4" s="10"/>
      <c r="I4" s="10"/>
      <c r="J4" s="10"/>
      <c r="K4" s="10"/>
      <c r="L4" s="10"/>
      <c r="M4" s="10"/>
      <c r="N4" s="10"/>
      <c r="O4" s="10"/>
      <c r="P4" s="10"/>
      <c r="Q4" s="10"/>
      <c r="R4" s="10"/>
      <c r="S4" s="10"/>
    </row>
    <row r="5" spans="1:19" ht="15.75" customHeight="1"/>
    <row r="6" spans="1:19" ht="15.75" customHeight="1"/>
    <row r="7" spans="1:19" ht="15.75" customHeight="1"/>
    <row r="8" spans="1:19" ht="15.75" customHeight="1"/>
    <row r="9" spans="1:19" ht="15.75" customHeight="1"/>
    <row r="10" spans="1:19" ht="15.75" customHeight="1"/>
    <row r="11" spans="1:19" ht="15.75" customHeight="1"/>
    <row r="12" spans="1:19" ht="15.75" customHeight="1"/>
    <row r="13" spans="1:19" ht="15.75" customHeight="1"/>
    <row r="14" spans="1:19" ht="15.75" customHeight="1"/>
    <row r="15" spans="1:19" ht="15.75" customHeight="1"/>
    <row r="16" spans="1:19"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workbookViewId="0"/>
  </sheetViews>
  <sheetFormatPr baseColWidth="10" defaultColWidth="12.6640625" defaultRowHeight="15" customHeight="1"/>
  <cols>
    <col min="1" max="1" width="32.1640625" customWidth="1"/>
    <col min="2" max="2" width="74.5" customWidth="1"/>
    <col min="3" max="3" width="46.5" customWidth="1"/>
    <col min="4" max="4" width="44.33203125" customWidth="1"/>
    <col min="5" max="5" width="40.1640625" customWidth="1"/>
    <col min="6" max="6" width="10.33203125" customWidth="1"/>
    <col min="7" max="7" width="44.33203125" customWidth="1"/>
    <col min="8" max="8" width="129.33203125" customWidth="1"/>
    <col min="9" max="9" width="183.6640625" customWidth="1"/>
  </cols>
  <sheetData>
    <row r="1" spans="1:9" ht="15.75" customHeight="1">
      <c r="A1" s="3" t="s">
        <v>63</v>
      </c>
      <c r="B1" s="3" t="s">
        <v>0</v>
      </c>
      <c r="C1" s="3" t="s">
        <v>31</v>
      </c>
      <c r="D1" s="3" t="s">
        <v>64</v>
      </c>
      <c r="E1" s="3" t="s">
        <v>65</v>
      </c>
      <c r="F1" s="3" t="s">
        <v>66</v>
      </c>
      <c r="G1" s="3" t="s">
        <v>67</v>
      </c>
      <c r="H1" s="3" t="s">
        <v>68</v>
      </c>
      <c r="I1" s="3" t="s">
        <v>69</v>
      </c>
    </row>
    <row r="2" spans="1:9" ht="15.75" customHeight="1">
      <c r="A2" s="5" t="s">
        <v>70</v>
      </c>
      <c r="B2" s="8">
        <v>46246</v>
      </c>
      <c r="C2" s="5" t="s">
        <v>50</v>
      </c>
      <c r="D2" s="5" t="s">
        <v>71</v>
      </c>
      <c r="E2" s="5" t="s">
        <v>72</v>
      </c>
      <c r="F2" s="5">
        <v>1737</v>
      </c>
      <c r="G2" s="5" t="s">
        <v>73</v>
      </c>
      <c r="H2" s="5" t="s">
        <v>74</v>
      </c>
      <c r="I2" s="5" t="s">
        <v>75</v>
      </c>
    </row>
    <row r="3" spans="1:9" ht="15.75" customHeight="1">
      <c r="A3" s="5" t="s">
        <v>76</v>
      </c>
      <c r="B3" s="12">
        <v>46246</v>
      </c>
      <c r="C3" s="5" t="s">
        <v>50</v>
      </c>
      <c r="D3" s="5" t="s">
        <v>77</v>
      </c>
      <c r="E3" s="5" t="s">
        <v>72</v>
      </c>
      <c r="F3" s="5" t="s">
        <v>78</v>
      </c>
      <c r="G3" s="5">
        <v>155</v>
      </c>
      <c r="H3" s="5" t="s">
        <v>79</v>
      </c>
      <c r="I3" s="5" t="s">
        <v>80</v>
      </c>
    </row>
    <row r="4" spans="1:9" ht="15.75" customHeight="1">
      <c r="A4" s="5" t="s">
        <v>81</v>
      </c>
      <c r="B4" s="12">
        <v>46246</v>
      </c>
      <c r="C4" s="5" t="s">
        <v>50</v>
      </c>
      <c r="D4" s="5" t="s">
        <v>82</v>
      </c>
      <c r="E4" s="5" t="s">
        <v>83</v>
      </c>
      <c r="F4" s="5">
        <v>2</v>
      </c>
      <c r="G4" s="5" t="s">
        <v>84</v>
      </c>
      <c r="H4" s="5" t="s">
        <v>85</v>
      </c>
      <c r="I4" s="5" t="s">
        <v>86</v>
      </c>
    </row>
    <row r="5" spans="1:9" ht="15.75" customHeight="1">
      <c r="A5" s="5" t="s">
        <v>87</v>
      </c>
      <c r="B5" s="12">
        <v>46246</v>
      </c>
      <c r="C5" s="5" t="s">
        <v>50</v>
      </c>
      <c r="D5" s="5" t="s">
        <v>88</v>
      </c>
      <c r="E5" s="5" t="s">
        <v>72</v>
      </c>
      <c r="F5" s="5">
        <v>718</v>
      </c>
      <c r="G5" s="5">
        <v>318</v>
      </c>
      <c r="H5" s="5" t="s">
        <v>89</v>
      </c>
      <c r="I5" s="5" t="s">
        <v>90</v>
      </c>
    </row>
    <row r="6" spans="1:9" ht="15.75" customHeight="1">
      <c r="A6" s="5" t="s">
        <v>91</v>
      </c>
      <c r="B6" s="12" t="s">
        <v>92</v>
      </c>
      <c r="C6" s="5" t="s">
        <v>50</v>
      </c>
      <c r="D6" s="5" t="s">
        <v>93</v>
      </c>
      <c r="E6" s="5" t="s">
        <v>72</v>
      </c>
      <c r="F6" s="5">
        <v>2454</v>
      </c>
      <c r="G6" s="5">
        <v>960</v>
      </c>
      <c r="H6" s="5" t="s">
        <v>94</v>
      </c>
      <c r="I6" s="5" t="s">
        <v>95</v>
      </c>
    </row>
    <row r="7" spans="1:9" ht="15.75" customHeight="1"/>
    <row r="8" spans="1:9" ht="15.75" customHeight="1">
      <c r="A8" s="4" t="s">
        <v>96</v>
      </c>
    </row>
    <row r="9" spans="1:9" ht="15.75" customHeight="1">
      <c r="A9" s="4" t="s">
        <v>97</v>
      </c>
      <c r="B9" s="4" t="s">
        <v>98</v>
      </c>
      <c r="C9" s="4" t="s">
        <v>99</v>
      </c>
    </row>
    <row r="10" spans="1:9" ht="15.75" customHeight="1">
      <c r="A10" s="5" t="s">
        <v>100</v>
      </c>
      <c r="B10" s="5" t="s">
        <v>101</v>
      </c>
      <c r="C10" s="5" t="s">
        <v>102</v>
      </c>
    </row>
    <row r="11" spans="1:9" ht="15.75" customHeight="1">
      <c r="A11" s="5" t="s">
        <v>103</v>
      </c>
      <c r="B11" s="5" t="s">
        <v>104</v>
      </c>
      <c r="C11" s="5" t="s">
        <v>105</v>
      </c>
    </row>
    <row r="12" spans="1:9" ht="15.75" customHeight="1">
      <c r="A12" s="5" t="s">
        <v>106</v>
      </c>
      <c r="B12" s="5" t="s">
        <v>107</v>
      </c>
      <c r="C12" s="5" t="s">
        <v>108</v>
      </c>
    </row>
    <row r="13" spans="1:9" ht="15.75" customHeight="1">
      <c r="A13" s="5" t="s">
        <v>109</v>
      </c>
      <c r="B13" s="5" t="s">
        <v>110</v>
      </c>
      <c r="C13" s="5" t="s">
        <v>111</v>
      </c>
    </row>
    <row r="14" spans="1:9" ht="15.75" customHeight="1"/>
    <row r="15" spans="1:9" ht="15.75" customHeight="1"/>
    <row r="16" spans="1:9"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000"/>
  <sheetViews>
    <sheetView workbookViewId="0"/>
  </sheetViews>
  <sheetFormatPr baseColWidth="10" defaultColWidth="12.6640625" defaultRowHeight="15" customHeight="1"/>
  <cols>
    <col min="1" max="1" width="100.1640625" customWidth="1"/>
    <col min="2" max="6" width="12.6640625" customWidth="1"/>
  </cols>
  <sheetData>
    <row r="1" spans="1:1" ht="15.75" customHeight="1">
      <c r="A1" s="4" t="s">
        <v>112</v>
      </c>
    </row>
    <row r="2" spans="1:1" ht="15.75" customHeight="1">
      <c r="A2" s="5" t="s">
        <v>113</v>
      </c>
    </row>
    <row r="3" spans="1:1" ht="15.75" customHeight="1">
      <c r="A3" s="5" t="s">
        <v>114</v>
      </c>
    </row>
    <row r="4" spans="1:1" ht="15.75" customHeight="1">
      <c r="A4" s="5" t="s">
        <v>115</v>
      </c>
    </row>
    <row r="5" spans="1:1" ht="15.75" customHeight="1">
      <c r="A5" s="5" t="s">
        <v>116</v>
      </c>
    </row>
    <row r="6" spans="1:1" ht="15.75" customHeight="1">
      <c r="A6" s="5" t="s">
        <v>117</v>
      </c>
    </row>
    <row r="7" spans="1:1" ht="15.75" customHeight="1">
      <c r="A7" s="5" t="s">
        <v>118</v>
      </c>
    </row>
    <row r="8" spans="1:1" ht="15.75" customHeight="1">
      <c r="A8" s="5" t="s">
        <v>119</v>
      </c>
    </row>
    <row r="9" spans="1:1" ht="15.75" customHeight="1"/>
    <row r="10" spans="1:1" ht="15.75" customHeight="1">
      <c r="A10" s="10" t="s">
        <v>120</v>
      </c>
    </row>
    <row r="11" spans="1:1" ht="15.75" customHeight="1"/>
    <row r="12" spans="1:1" ht="15.75" customHeight="1">
      <c r="A12" s="10" t="s">
        <v>51</v>
      </c>
    </row>
    <row r="13" spans="1:1" ht="15.75" customHeight="1"/>
    <row r="14" spans="1:1" ht="15.75" customHeight="1">
      <c r="A14" s="10" t="s">
        <v>121</v>
      </c>
    </row>
    <row r="15" spans="1:1" ht="15.75" customHeight="1"/>
    <row r="16" spans="1:1" ht="15.75" customHeight="1">
      <c r="A16" s="4" t="s">
        <v>122</v>
      </c>
    </row>
    <row r="17" spans="1:1" ht="15.75" customHeight="1">
      <c r="A17" s="10" t="s">
        <v>123</v>
      </c>
    </row>
    <row r="18" spans="1:1" ht="15.75" customHeight="1"/>
    <row r="19" spans="1:1" ht="15.75" customHeight="1"/>
    <row r="20" spans="1:1" ht="15.75" customHeight="1"/>
    <row r="21" spans="1:1" ht="15.75" customHeight="1"/>
    <row r="22" spans="1:1" ht="15.75" customHeight="1"/>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000"/>
  <sheetViews>
    <sheetView workbookViewId="0">
      <pane xSplit="2" ySplit="1" topLeftCell="C2" activePane="bottomRight" state="frozen"/>
      <selection pane="topRight"/>
      <selection pane="bottomLeft"/>
      <selection pane="bottomRight"/>
    </sheetView>
  </sheetViews>
  <sheetFormatPr baseColWidth="10" defaultColWidth="12.6640625" defaultRowHeight="15" customHeight="1"/>
  <cols>
    <col min="1" max="18" width="18.83203125" customWidth="1"/>
  </cols>
  <sheetData>
    <row r="1" spans="1:18" ht="15.75" customHeight="1">
      <c r="A1" s="13" t="s">
        <v>124</v>
      </c>
      <c r="B1" s="13" t="s">
        <v>125</v>
      </c>
      <c r="C1" s="13" t="s">
        <v>126</v>
      </c>
      <c r="D1" s="13" t="s">
        <v>127</v>
      </c>
      <c r="E1" s="13" t="s">
        <v>128</v>
      </c>
      <c r="F1" s="13" t="s">
        <v>129</v>
      </c>
      <c r="G1" s="13" t="s">
        <v>130</v>
      </c>
      <c r="H1" s="13" t="s">
        <v>131</v>
      </c>
      <c r="I1" s="13" t="s">
        <v>132</v>
      </c>
      <c r="J1" s="13" t="s">
        <v>133</v>
      </c>
      <c r="K1" s="13" t="s">
        <v>134</v>
      </c>
      <c r="L1" s="13" t="s">
        <v>135</v>
      </c>
      <c r="M1" s="13" t="s">
        <v>136</v>
      </c>
      <c r="N1" s="13" t="s">
        <v>137</v>
      </c>
      <c r="O1" s="13" t="s">
        <v>138</v>
      </c>
      <c r="P1" s="13" t="s">
        <v>139</v>
      </c>
      <c r="Q1" s="13" t="s">
        <v>140</v>
      </c>
      <c r="R1" s="13" t="s">
        <v>48</v>
      </c>
    </row>
    <row r="2" spans="1:18" ht="15.75" customHeight="1">
      <c r="A2" s="14" t="s">
        <v>141</v>
      </c>
      <c r="B2" s="14" t="s">
        <v>49</v>
      </c>
      <c r="C2" s="14" t="s">
        <v>142</v>
      </c>
      <c r="D2" s="14" t="s">
        <v>143</v>
      </c>
      <c r="E2" s="14">
        <v>2026</v>
      </c>
      <c r="F2" s="14" t="s">
        <v>144</v>
      </c>
      <c r="G2" s="14" t="s">
        <v>145</v>
      </c>
      <c r="H2" s="14" t="s">
        <v>146</v>
      </c>
      <c r="I2" s="14"/>
      <c r="J2" s="14" t="s">
        <v>147</v>
      </c>
      <c r="K2" s="15"/>
      <c r="L2" s="14" t="s">
        <v>54</v>
      </c>
      <c r="M2" s="14" t="s">
        <v>55</v>
      </c>
      <c r="N2" s="14" t="s">
        <v>148</v>
      </c>
      <c r="O2" s="15"/>
      <c r="P2" s="14" t="s">
        <v>149</v>
      </c>
    </row>
    <row r="3" spans="1:18" ht="15.75" customHeight="1">
      <c r="A3" s="14" t="s">
        <v>150</v>
      </c>
      <c r="B3" s="14" t="s">
        <v>49</v>
      </c>
      <c r="C3" s="14" t="s">
        <v>151</v>
      </c>
      <c r="D3" s="14" t="s">
        <v>152</v>
      </c>
      <c r="E3" s="14">
        <v>2026</v>
      </c>
      <c r="F3" s="14" t="s">
        <v>153</v>
      </c>
      <c r="G3" s="14" t="s">
        <v>154</v>
      </c>
      <c r="H3" s="14" t="s">
        <v>155</v>
      </c>
      <c r="I3" s="14"/>
      <c r="J3" s="14" t="s">
        <v>156</v>
      </c>
      <c r="K3" s="14" t="s">
        <v>157</v>
      </c>
      <c r="L3" s="14" t="s">
        <v>54</v>
      </c>
      <c r="M3" s="14" t="s">
        <v>55</v>
      </c>
      <c r="N3" s="14" t="s">
        <v>148</v>
      </c>
      <c r="O3" s="15"/>
      <c r="P3" s="14" t="s">
        <v>149</v>
      </c>
    </row>
    <row r="4" spans="1:18" ht="15.75" customHeight="1">
      <c r="A4" s="14" t="s">
        <v>158</v>
      </c>
      <c r="B4" s="14" t="s">
        <v>49</v>
      </c>
      <c r="C4" s="14" t="s">
        <v>159</v>
      </c>
      <c r="D4" s="14" t="s">
        <v>160</v>
      </c>
      <c r="E4" s="14">
        <v>2024</v>
      </c>
      <c r="F4" s="14" t="s">
        <v>161</v>
      </c>
      <c r="G4" s="14" t="s">
        <v>162</v>
      </c>
      <c r="H4" s="14" t="s">
        <v>163</v>
      </c>
      <c r="I4" s="14"/>
      <c r="J4" s="14" t="s">
        <v>164</v>
      </c>
      <c r="K4" s="15"/>
      <c r="L4" s="14" t="s">
        <v>54</v>
      </c>
      <c r="M4" s="14" t="s">
        <v>55</v>
      </c>
      <c r="N4" s="14" t="s">
        <v>148</v>
      </c>
      <c r="O4" s="15"/>
      <c r="P4" s="14" t="s">
        <v>149</v>
      </c>
    </row>
    <row r="5" spans="1:18" ht="15.75" customHeight="1">
      <c r="A5" s="14" t="s">
        <v>165</v>
      </c>
      <c r="B5" s="14" t="s">
        <v>49</v>
      </c>
      <c r="C5" s="14" t="s">
        <v>166</v>
      </c>
      <c r="D5" s="14" t="s">
        <v>167</v>
      </c>
      <c r="E5" s="14">
        <v>2026</v>
      </c>
      <c r="F5" s="14" t="s">
        <v>168</v>
      </c>
      <c r="G5" s="14" t="s">
        <v>169</v>
      </c>
      <c r="H5" s="14" t="s">
        <v>170</v>
      </c>
      <c r="I5" s="14"/>
      <c r="J5" s="14" t="s">
        <v>171</v>
      </c>
      <c r="K5" s="15"/>
      <c r="L5" s="14" t="s">
        <v>54</v>
      </c>
      <c r="M5" s="14" t="s">
        <v>55</v>
      </c>
      <c r="N5" s="14" t="s">
        <v>148</v>
      </c>
      <c r="O5" s="15"/>
      <c r="P5" s="14" t="s">
        <v>149</v>
      </c>
    </row>
    <row r="6" spans="1:18" ht="15.75" customHeight="1">
      <c r="A6" s="14" t="s">
        <v>172</v>
      </c>
      <c r="B6" s="14" t="s">
        <v>49</v>
      </c>
      <c r="C6" s="14" t="s">
        <v>173</v>
      </c>
      <c r="D6" s="14" t="s">
        <v>174</v>
      </c>
      <c r="E6" s="14">
        <v>2026</v>
      </c>
      <c r="F6" s="14" t="s">
        <v>175</v>
      </c>
      <c r="G6" s="14" t="s">
        <v>176</v>
      </c>
      <c r="H6" s="14" t="s">
        <v>177</v>
      </c>
      <c r="I6" s="14"/>
      <c r="J6" s="14" t="s">
        <v>178</v>
      </c>
      <c r="K6" s="15"/>
      <c r="L6" s="14" t="s">
        <v>54</v>
      </c>
      <c r="M6" s="14" t="s">
        <v>55</v>
      </c>
      <c r="N6" s="14" t="s">
        <v>148</v>
      </c>
      <c r="O6" s="15"/>
      <c r="P6" s="14" t="s">
        <v>149</v>
      </c>
    </row>
    <row r="7" spans="1:18" ht="15.75" customHeight="1">
      <c r="A7" s="14" t="s">
        <v>179</v>
      </c>
      <c r="B7" s="14" t="s">
        <v>49</v>
      </c>
      <c r="C7" s="14" t="s">
        <v>180</v>
      </c>
      <c r="D7" s="14" t="s">
        <v>181</v>
      </c>
      <c r="E7" s="14">
        <v>2026</v>
      </c>
      <c r="F7" s="14" t="s">
        <v>182</v>
      </c>
      <c r="G7" s="14" t="s">
        <v>183</v>
      </c>
      <c r="H7" s="14" t="s">
        <v>184</v>
      </c>
      <c r="I7" s="14"/>
      <c r="J7" s="14" t="s">
        <v>185</v>
      </c>
      <c r="K7" s="14" t="s">
        <v>186</v>
      </c>
      <c r="L7" s="14" t="s">
        <v>54</v>
      </c>
      <c r="M7" s="14" t="s">
        <v>55</v>
      </c>
      <c r="N7" s="14" t="s">
        <v>148</v>
      </c>
      <c r="O7" s="15"/>
      <c r="P7" s="14" t="s">
        <v>149</v>
      </c>
    </row>
    <row r="8" spans="1:18" ht="15.75" customHeight="1">
      <c r="A8" s="14" t="s">
        <v>187</v>
      </c>
      <c r="B8" s="14" t="s">
        <v>49</v>
      </c>
      <c r="C8" s="14" t="s">
        <v>188</v>
      </c>
      <c r="D8" s="14" t="s">
        <v>189</v>
      </c>
      <c r="E8" s="14">
        <v>2026</v>
      </c>
      <c r="F8" s="14" t="s">
        <v>190</v>
      </c>
      <c r="G8" s="14" t="s">
        <v>191</v>
      </c>
      <c r="H8" s="14" t="s">
        <v>192</v>
      </c>
      <c r="I8" s="14"/>
      <c r="J8" s="14" t="s">
        <v>193</v>
      </c>
      <c r="K8" s="14" t="s">
        <v>194</v>
      </c>
      <c r="L8" s="14" t="s">
        <v>54</v>
      </c>
      <c r="M8" s="14" t="s">
        <v>55</v>
      </c>
      <c r="N8" s="14" t="s">
        <v>148</v>
      </c>
      <c r="O8" s="15"/>
      <c r="P8" s="14" t="s">
        <v>195</v>
      </c>
    </row>
    <row r="9" spans="1:18" ht="15.75" customHeight="1">
      <c r="A9" s="14" t="s">
        <v>196</v>
      </c>
      <c r="B9" s="14" t="s">
        <v>49</v>
      </c>
      <c r="C9" s="14" t="s">
        <v>110</v>
      </c>
      <c r="D9" s="14" t="s">
        <v>197</v>
      </c>
      <c r="E9" s="14">
        <v>2026</v>
      </c>
      <c r="F9" s="14" t="s">
        <v>198</v>
      </c>
      <c r="G9" s="14" t="s">
        <v>199</v>
      </c>
      <c r="H9" s="14" t="s">
        <v>200</v>
      </c>
      <c r="I9" s="14"/>
      <c r="J9" s="14" t="s">
        <v>201</v>
      </c>
      <c r="K9" s="14" t="s">
        <v>202</v>
      </c>
      <c r="L9" s="14" t="s">
        <v>54</v>
      </c>
      <c r="M9" s="14" t="s">
        <v>55</v>
      </c>
      <c r="N9" s="14" t="s">
        <v>148</v>
      </c>
      <c r="O9" s="15"/>
      <c r="P9" s="14" t="s">
        <v>149</v>
      </c>
    </row>
    <row r="10" spans="1:18" ht="15.75" customHeight="1">
      <c r="A10" s="14" t="s">
        <v>203</v>
      </c>
      <c r="B10" s="14" t="s">
        <v>49</v>
      </c>
      <c r="C10" s="14" t="s">
        <v>204</v>
      </c>
      <c r="D10" s="14" t="s">
        <v>205</v>
      </c>
      <c r="E10" s="14">
        <v>2026</v>
      </c>
      <c r="F10" s="14" t="s">
        <v>206</v>
      </c>
      <c r="G10" s="14" t="s">
        <v>207</v>
      </c>
      <c r="H10" s="14" t="s">
        <v>208</v>
      </c>
      <c r="I10" s="14"/>
      <c r="J10" s="14" t="s">
        <v>209</v>
      </c>
      <c r="K10" s="14" t="s">
        <v>210</v>
      </c>
      <c r="L10" s="14" t="s">
        <v>54</v>
      </c>
      <c r="M10" s="14" t="s">
        <v>55</v>
      </c>
      <c r="N10" s="14" t="s">
        <v>148</v>
      </c>
      <c r="O10" s="15"/>
      <c r="P10" s="14" t="s">
        <v>149</v>
      </c>
    </row>
    <row r="11" spans="1:18" ht="15.75" customHeight="1">
      <c r="A11" s="14" t="s">
        <v>211</v>
      </c>
      <c r="B11" s="14" t="s">
        <v>49</v>
      </c>
      <c r="C11" s="14" t="s">
        <v>212</v>
      </c>
      <c r="D11" s="14" t="s">
        <v>213</v>
      </c>
      <c r="E11" s="14">
        <v>2024</v>
      </c>
      <c r="F11" s="14" t="s">
        <v>214</v>
      </c>
      <c r="G11" s="14" t="s">
        <v>215</v>
      </c>
      <c r="H11" s="14" t="s">
        <v>216</v>
      </c>
      <c r="I11" s="14"/>
      <c r="J11" s="14" t="s">
        <v>217</v>
      </c>
      <c r="K11" s="14" t="s">
        <v>218</v>
      </c>
      <c r="L11" s="14" t="s">
        <v>54</v>
      </c>
      <c r="M11" s="14" t="s">
        <v>55</v>
      </c>
      <c r="N11" s="14" t="s">
        <v>148</v>
      </c>
      <c r="O11" s="15"/>
      <c r="P11" s="14" t="s">
        <v>149</v>
      </c>
    </row>
    <row r="12" spans="1:18" ht="15.75" customHeight="1">
      <c r="A12" s="14" t="s">
        <v>219</v>
      </c>
      <c r="B12" s="14" t="s">
        <v>49</v>
      </c>
      <c r="C12" s="14" t="s">
        <v>220</v>
      </c>
      <c r="D12" s="14" t="s">
        <v>221</v>
      </c>
      <c r="E12" s="14">
        <v>2023</v>
      </c>
      <c r="F12" s="14" t="s">
        <v>222</v>
      </c>
      <c r="G12" s="14" t="s">
        <v>223</v>
      </c>
      <c r="H12" s="14" t="s">
        <v>224</v>
      </c>
      <c r="I12" s="14"/>
      <c r="J12" s="14" t="s">
        <v>225</v>
      </c>
      <c r="K12" s="15"/>
      <c r="L12" s="14" t="s">
        <v>54</v>
      </c>
      <c r="M12" s="14" t="s">
        <v>55</v>
      </c>
      <c r="N12" s="14" t="s">
        <v>148</v>
      </c>
      <c r="O12" s="15"/>
      <c r="P12" s="14" t="s">
        <v>226</v>
      </c>
      <c r="Q12" t="s">
        <v>227</v>
      </c>
    </row>
    <row r="13" spans="1:18" ht="15.75" customHeight="1">
      <c r="A13" s="14" t="s">
        <v>228</v>
      </c>
      <c r="B13" s="14" t="s">
        <v>49</v>
      </c>
      <c r="C13" s="14" t="s">
        <v>229</v>
      </c>
      <c r="D13" s="14" t="s">
        <v>230</v>
      </c>
      <c r="E13" s="14">
        <v>2026</v>
      </c>
      <c r="F13" s="14" t="s">
        <v>231</v>
      </c>
      <c r="G13" s="14" t="s">
        <v>232</v>
      </c>
      <c r="H13" s="14" t="s">
        <v>233</v>
      </c>
      <c r="I13" s="14"/>
      <c r="J13" s="14" t="s">
        <v>234</v>
      </c>
      <c r="K13" s="14" t="s">
        <v>235</v>
      </c>
      <c r="L13" s="14" t="s">
        <v>54</v>
      </c>
      <c r="M13" s="14" t="s">
        <v>55</v>
      </c>
      <c r="N13" s="14" t="s">
        <v>148</v>
      </c>
      <c r="O13" s="15"/>
      <c r="P13" s="14" t="s">
        <v>149</v>
      </c>
    </row>
    <row r="14" spans="1:18" ht="15.75" customHeight="1">
      <c r="A14" s="14" t="s">
        <v>236</v>
      </c>
      <c r="B14" s="14" t="s">
        <v>49</v>
      </c>
      <c r="C14" s="14" t="s">
        <v>237</v>
      </c>
      <c r="D14" s="14" t="s">
        <v>238</v>
      </c>
      <c r="E14" s="14">
        <v>2026</v>
      </c>
      <c r="F14" s="14" t="s">
        <v>239</v>
      </c>
      <c r="G14" s="14" t="s">
        <v>240</v>
      </c>
      <c r="H14" s="14" t="s">
        <v>241</v>
      </c>
      <c r="I14" s="14"/>
      <c r="J14" s="14" t="s">
        <v>242</v>
      </c>
      <c r="K14" s="14" t="s">
        <v>243</v>
      </c>
      <c r="L14" s="14" t="s">
        <v>54</v>
      </c>
      <c r="M14" s="14" t="s">
        <v>55</v>
      </c>
      <c r="N14" s="14" t="s">
        <v>148</v>
      </c>
      <c r="O14" s="15"/>
      <c r="P14" s="14" t="s">
        <v>149</v>
      </c>
    </row>
    <row r="15" spans="1:18" ht="15.75" customHeight="1">
      <c r="A15" s="14" t="s">
        <v>244</v>
      </c>
      <c r="B15" s="14" t="s">
        <v>49</v>
      </c>
      <c r="C15" s="14" t="s">
        <v>245</v>
      </c>
      <c r="D15" s="14" t="s">
        <v>246</v>
      </c>
      <c r="E15" s="14">
        <v>2026</v>
      </c>
      <c r="F15" s="14" t="s">
        <v>247</v>
      </c>
      <c r="G15" s="14" t="s">
        <v>248</v>
      </c>
      <c r="H15" s="14" t="s">
        <v>249</v>
      </c>
      <c r="I15" s="14"/>
      <c r="J15" s="14" t="s">
        <v>250</v>
      </c>
      <c r="K15" s="14" t="s">
        <v>251</v>
      </c>
      <c r="L15" s="14" t="s">
        <v>54</v>
      </c>
      <c r="M15" s="14" t="s">
        <v>55</v>
      </c>
      <c r="N15" s="14" t="s">
        <v>148</v>
      </c>
      <c r="O15" s="15"/>
      <c r="P15" s="14" t="s">
        <v>149</v>
      </c>
    </row>
    <row r="16" spans="1:18" ht="15.75" customHeight="1">
      <c r="A16" s="14" t="s">
        <v>252</v>
      </c>
      <c r="B16" s="14" t="s">
        <v>49</v>
      </c>
      <c r="C16" s="14" t="s">
        <v>253</v>
      </c>
      <c r="D16" s="14" t="s">
        <v>254</v>
      </c>
      <c r="E16" s="14">
        <v>2026</v>
      </c>
      <c r="F16" s="14" t="s">
        <v>255</v>
      </c>
      <c r="G16" s="14" t="s">
        <v>256</v>
      </c>
      <c r="H16" s="14" t="s">
        <v>257</v>
      </c>
      <c r="I16" s="14"/>
      <c r="J16" s="14" t="s">
        <v>258</v>
      </c>
      <c r="K16" s="14" t="s">
        <v>259</v>
      </c>
      <c r="L16" s="14" t="s">
        <v>54</v>
      </c>
      <c r="M16" s="14" t="s">
        <v>55</v>
      </c>
      <c r="N16" s="14" t="s">
        <v>148</v>
      </c>
      <c r="O16" s="15"/>
      <c r="P16" s="14" t="s">
        <v>195</v>
      </c>
    </row>
    <row r="17" spans="1:17" ht="15.75" customHeight="1">
      <c r="A17" s="14" t="s">
        <v>260</v>
      </c>
      <c r="B17" s="14" t="s">
        <v>49</v>
      </c>
      <c r="C17" s="14" t="s">
        <v>261</v>
      </c>
      <c r="D17" s="14" t="s">
        <v>262</v>
      </c>
      <c r="E17" s="14">
        <v>2025</v>
      </c>
      <c r="F17" s="14" t="s">
        <v>144</v>
      </c>
      <c r="G17" s="14" t="s">
        <v>263</v>
      </c>
      <c r="H17" s="14" t="s">
        <v>264</v>
      </c>
      <c r="I17" s="14"/>
      <c r="J17" s="14" t="s">
        <v>265</v>
      </c>
      <c r="K17" s="15"/>
      <c r="L17" s="14" t="s">
        <v>54</v>
      </c>
      <c r="M17" s="14" t="s">
        <v>55</v>
      </c>
      <c r="N17" s="14" t="s">
        <v>148</v>
      </c>
      <c r="O17" s="15"/>
      <c r="P17" s="14" t="s">
        <v>149</v>
      </c>
    </row>
    <row r="18" spans="1:17" ht="15.75" customHeight="1">
      <c r="A18" s="14" t="s">
        <v>266</v>
      </c>
      <c r="B18" s="14" t="s">
        <v>49</v>
      </c>
      <c r="C18" s="14" t="s">
        <v>267</v>
      </c>
      <c r="D18" s="14" t="s">
        <v>268</v>
      </c>
      <c r="E18" s="14">
        <v>2024</v>
      </c>
      <c r="F18" s="14" t="s">
        <v>269</v>
      </c>
      <c r="G18" s="14" t="s">
        <v>270</v>
      </c>
      <c r="H18" s="14" t="s">
        <v>271</v>
      </c>
      <c r="I18" s="14"/>
      <c r="J18" s="14" t="s">
        <v>272</v>
      </c>
      <c r="K18" s="14" t="s">
        <v>273</v>
      </c>
      <c r="L18" s="14" t="s">
        <v>54</v>
      </c>
      <c r="M18" s="14" t="s">
        <v>55</v>
      </c>
      <c r="N18" s="14" t="s">
        <v>148</v>
      </c>
      <c r="O18" s="15"/>
      <c r="P18" s="14" t="s">
        <v>149</v>
      </c>
    </row>
    <row r="19" spans="1:17" ht="15.75" customHeight="1">
      <c r="A19" s="14" t="s">
        <v>274</v>
      </c>
      <c r="B19" s="14" t="s">
        <v>49</v>
      </c>
      <c r="C19" s="14" t="s">
        <v>275</v>
      </c>
      <c r="D19" s="14" t="s">
        <v>276</v>
      </c>
      <c r="E19" s="14">
        <v>2026</v>
      </c>
      <c r="F19" s="14" t="s">
        <v>277</v>
      </c>
      <c r="G19" s="14" t="s">
        <v>278</v>
      </c>
      <c r="H19" s="14" t="s">
        <v>279</v>
      </c>
      <c r="I19" s="14"/>
      <c r="J19" s="14" t="s">
        <v>280</v>
      </c>
      <c r="K19" s="14" t="s">
        <v>281</v>
      </c>
      <c r="L19" s="14" t="s">
        <v>54</v>
      </c>
      <c r="M19" s="14" t="s">
        <v>55</v>
      </c>
      <c r="N19" s="14" t="s">
        <v>148</v>
      </c>
      <c r="O19" s="15"/>
      <c r="P19" s="14" t="s">
        <v>149</v>
      </c>
    </row>
    <row r="20" spans="1:17" ht="15.75" customHeight="1">
      <c r="A20" s="14" t="s">
        <v>282</v>
      </c>
      <c r="B20" s="14" t="s">
        <v>49</v>
      </c>
      <c r="C20" s="14" t="s">
        <v>283</v>
      </c>
      <c r="D20" s="14" t="s">
        <v>284</v>
      </c>
      <c r="E20" s="14">
        <v>2022</v>
      </c>
      <c r="F20" s="14" t="s">
        <v>285</v>
      </c>
      <c r="G20" s="14" t="s">
        <v>286</v>
      </c>
      <c r="H20" s="14" t="s">
        <v>287</v>
      </c>
      <c r="I20" s="14"/>
      <c r="J20" s="14" t="s">
        <v>288</v>
      </c>
      <c r="K20" s="15"/>
      <c r="L20" s="14" t="s">
        <v>54</v>
      </c>
      <c r="M20" s="14" t="s">
        <v>55</v>
      </c>
      <c r="N20" s="14" t="s">
        <v>148</v>
      </c>
      <c r="O20" s="15"/>
      <c r="P20" s="14" t="s">
        <v>149</v>
      </c>
    </row>
    <row r="21" spans="1:17" ht="15.75" customHeight="1">
      <c r="A21" s="14" t="s">
        <v>289</v>
      </c>
      <c r="B21" s="14" t="s">
        <v>49</v>
      </c>
      <c r="C21" s="14" t="s">
        <v>290</v>
      </c>
      <c r="D21" s="14" t="s">
        <v>291</v>
      </c>
      <c r="E21" s="14">
        <v>2026</v>
      </c>
      <c r="F21" s="14" t="s">
        <v>292</v>
      </c>
      <c r="G21" s="14" t="s">
        <v>293</v>
      </c>
      <c r="H21" s="14" t="s">
        <v>294</v>
      </c>
      <c r="I21" s="14"/>
      <c r="J21" s="14" t="s">
        <v>295</v>
      </c>
      <c r="K21" s="14" t="s">
        <v>296</v>
      </c>
      <c r="L21" s="14" t="s">
        <v>54</v>
      </c>
      <c r="M21" s="14" t="s">
        <v>55</v>
      </c>
      <c r="N21" s="14" t="s">
        <v>148</v>
      </c>
      <c r="O21" s="15"/>
      <c r="P21" s="14" t="s">
        <v>149</v>
      </c>
    </row>
    <row r="22" spans="1:17" ht="15.75" customHeight="1">
      <c r="A22" s="14" t="s">
        <v>297</v>
      </c>
      <c r="B22" s="14" t="s">
        <v>49</v>
      </c>
      <c r="C22" s="14" t="s">
        <v>298</v>
      </c>
      <c r="D22" s="14" t="s">
        <v>299</v>
      </c>
      <c r="E22" s="14">
        <v>2020</v>
      </c>
      <c r="F22" s="14" t="s">
        <v>300</v>
      </c>
      <c r="G22" s="14" t="s">
        <v>301</v>
      </c>
      <c r="H22" s="14" t="s">
        <v>302</v>
      </c>
      <c r="I22" s="14"/>
      <c r="J22" s="14" t="s">
        <v>303</v>
      </c>
      <c r="K22" s="14" t="s">
        <v>304</v>
      </c>
      <c r="L22" s="14" t="s">
        <v>54</v>
      </c>
      <c r="M22" s="14" t="s">
        <v>55</v>
      </c>
      <c r="N22" s="14" t="s">
        <v>148</v>
      </c>
      <c r="O22" s="15"/>
      <c r="P22" s="14" t="s">
        <v>226</v>
      </c>
      <c r="Q22" t="s">
        <v>305</v>
      </c>
    </row>
    <row r="23" spans="1:17" ht="15.75" customHeight="1">
      <c r="A23" s="14" t="s">
        <v>306</v>
      </c>
      <c r="B23" s="14" t="s">
        <v>49</v>
      </c>
      <c r="C23" s="14" t="s">
        <v>307</v>
      </c>
      <c r="D23" s="14" t="s">
        <v>308</v>
      </c>
      <c r="E23" s="14">
        <v>2026</v>
      </c>
      <c r="F23" s="14" t="s">
        <v>309</v>
      </c>
      <c r="G23" s="14" t="s">
        <v>310</v>
      </c>
      <c r="H23" s="14" t="s">
        <v>311</v>
      </c>
      <c r="I23" s="14"/>
      <c r="J23" s="14" t="s">
        <v>312</v>
      </c>
      <c r="K23" s="14" t="s">
        <v>313</v>
      </c>
      <c r="L23" s="14" t="s">
        <v>54</v>
      </c>
      <c r="M23" s="14" t="s">
        <v>55</v>
      </c>
      <c r="N23" s="14" t="s">
        <v>148</v>
      </c>
      <c r="O23" s="15"/>
      <c r="P23" s="14" t="s">
        <v>195</v>
      </c>
    </row>
    <row r="24" spans="1:17" ht="15.75" customHeight="1">
      <c r="A24" s="14" t="s">
        <v>314</v>
      </c>
      <c r="B24" s="14" t="s">
        <v>49</v>
      </c>
      <c r="C24" s="14" t="s">
        <v>315</v>
      </c>
      <c r="D24" s="14" t="s">
        <v>316</v>
      </c>
      <c r="E24" s="14">
        <v>2026</v>
      </c>
      <c r="F24" s="14" t="s">
        <v>317</v>
      </c>
      <c r="G24" s="14" t="s">
        <v>318</v>
      </c>
      <c r="H24" s="14" t="s">
        <v>319</v>
      </c>
      <c r="I24" s="14"/>
      <c r="J24" s="14" t="s">
        <v>320</v>
      </c>
      <c r="K24" s="14" t="s">
        <v>321</v>
      </c>
      <c r="L24" s="14" t="s">
        <v>54</v>
      </c>
      <c r="M24" s="14" t="s">
        <v>55</v>
      </c>
      <c r="N24" s="14" t="s">
        <v>148</v>
      </c>
      <c r="O24" s="15"/>
      <c r="P24" s="14" t="s">
        <v>149</v>
      </c>
    </row>
    <row r="25" spans="1:17" ht="15.75" customHeight="1">
      <c r="A25" s="14" t="s">
        <v>322</v>
      </c>
      <c r="B25" s="14" t="s">
        <v>49</v>
      </c>
      <c r="C25" s="14" t="s">
        <v>323</v>
      </c>
      <c r="D25" s="14" t="s">
        <v>324</v>
      </c>
      <c r="E25" s="14">
        <v>2025</v>
      </c>
      <c r="F25" s="14" t="s">
        <v>325</v>
      </c>
      <c r="G25" s="14" t="s">
        <v>326</v>
      </c>
      <c r="H25" s="14" t="s">
        <v>327</v>
      </c>
      <c r="I25" s="14"/>
      <c r="J25" s="14" t="s">
        <v>328</v>
      </c>
      <c r="K25" s="15"/>
      <c r="L25" s="14" t="s">
        <v>54</v>
      </c>
      <c r="M25" s="14" t="s">
        <v>55</v>
      </c>
      <c r="N25" s="14" t="s">
        <v>148</v>
      </c>
      <c r="O25" s="15"/>
      <c r="P25" s="14" t="s">
        <v>226</v>
      </c>
      <c r="Q25" t="s">
        <v>305</v>
      </c>
    </row>
    <row r="26" spans="1:17" ht="15.75" customHeight="1">
      <c r="A26" s="14" t="s">
        <v>329</v>
      </c>
      <c r="B26" s="14" t="s">
        <v>49</v>
      </c>
      <c r="C26" s="14" t="s">
        <v>330</v>
      </c>
      <c r="D26" s="14" t="s">
        <v>331</v>
      </c>
      <c r="E26" s="14">
        <v>2013</v>
      </c>
      <c r="F26" s="14" t="s">
        <v>332</v>
      </c>
      <c r="G26" s="14" t="s">
        <v>333</v>
      </c>
      <c r="H26" s="14" t="s">
        <v>334</v>
      </c>
      <c r="I26" s="14"/>
      <c r="J26" s="14" t="s">
        <v>335</v>
      </c>
      <c r="K26" s="14" t="s">
        <v>336</v>
      </c>
      <c r="L26" s="14" t="s">
        <v>54</v>
      </c>
      <c r="M26" s="14" t="s">
        <v>55</v>
      </c>
      <c r="N26" s="14" t="s">
        <v>148</v>
      </c>
      <c r="O26" s="15"/>
      <c r="P26" s="14" t="s">
        <v>226</v>
      </c>
      <c r="Q26" t="s">
        <v>337</v>
      </c>
    </row>
    <row r="27" spans="1:17" ht="15.75" customHeight="1">
      <c r="A27" s="14" t="s">
        <v>338</v>
      </c>
      <c r="B27" s="14" t="s">
        <v>49</v>
      </c>
      <c r="C27" s="14" t="s">
        <v>339</v>
      </c>
      <c r="D27" s="14" t="s">
        <v>340</v>
      </c>
      <c r="E27" s="14">
        <v>2026</v>
      </c>
      <c r="F27" s="14" t="s">
        <v>239</v>
      </c>
      <c r="G27" s="14" t="s">
        <v>341</v>
      </c>
      <c r="H27" s="14" t="s">
        <v>342</v>
      </c>
      <c r="I27" s="14"/>
      <c r="J27" s="14" t="s">
        <v>343</v>
      </c>
      <c r="K27" s="14" t="s">
        <v>344</v>
      </c>
      <c r="L27" s="14" t="s">
        <v>54</v>
      </c>
      <c r="M27" s="14" t="s">
        <v>55</v>
      </c>
      <c r="N27" s="14" t="s">
        <v>148</v>
      </c>
      <c r="O27" s="15"/>
      <c r="P27" s="14" t="s">
        <v>195</v>
      </c>
    </row>
    <row r="28" spans="1:17" ht="15.75" customHeight="1">
      <c r="A28" s="14" t="s">
        <v>345</v>
      </c>
      <c r="B28" s="14" t="s">
        <v>49</v>
      </c>
      <c r="C28" s="14" t="s">
        <v>346</v>
      </c>
      <c r="D28" s="14" t="s">
        <v>347</v>
      </c>
      <c r="E28" s="14">
        <v>2025</v>
      </c>
      <c r="F28" s="14" t="s">
        <v>348</v>
      </c>
      <c r="G28" s="14" t="s">
        <v>349</v>
      </c>
      <c r="H28" s="14" t="s">
        <v>350</v>
      </c>
      <c r="I28" s="14"/>
      <c r="J28" s="14" t="s">
        <v>351</v>
      </c>
      <c r="K28" s="14" t="s">
        <v>352</v>
      </c>
      <c r="L28" s="14" t="s">
        <v>54</v>
      </c>
      <c r="M28" s="14" t="s">
        <v>55</v>
      </c>
      <c r="N28" s="14" t="s">
        <v>148</v>
      </c>
      <c r="O28" s="15"/>
      <c r="P28" s="14" t="s">
        <v>149</v>
      </c>
    </row>
    <row r="29" spans="1:17" ht="15.75" customHeight="1">
      <c r="A29" s="14" t="s">
        <v>353</v>
      </c>
      <c r="B29" s="14" t="s">
        <v>49</v>
      </c>
      <c r="C29" s="14" t="s">
        <v>354</v>
      </c>
      <c r="D29" s="14" t="s">
        <v>355</v>
      </c>
      <c r="E29" s="14">
        <v>2025</v>
      </c>
      <c r="F29" s="14" t="s">
        <v>356</v>
      </c>
      <c r="G29" s="14" t="s">
        <v>357</v>
      </c>
      <c r="H29" s="14" t="s">
        <v>358</v>
      </c>
      <c r="I29" s="14"/>
      <c r="J29" s="14" t="s">
        <v>359</v>
      </c>
      <c r="K29" s="15"/>
      <c r="L29" s="14" t="s">
        <v>54</v>
      </c>
      <c r="M29" s="14" t="s">
        <v>55</v>
      </c>
      <c r="N29" s="14" t="s">
        <v>148</v>
      </c>
      <c r="O29" s="15"/>
      <c r="P29" s="14" t="s">
        <v>360</v>
      </c>
      <c r="Q29" t="s">
        <v>361</v>
      </c>
    </row>
    <row r="30" spans="1:17" ht="15.75" customHeight="1">
      <c r="A30" s="14" t="s">
        <v>362</v>
      </c>
      <c r="B30" s="14" t="s">
        <v>49</v>
      </c>
      <c r="C30" s="14" t="s">
        <v>363</v>
      </c>
      <c r="D30" s="14" t="s">
        <v>364</v>
      </c>
      <c r="E30" s="14">
        <v>2025</v>
      </c>
      <c r="F30" s="14" t="s">
        <v>365</v>
      </c>
      <c r="G30" s="14" t="s">
        <v>366</v>
      </c>
      <c r="H30" s="14" t="s">
        <v>367</v>
      </c>
      <c r="I30" s="14"/>
      <c r="J30" s="15"/>
      <c r="K30" s="14" t="s">
        <v>368</v>
      </c>
      <c r="L30" s="14" t="s">
        <v>54</v>
      </c>
      <c r="M30" s="14" t="s">
        <v>55</v>
      </c>
      <c r="N30" s="14" t="s">
        <v>148</v>
      </c>
      <c r="O30" s="15"/>
      <c r="P30" s="14" t="s">
        <v>149</v>
      </c>
    </row>
    <row r="31" spans="1:17" ht="15.75" customHeight="1">
      <c r="A31" s="14" t="s">
        <v>369</v>
      </c>
      <c r="B31" s="14" t="s">
        <v>49</v>
      </c>
      <c r="C31" s="14" t="s">
        <v>370</v>
      </c>
      <c r="D31" s="14" t="s">
        <v>371</v>
      </c>
      <c r="E31" s="14">
        <v>2026</v>
      </c>
      <c r="F31" s="14" t="s">
        <v>255</v>
      </c>
      <c r="G31" s="14" t="s">
        <v>372</v>
      </c>
      <c r="H31" s="14" t="s">
        <v>373</v>
      </c>
      <c r="I31" s="14"/>
      <c r="J31" s="14" t="s">
        <v>374</v>
      </c>
      <c r="K31" s="14" t="s">
        <v>375</v>
      </c>
      <c r="L31" s="14" t="s">
        <v>54</v>
      </c>
      <c r="M31" s="14" t="s">
        <v>55</v>
      </c>
      <c r="N31" s="14" t="s">
        <v>148</v>
      </c>
      <c r="O31" s="15"/>
      <c r="P31" s="14" t="s">
        <v>226</v>
      </c>
      <c r="Q31" t="s">
        <v>376</v>
      </c>
    </row>
    <row r="32" spans="1:17" ht="15.75" customHeight="1">
      <c r="A32" s="14" t="s">
        <v>377</v>
      </c>
      <c r="B32" s="14" t="s">
        <v>49</v>
      </c>
      <c r="C32" s="14" t="s">
        <v>378</v>
      </c>
      <c r="D32" s="14" t="s">
        <v>379</v>
      </c>
      <c r="E32" s="14">
        <v>2026</v>
      </c>
      <c r="F32" s="14" t="s">
        <v>380</v>
      </c>
      <c r="G32" s="14" t="s">
        <v>381</v>
      </c>
      <c r="H32" s="14" t="s">
        <v>382</v>
      </c>
      <c r="I32" s="14"/>
      <c r="J32" s="14" t="s">
        <v>383</v>
      </c>
      <c r="K32" s="14" t="s">
        <v>384</v>
      </c>
      <c r="L32" s="14" t="s">
        <v>54</v>
      </c>
      <c r="M32" s="14" t="s">
        <v>55</v>
      </c>
      <c r="N32" s="14" t="s">
        <v>148</v>
      </c>
      <c r="O32" s="15"/>
      <c r="P32" s="14" t="s">
        <v>149</v>
      </c>
    </row>
    <row r="33" spans="1:17" ht="15.75" customHeight="1">
      <c r="A33" s="14" t="s">
        <v>385</v>
      </c>
      <c r="B33" s="14" t="s">
        <v>49</v>
      </c>
      <c r="C33" s="14" t="s">
        <v>107</v>
      </c>
      <c r="D33" s="14" t="s">
        <v>386</v>
      </c>
      <c r="E33" s="14">
        <v>2026</v>
      </c>
      <c r="F33" s="14" t="s">
        <v>292</v>
      </c>
      <c r="G33" s="14" t="s">
        <v>387</v>
      </c>
      <c r="H33" s="14" t="s">
        <v>388</v>
      </c>
      <c r="I33" s="14"/>
      <c r="J33" s="14" t="s">
        <v>185</v>
      </c>
      <c r="K33" s="14" t="s">
        <v>389</v>
      </c>
      <c r="L33" s="14" t="s">
        <v>54</v>
      </c>
      <c r="M33" s="14" t="s">
        <v>55</v>
      </c>
      <c r="N33" s="14" t="s">
        <v>148</v>
      </c>
      <c r="O33" s="15"/>
      <c r="P33" s="14" t="s">
        <v>149</v>
      </c>
    </row>
    <row r="34" spans="1:17" ht="15.75" customHeight="1">
      <c r="A34" s="14" t="s">
        <v>390</v>
      </c>
      <c r="B34" s="14" t="s">
        <v>49</v>
      </c>
      <c r="C34" s="14" t="s">
        <v>391</v>
      </c>
      <c r="D34" s="14" t="s">
        <v>392</v>
      </c>
      <c r="E34" s="14">
        <v>2022</v>
      </c>
      <c r="F34" s="14" t="s">
        <v>393</v>
      </c>
      <c r="G34" s="14" t="s">
        <v>394</v>
      </c>
      <c r="H34" s="14" t="s">
        <v>395</v>
      </c>
      <c r="I34" s="14"/>
      <c r="J34" s="14" t="s">
        <v>396</v>
      </c>
      <c r="K34" s="14" t="s">
        <v>397</v>
      </c>
      <c r="L34" s="14" t="s">
        <v>54</v>
      </c>
      <c r="M34" s="14" t="s">
        <v>55</v>
      </c>
      <c r="N34" s="14" t="s">
        <v>148</v>
      </c>
      <c r="O34" s="15"/>
      <c r="P34" s="14" t="s">
        <v>226</v>
      </c>
      <c r="Q34" t="s">
        <v>376</v>
      </c>
    </row>
    <row r="35" spans="1:17" ht="15.75" customHeight="1">
      <c r="A35" s="14" t="s">
        <v>398</v>
      </c>
      <c r="B35" s="14" t="s">
        <v>49</v>
      </c>
      <c r="C35" s="14" t="s">
        <v>399</v>
      </c>
      <c r="D35" s="14" t="s">
        <v>400</v>
      </c>
      <c r="E35" s="14">
        <v>2026</v>
      </c>
      <c r="F35" s="14" t="s">
        <v>198</v>
      </c>
      <c r="G35" s="14" t="s">
        <v>401</v>
      </c>
      <c r="H35" s="14" t="s">
        <v>402</v>
      </c>
      <c r="I35" s="14"/>
      <c r="J35" s="14" t="s">
        <v>403</v>
      </c>
      <c r="K35" s="14" t="s">
        <v>404</v>
      </c>
      <c r="L35" s="14" t="s">
        <v>54</v>
      </c>
      <c r="M35" s="14" t="s">
        <v>55</v>
      </c>
      <c r="N35" s="14" t="s">
        <v>148</v>
      </c>
      <c r="O35" s="15"/>
      <c r="P35" s="14" t="s">
        <v>149</v>
      </c>
    </row>
    <row r="36" spans="1:17" ht="15.75" customHeight="1">
      <c r="A36" s="14" t="s">
        <v>405</v>
      </c>
      <c r="B36" s="14" t="s">
        <v>49</v>
      </c>
      <c r="C36" s="14" t="s">
        <v>406</v>
      </c>
      <c r="D36" s="14" t="s">
        <v>407</v>
      </c>
      <c r="E36" s="14">
        <v>2024</v>
      </c>
      <c r="F36" s="14" t="s">
        <v>269</v>
      </c>
      <c r="G36" s="14" t="s">
        <v>408</v>
      </c>
      <c r="H36" s="14" t="s">
        <v>409</v>
      </c>
      <c r="I36" s="14"/>
      <c r="J36" s="14" t="s">
        <v>410</v>
      </c>
      <c r="K36" s="14" t="s">
        <v>411</v>
      </c>
      <c r="L36" s="14" t="s">
        <v>54</v>
      </c>
      <c r="M36" s="14" t="s">
        <v>55</v>
      </c>
      <c r="N36" s="14" t="s">
        <v>148</v>
      </c>
      <c r="O36" s="15"/>
      <c r="P36" s="14" t="s">
        <v>149</v>
      </c>
    </row>
    <row r="37" spans="1:17" ht="15.75" customHeight="1">
      <c r="A37" s="14" t="s">
        <v>412</v>
      </c>
      <c r="B37" s="14" t="s">
        <v>49</v>
      </c>
      <c r="C37" s="14" t="s">
        <v>413</v>
      </c>
      <c r="D37" s="14" t="s">
        <v>414</v>
      </c>
      <c r="E37" s="14">
        <v>2021</v>
      </c>
      <c r="F37" s="14" t="s">
        <v>415</v>
      </c>
      <c r="G37" s="14" t="s">
        <v>416</v>
      </c>
      <c r="H37" s="14" t="s">
        <v>417</v>
      </c>
      <c r="I37" s="14"/>
      <c r="J37" s="14" t="s">
        <v>418</v>
      </c>
      <c r="K37" s="15"/>
      <c r="L37" s="14" t="s">
        <v>54</v>
      </c>
      <c r="M37" s="14" t="s">
        <v>55</v>
      </c>
      <c r="N37" s="14" t="s">
        <v>148</v>
      </c>
      <c r="O37" s="15"/>
      <c r="P37" s="14" t="s">
        <v>226</v>
      </c>
      <c r="Q37" t="s">
        <v>305</v>
      </c>
    </row>
    <row r="38" spans="1:17" ht="15.75" customHeight="1">
      <c r="A38" s="14" t="s">
        <v>419</v>
      </c>
      <c r="B38" s="14" t="s">
        <v>49</v>
      </c>
      <c r="C38" s="14" t="s">
        <v>420</v>
      </c>
      <c r="D38" s="14" t="s">
        <v>421</v>
      </c>
      <c r="E38" s="14">
        <v>2024</v>
      </c>
      <c r="F38" s="14" t="s">
        <v>422</v>
      </c>
      <c r="G38" s="14" t="s">
        <v>423</v>
      </c>
      <c r="H38" s="14" t="s">
        <v>424</v>
      </c>
      <c r="I38" s="14"/>
      <c r="J38" s="14" t="s">
        <v>425</v>
      </c>
      <c r="K38" s="14" t="s">
        <v>426</v>
      </c>
      <c r="L38" s="14" t="s">
        <v>54</v>
      </c>
      <c r="M38" s="14" t="s">
        <v>55</v>
      </c>
      <c r="N38" s="14" t="s">
        <v>148</v>
      </c>
      <c r="O38" s="15"/>
      <c r="P38" s="14" t="s">
        <v>149</v>
      </c>
    </row>
    <row r="39" spans="1:17" ht="15.75" customHeight="1">
      <c r="A39" s="14" t="s">
        <v>427</v>
      </c>
      <c r="B39" s="14" t="s">
        <v>49</v>
      </c>
      <c r="C39" s="14" t="s">
        <v>428</v>
      </c>
      <c r="D39" s="14" t="s">
        <v>429</v>
      </c>
      <c r="E39" s="14">
        <v>2025</v>
      </c>
      <c r="F39" s="14" t="s">
        <v>430</v>
      </c>
      <c r="G39" s="14" t="s">
        <v>431</v>
      </c>
      <c r="H39" s="14" t="s">
        <v>432</v>
      </c>
      <c r="I39" s="14"/>
      <c r="J39" s="14" t="s">
        <v>433</v>
      </c>
      <c r="K39" s="15"/>
      <c r="L39" s="14" t="s">
        <v>54</v>
      </c>
      <c r="M39" s="14" t="s">
        <v>55</v>
      </c>
      <c r="N39" s="14" t="s">
        <v>148</v>
      </c>
      <c r="O39" s="15"/>
      <c r="P39" s="14" t="s">
        <v>226</v>
      </c>
      <c r="Q39" t="s">
        <v>434</v>
      </c>
    </row>
    <row r="40" spans="1:17" ht="15.75" customHeight="1">
      <c r="A40" s="14" t="s">
        <v>435</v>
      </c>
      <c r="B40" s="14" t="s">
        <v>49</v>
      </c>
      <c r="C40" s="14" t="s">
        <v>436</v>
      </c>
      <c r="D40" s="14" t="s">
        <v>437</v>
      </c>
      <c r="E40" s="14">
        <v>2024</v>
      </c>
      <c r="F40" s="14" t="s">
        <v>438</v>
      </c>
      <c r="G40" s="14" t="s">
        <v>439</v>
      </c>
      <c r="H40" s="14" t="s">
        <v>440</v>
      </c>
      <c r="I40" s="14"/>
      <c r="J40" s="14" t="s">
        <v>441</v>
      </c>
      <c r="K40" s="14" t="s">
        <v>442</v>
      </c>
      <c r="L40" s="14" t="s">
        <v>54</v>
      </c>
      <c r="M40" s="14" t="s">
        <v>55</v>
      </c>
      <c r="N40" s="14" t="s">
        <v>148</v>
      </c>
      <c r="O40" s="15"/>
      <c r="P40" s="14" t="s">
        <v>149</v>
      </c>
    </row>
    <row r="41" spans="1:17" ht="15.75" customHeight="1">
      <c r="A41" s="14" t="s">
        <v>443</v>
      </c>
      <c r="B41" s="14" t="s">
        <v>49</v>
      </c>
      <c r="C41" s="14" t="s">
        <v>444</v>
      </c>
      <c r="D41" s="14" t="s">
        <v>445</v>
      </c>
      <c r="E41" s="14">
        <v>2026</v>
      </c>
      <c r="F41" s="14" t="s">
        <v>415</v>
      </c>
      <c r="G41" s="14" t="s">
        <v>446</v>
      </c>
      <c r="H41" s="14" t="s">
        <v>447</v>
      </c>
      <c r="I41" s="14"/>
      <c r="J41" s="14" t="s">
        <v>448</v>
      </c>
      <c r="K41" s="14" t="s">
        <v>449</v>
      </c>
      <c r="L41" s="14" t="s">
        <v>54</v>
      </c>
      <c r="M41" s="14" t="s">
        <v>55</v>
      </c>
      <c r="N41" s="14" t="s">
        <v>148</v>
      </c>
      <c r="O41" s="15"/>
      <c r="P41" s="14" t="s">
        <v>149</v>
      </c>
    </row>
    <row r="42" spans="1:17" ht="15.75" customHeight="1">
      <c r="A42" s="14" t="s">
        <v>450</v>
      </c>
      <c r="B42" s="14" t="s">
        <v>49</v>
      </c>
      <c r="C42" s="14" t="s">
        <v>451</v>
      </c>
      <c r="D42" s="14" t="s">
        <v>452</v>
      </c>
      <c r="E42" s="14">
        <v>2026</v>
      </c>
      <c r="F42" s="14" t="s">
        <v>453</v>
      </c>
      <c r="G42" s="14" t="s">
        <v>454</v>
      </c>
      <c r="H42" s="14" t="s">
        <v>455</v>
      </c>
      <c r="I42" s="14"/>
      <c r="J42" s="14" t="s">
        <v>456</v>
      </c>
      <c r="K42" s="14" t="s">
        <v>457</v>
      </c>
      <c r="L42" s="14" t="s">
        <v>54</v>
      </c>
      <c r="M42" s="14" t="s">
        <v>55</v>
      </c>
      <c r="N42" s="14" t="s">
        <v>148</v>
      </c>
      <c r="O42" s="15"/>
      <c r="P42" s="14" t="s">
        <v>149</v>
      </c>
    </row>
    <row r="43" spans="1:17" ht="15.75" customHeight="1">
      <c r="A43" s="14" t="s">
        <v>458</v>
      </c>
      <c r="B43" s="14" t="s">
        <v>49</v>
      </c>
      <c r="C43" s="14" t="s">
        <v>459</v>
      </c>
      <c r="D43" s="14" t="s">
        <v>460</v>
      </c>
      <c r="E43" s="14">
        <v>2021</v>
      </c>
      <c r="F43" s="14" t="s">
        <v>461</v>
      </c>
      <c r="G43" s="14" t="s">
        <v>462</v>
      </c>
      <c r="H43" s="14" t="s">
        <v>463</v>
      </c>
      <c r="I43" s="14"/>
      <c r="J43" s="14" t="s">
        <v>464</v>
      </c>
      <c r="K43" s="14" t="s">
        <v>465</v>
      </c>
      <c r="L43" s="14" t="s">
        <v>54</v>
      </c>
      <c r="M43" s="14" t="s">
        <v>55</v>
      </c>
      <c r="N43" s="14" t="s">
        <v>148</v>
      </c>
      <c r="O43" s="15"/>
      <c r="P43" s="14" t="s">
        <v>226</v>
      </c>
      <c r="Q43" t="s">
        <v>305</v>
      </c>
    </row>
    <row r="44" spans="1:17" ht="15.75" customHeight="1">
      <c r="A44" s="14" t="s">
        <v>466</v>
      </c>
      <c r="B44" s="14" t="s">
        <v>49</v>
      </c>
      <c r="C44" s="14" t="s">
        <v>467</v>
      </c>
      <c r="D44" s="14" t="s">
        <v>468</v>
      </c>
      <c r="E44" s="14">
        <v>2023</v>
      </c>
      <c r="F44" s="14" t="s">
        <v>255</v>
      </c>
      <c r="G44" s="14" t="s">
        <v>469</v>
      </c>
      <c r="H44" s="14" t="s">
        <v>470</v>
      </c>
      <c r="I44" s="14"/>
      <c r="J44" s="14" t="s">
        <v>471</v>
      </c>
      <c r="K44" s="14" t="s">
        <v>472</v>
      </c>
      <c r="L44" s="14" t="s">
        <v>54</v>
      </c>
      <c r="M44" s="14" t="s">
        <v>55</v>
      </c>
      <c r="N44" s="14" t="s">
        <v>148</v>
      </c>
      <c r="O44" s="15"/>
      <c r="P44" s="14" t="s">
        <v>195</v>
      </c>
    </row>
    <row r="45" spans="1:17" ht="15.75" customHeight="1">
      <c r="A45" s="14" t="s">
        <v>473</v>
      </c>
      <c r="B45" s="14" t="s">
        <v>49</v>
      </c>
      <c r="C45" s="14" t="s">
        <v>474</v>
      </c>
      <c r="D45" s="14" t="s">
        <v>475</v>
      </c>
      <c r="E45" s="14">
        <v>2004</v>
      </c>
      <c r="F45" s="14" t="s">
        <v>476</v>
      </c>
      <c r="G45" s="14" t="s">
        <v>477</v>
      </c>
      <c r="H45" s="14" t="s">
        <v>478</v>
      </c>
      <c r="I45" s="14"/>
      <c r="J45" s="14" t="s">
        <v>479</v>
      </c>
      <c r="K45" s="14" t="s">
        <v>480</v>
      </c>
      <c r="L45" s="14" t="s">
        <v>54</v>
      </c>
      <c r="M45" s="14" t="s">
        <v>55</v>
      </c>
      <c r="N45" s="14" t="s">
        <v>148</v>
      </c>
      <c r="O45" s="15"/>
      <c r="P45" s="14" t="s">
        <v>226</v>
      </c>
      <c r="Q45" t="s">
        <v>481</v>
      </c>
    </row>
    <row r="46" spans="1:17" ht="15.75" customHeight="1">
      <c r="A46" s="14" t="s">
        <v>482</v>
      </c>
      <c r="B46" s="14" t="s">
        <v>49</v>
      </c>
      <c r="C46" s="14" t="s">
        <v>483</v>
      </c>
      <c r="D46" s="14" t="s">
        <v>484</v>
      </c>
      <c r="E46" s="14">
        <v>2026</v>
      </c>
      <c r="F46" s="14" t="s">
        <v>485</v>
      </c>
      <c r="G46" s="14" t="s">
        <v>486</v>
      </c>
      <c r="H46" s="14" t="s">
        <v>487</v>
      </c>
      <c r="I46" s="14"/>
      <c r="J46" s="14" t="s">
        <v>488</v>
      </c>
      <c r="K46" s="14" t="s">
        <v>489</v>
      </c>
      <c r="L46" s="14" t="s">
        <v>54</v>
      </c>
      <c r="M46" s="14" t="s">
        <v>55</v>
      </c>
      <c r="N46" s="14" t="s">
        <v>148</v>
      </c>
      <c r="O46" s="15"/>
      <c r="P46" s="14" t="s">
        <v>149</v>
      </c>
    </row>
    <row r="47" spans="1:17" ht="15.75" customHeight="1">
      <c r="A47" s="14" t="s">
        <v>490</v>
      </c>
      <c r="B47" s="14" t="s">
        <v>49</v>
      </c>
      <c r="C47" s="14" t="s">
        <v>491</v>
      </c>
      <c r="D47" s="14" t="s">
        <v>492</v>
      </c>
      <c r="E47" s="14">
        <v>2025</v>
      </c>
      <c r="F47" s="14" t="s">
        <v>493</v>
      </c>
      <c r="G47" s="14" t="s">
        <v>494</v>
      </c>
      <c r="H47" s="14" t="s">
        <v>495</v>
      </c>
      <c r="I47" s="14"/>
      <c r="J47" s="14" t="s">
        <v>496</v>
      </c>
      <c r="K47" s="14" t="s">
        <v>497</v>
      </c>
      <c r="L47" s="14" t="s">
        <v>54</v>
      </c>
      <c r="M47" s="14" t="s">
        <v>55</v>
      </c>
      <c r="N47" s="14" t="s">
        <v>148</v>
      </c>
      <c r="O47" s="15"/>
      <c r="P47" s="14" t="s">
        <v>149</v>
      </c>
    </row>
    <row r="48" spans="1:17" ht="15.75" customHeight="1">
      <c r="A48" s="14" t="s">
        <v>498</v>
      </c>
      <c r="B48" s="14" t="s">
        <v>49</v>
      </c>
      <c r="C48" s="14" t="s">
        <v>499</v>
      </c>
      <c r="D48" s="14" t="s">
        <v>500</v>
      </c>
      <c r="E48" s="14">
        <v>2024</v>
      </c>
      <c r="F48" s="14" t="s">
        <v>501</v>
      </c>
      <c r="G48" s="14" t="s">
        <v>502</v>
      </c>
      <c r="H48" s="14" t="s">
        <v>503</v>
      </c>
      <c r="I48" s="14"/>
      <c r="J48" s="14" t="s">
        <v>504</v>
      </c>
      <c r="K48" s="14" t="s">
        <v>505</v>
      </c>
      <c r="L48" s="14" t="s">
        <v>54</v>
      </c>
      <c r="M48" s="14" t="s">
        <v>55</v>
      </c>
      <c r="N48" s="14" t="s">
        <v>148</v>
      </c>
      <c r="O48" s="15"/>
      <c r="P48" s="14" t="s">
        <v>149</v>
      </c>
    </row>
    <row r="49" spans="1:17" ht="15.75" customHeight="1">
      <c r="A49" s="14" t="s">
        <v>506</v>
      </c>
      <c r="B49" s="14" t="s">
        <v>49</v>
      </c>
      <c r="C49" s="14" t="s">
        <v>507</v>
      </c>
      <c r="D49" s="14" t="s">
        <v>508</v>
      </c>
      <c r="E49" s="14">
        <v>2023</v>
      </c>
      <c r="F49" s="14" t="s">
        <v>509</v>
      </c>
      <c r="G49" s="14" t="s">
        <v>510</v>
      </c>
      <c r="H49" s="14" t="s">
        <v>511</v>
      </c>
      <c r="I49" s="14"/>
      <c r="J49" s="14" t="s">
        <v>512</v>
      </c>
      <c r="K49" s="14" t="s">
        <v>513</v>
      </c>
      <c r="L49" s="14" t="s">
        <v>54</v>
      </c>
      <c r="M49" s="14" t="s">
        <v>55</v>
      </c>
      <c r="N49" s="14" t="s">
        <v>148</v>
      </c>
      <c r="O49" s="15"/>
      <c r="P49" s="14" t="s">
        <v>226</v>
      </c>
      <c r="Q49" t="s">
        <v>305</v>
      </c>
    </row>
    <row r="50" spans="1:17" ht="15.75" customHeight="1">
      <c r="A50" s="14" t="s">
        <v>514</v>
      </c>
      <c r="B50" s="14" t="s">
        <v>49</v>
      </c>
      <c r="C50" s="14" t="s">
        <v>515</v>
      </c>
      <c r="D50" s="14" t="s">
        <v>516</v>
      </c>
      <c r="E50" s="14">
        <v>2019</v>
      </c>
      <c r="F50" s="14" t="s">
        <v>517</v>
      </c>
      <c r="G50" s="14" t="s">
        <v>518</v>
      </c>
      <c r="H50" s="14" t="s">
        <v>519</v>
      </c>
      <c r="I50" s="14"/>
      <c r="J50" s="14" t="s">
        <v>520</v>
      </c>
      <c r="K50" s="14" t="s">
        <v>521</v>
      </c>
      <c r="L50" s="14" t="s">
        <v>54</v>
      </c>
      <c r="M50" s="14" t="s">
        <v>55</v>
      </c>
      <c r="N50" s="14" t="s">
        <v>148</v>
      </c>
      <c r="O50" s="15"/>
      <c r="P50" s="14" t="s">
        <v>226</v>
      </c>
      <c r="Q50" t="s">
        <v>522</v>
      </c>
    </row>
    <row r="51" spans="1:17" ht="15.75" customHeight="1">
      <c r="A51" s="14" t="s">
        <v>523</v>
      </c>
      <c r="B51" s="14" t="s">
        <v>49</v>
      </c>
      <c r="C51" s="14" t="s">
        <v>524</v>
      </c>
      <c r="D51" s="14" t="s">
        <v>525</v>
      </c>
      <c r="E51" s="14">
        <v>2025</v>
      </c>
      <c r="F51" s="14" t="s">
        <v>526</v>
      </c>
      <c r="G51" s="14" t="s">
        <v>527</v>
      </c>
      <c r="H51" s="14" t="s">
        <v>528</v>
      </c>
      <c r="I51" s="14"/>
      <c r="J51" s="14" t="s">
        <v>529</v>
      </c>
      <c r="K51" s="14" t="s">
        <v>530</v>
      </c>
      <c r="L51" s="14" t="s">
        <v>54</v>
      </c>
      <c r="M51" s="14" t="s">
        <v>55</v>
      </c>
      <c r="N51" s="14" t="s">
        <v>148</v>
      </c>
      <c r="O51" s="15"/>
      <c r="P51" s="14" t="s">
        <v>226</v>
      </c>
      <c r="Q51" t="s">
        <v>305</v>
      </c>
    </row>
    <row r="52" spans="1:17" ht="15.75" customHeight="1">
      <c r="A52" s="14" t="s">
        <v>531</v>
      </c>
      <c r="B52" s="14" t="s">
        <v>49</v>
      </c>
      <c r="C52" s="14" t="s">
        <v>532</v>
      </c>
      <c r="D52" s="14" t="s">
        <v>533</v>
      </c>
      <c r="E52" s="14">
        <v>2021</v>
      </c>
      <c r="F52" s="14" t="s">
        <v>534</v>
      </c>
      <c r="G52" s="14" t="s">
        <v>535</v>
      </c>
      <c r="H52" s="14" t="s">
        <v>536</v>
      </c>
      <c r="I52" s="14"/>
      <c r="J52" s="14" t="s">
        <v>537</v>
      </c>
      <c r="K52" s="15"/>
      <c r="L52" s="14" t="s">
        <v>54</v>
      </c>
      <c r="M52" s="14" t="s">
        <v>55</v>
      </c>
      <c r="N52" s="14" t="s">
        <v>148</v>
      </c>
      <c r="O52" s="15"/>
      <c r="P52" s="14" t="s">
        <v>149</v>
      </c>
    </row>
    <row r="53" spans="1:17" ht="15.75" customHeight="1">
      <c r="A53" s="14" t="s">
        <v>538</v>
      </c>
      <c r="B53" s="14" t="s">
        <v>49</v>
      </c>
      <c r="C53" s="14" t="s">
        <v>539</v>
      </c>
      <c r="D53" s="14" t="s">
        <v>284</v>
      </c>
      <c r="E53" s="14">
        <v>2025</v>
      </c>
      <c r="F53" s="14" t="s">
        <v>540</v>
      </c>
      <c r="G53" s="14" t="s">
        <v>541</v>
      </c>
      <c r="H53" s="14" t="s">
        <v>542</v>
      </c>
      <c r="I53" s="14"/>
      <c r="J53" s="14" t="s">
        <v>543</v>
      </c>
      <c r="K53" s="14" t="s">
        <v>544</v>
      </c>
      <c r="L53" s="14" t="s">
        <v>54</v>
      </c>
      <c r="M53" s="14" t="s">
        <v>55</v>
      </c>
      <c r="N53" s="14" t="s">
        <v>148</v>
      </c>
      <c r="O53" s="15"/>
      <c r="P53" s="14" t="s">
        <v>149</v>
      </c>
    </row>
    <row r="54" spans="1:17" ht="15.75" customHeight="1">
      <c r="A54" s="14" t="s">
        <v>545</v>
      </c>
      <c r="B54" s="14" t="s">
        <v>49</v>
      </c>
      <c r="C54" s="14" t="s">
        <v>546</v>
      </c>
      <c r="D54" s="14" t="s">
        <v>547</v>
      </c>
      <c r="E54" s="14">
        <v>2025</v>
      </c>
      <c r="F54" s="14" t="s">
        <v>438</v>
      </c>
      <c r="G54" s="14" t="s">
        <v>548</v>
      </c>
      <c r="H54" s="14" t="s">
        <v>549</v>
      </c>
      <c r="I54" s="14"/>
      <c r="J54" s="14" t="s">
        <v>550</v>
      </c>
      <c r="K54" s="14" t="s">
        <v>551</v>
      </c>
      <c r="L54" s="14" t="s">
        <v>54</v>
      </c>
      <c r="M54" s="14" t="s">
        <v>55</v>
      </c>
      <c r="N54" s="14" t="s">
        <v>148</v>
      </c>
      <c r="O54" s="15"/>
      <c r="P54" s="14" t="s">
        <v>149</v>
      </c>
    </row>
    <row r="55" spans="1:17" ht="15.75" customHeight="1">
      <c r="A55" s="14" t="s">
        <v>552</v>
      </c>
      <c r="B55" s="14" t="s">
        <v>49</v>
      </c>
      <c r="C55" s="14" t="s">
        <v>553</v>
      </c>
      <c r="D55" s="14" t="s">
        <v>554</v>
      </c>
      <c r="E55" s="14">
        <v>2025</v>
      </c>
      <c r="F55" s="14" t="s">
        <v>555</v>
      </c>
      <c r="G55" s="14" t="s">
        <v>556</v>
      </c>
      <c r="H55" s="14" t="s">
        <v>557</v>
      </c>
      <c r="I55" s="14"/>
      <c r="J55" s="14" t="s">
        <v>558</v>
      </c>
      <c r="K55" s="14" t="s">
        <v>559</v>
      </c>
      <c r="L55" s="14" t="s">
        <v>54</v>
      </c>
      <c r="M55" s="14" t="s">
        <v>55</v>
      </c>
      <c r="N55" s="14" t="s">
        <v>148</v>
      </c>
      <c r="O55" s="15"/>
      <c r="P55" s="14" t="s">
        <v>195</v>
      </c>
    </row>
    <row r="56" spans="1:17" ht="15.75" customHeight="1">
      <c r="A56" s="14" t="s">
        <v>560</v>
      </c>
      <c r="B56" s="14" t="s">
        <v>49</v>
      </c>
      <c r="C56" s="14" t="s">
        <v>561</v>
      </c>
      <c r="D56" s="14" t="s">
        <v>562</v>
      </c>
      <c r="E56" s="14">
        <v>2026</v>
      </c>
      <c r="F56" s="14" t="s">
        <v>415</v>
      </c>
      <c r="G56" s="14" t="s">
        <v>563</v>
      </c>
      <c r="H56" s="14" t="s">
        <v>564</v>
      </c>
      <c r="I56" s="14"/>
      <c r="J56" s="14" t="s">
        <v>565</v>
      </c>
      <c r="K56" s="14" t="s">
        <v>566</v>
      </c>
      <c r="L56" s="14" t="s">
        <v>54</v>
      </c>
      <c r="M56" s="14" t="s">
        <v>55</v>
      </c>
      <c r="N56" s="14" t="s">
        <v>148</v>
      </c>
      <c r="O56" s="15"/>
      <c r="P56" s="14" t="s">
        <v>149</v>
      </c>
    </row>
    <row r="57" spans="1:17" ht="15.75" customHeight="1">
      <c r="A57" s="14" t="s">
        <v>567</v>
      </c>
      <c r="B57" s="14" t="s">
        <v>49</v>
      </c>
      <c r="C57" s="14" t="s">
        <v>568</v>
      </c>
      <c r="D57" s="14" t="s">
        <v>569</v>
      </c>
      <c r="E57" s="14">
        <v>2026</v>
      </c>
      <c r="F57" s="14" t="s">
        <v>570</v>
      </c>
      <c r="G57" s="14" t="s">
        <v>571</v>
      </c>
      <c r="H57" s="14" t="s">
        <v>572</v>
      </c>
      <c r="I57" s="14"/>
      <c r="J57" s="14" t="s">
        <v>573</v>
      </c>
      <c r="K57" s="14" t="s">
        <v>574</v>
      </c>
      <c r="L57" s="14" t="s">
        <v>54</v>
      </c>
      <c r="M57" s="14" t="s">
        <v>55</v>
      </c>
      <c r="N57" s="14" t="s">
        <v>148</v>
      </c>
      <c r="O57" s="15"/>
      <c r="P57" s="14" t="s">
        <v>149</v>
      </c>
    </row>
    <row r="58" spans="1:17" ht="15.75" customHeight="1">
      <c r="A58" s="14" t="s">
        <v>575</v>
      </c>
      <c r="B58" s="14" t="s">
        <v>49</v>
      </c>
      <c r="C58" s="14" t="s">
        <v>576</v>
      </c>
      <c r="D58" s="14" t="s">
        <v>577</v>
      </c>
      <c r="E58" s="14">
        <v>2022</v>
      </c>
      <c r="F58" s="14" t="s">
        <v>578</v>
      </c>
      <c r="G58" s="14" t="s">
        <v>579</v>
      </c>
      <c r="H58" s="14" t="s">
        <v>580</v>
      </c>
      <c r="I58" s="14"/>
      <c r="J58" s="14" t="s">
        <v>581</v>
      </c>
      <c r="K58" s="14" t="s">
        <v>582</v>
      </c>
      <c r="L58" s="14" t="s">
        <v>54</v>
      </c>
      <c r="M58" s="14" t="s">
        <v>55</v>
      </c>
      <c r="N58" s="14" t="s">
        <v>148</v>
      </c>
      <c r="O58" s="15"/>
      <c r="P58" s="14" t="s">
        <v>226</v>
      </c>
      <c r="Q58" t="s">
        <v>305</v>
      </c>
    </row>
    <row r="59" spans="1:17" ht="15.75" customHeight="1">
      <c r="A59" s="14" t="s">
        <v>583</v>
      </c>
      <c r="B59" s="14" t="s">
        <v>49</v>
      </c>
      <c r="C59" s="14" t="s">
        <v>584</v>
      </c>
      <c r="D59" s="14" t="s">
        <v>585</v>
      </c>
      <c r="E59" s="14">
        <v>2026</v>
      </c>
      <c r="F59" s="14" t="s">
        <v>540</v>
      </c>
      <c r="G59" s="14" t="s">
        <v>586</v>
      </c>
      <c r="H59" s="14" t="s">
        <v>587</v>
      </c>
      <c r="I59" s="14"/>
      <c r="J59" s="14" t="s">
        <v>588</v>
      </c>
      <c r="K59" s="14" t="s">
        <v>589</v>
      </c>
      <c r="L59" s="14" t="s">
        <v>54</v>
      </c>
      <c r="M59" s="14" t="s">
        <v>55</v>
      </c>
      <c r="N59" s="14" t="s">
        <v>148</v>
      </c>
      <c r="O59" s="15"/>
      <c r="P59" s="14" t="s">
        <v>149</v>
      </c>
    </row>
    <row r="60" spans="1:17" ht="15.75" customHeight="1">
      <c r="A60" s="14" t="s">
        <v>590</v>
      </c>
      <c r="B60" s="14" t="s">
        <v>49</v>
      </c>
      <c r="C60" s="14" t="s">
        <v>591</v>
      </c>
      <c r="D60" s="14" t="s">
        <v>592</v>
      </c>
      <c r="E60" s="14">
        <v>2025</v>
      </c>
      <c r="F60" s="14" t="s">
        <v>593</v>
      </c>
      <c r="G60" s="14" t="s">
        <v>594</v>
      </c>
      <c r="H60" s="14" t="s">
        <v>595</v>
      </c>
      <c r="I60" s="14"/>
      <c r="J60" s="14" t="s">
        <v>596</v>
      </c>
      <c r="K60" s="14" t="s">
        <v>597</v>
      </c>
      <c r="L60" s="14" t="s">
        <v>54</v>
      </c>
      <c r="M60" s="14" t="s">
        <v>55</v>
      </c>
      <c r="N60" s="14" t="s">
        <v>148</v>
      </c>
      <c r="O60" s="15"/>
      <c r="P60" s="14" t="s">
        <v>195</v>
      </c>
    </row>
    <row r="61" spans="1:17" ht="15.75" customHeight="1">
      <c r="A61" s="14" t="s">
        <v>598</v>
      </c>
      <c r="B61" s="14" t="s">
        <v>49</v>
      </c>
      <c r="C61" s="14" t="s">
        <v>599</v>
      </c>
      <c r="D61" s="14" t="s">
        <v>600</v>
      </c>
      <c r="E61" s="14">
        <v>2026</v>
      </c>
      <c r="F61" s="14" t="s">
        <v>231</v>
      </c>
      <c r="G61" s="14" t="s">
        <v>601</v>
      </c>
      <c r="H61" s="14" t="s">
        <v>602</v>
      </c>
      <c r="I61" s="14"/>
      <c r="J61" s="14" t="s">
        <v>603</v>
      </c>
      <c r="K61" s="14" t="s">
        <v>604</v>
      </c>
      <c r="L61" s="14" t="s">
        <v>54</v>
      </c>
      <c r="M61" s="14" t="s">
        <v>55</v>
      </c>
      <c r="N61" s="14" t="s">
        <v>148</v>
      </c>
      <c r="O61" s="15"/>
      <c r="P61" s="14" t="s">
        <v>195</v>
      </c>
    </row>
    <row r="62" spans="1:17" ht="15.75" customHeight="1">
      <c r="A62" s="14" t="s">
        <v>605</v>
      </c>
      <c r="B62" s="14" t="s">
        <v>49</v>
      </c>
      <c r="C62" s="14" t="s">
        <v>606</v>
      </c>
      <c r="D62" s="14" t="s">
        <v>607</v>
      </c>
      <c r="E62" s="14">
        <v>2026</v>
      </c>
      <c r="F62" s="14" t="s">
        <v>255</v>
      </c>
      <c r="G62" s="14" t="s">
        <v>608</v>
      </c>
      <c r="H62" s="14" t="s">
        <v>609</v>
      </c>
      <c r="I62" s="14"/>
      <c r="J62" s="14" t="s">
        <v>610</v>
      </c>
      <c r="K62" s="14" t="s">
        <v>611</v>
      </c>
      <c r="L62" s="14" t="s">
        <v>54</v>
      </c>
      <c r="M62" s="14" t="s">
        <v>55</v>
      </c>
      <c r="N62" s="14" t="s">
        <v>148</v>
      </c>
      <c r="O62" s="15"/>
      <c r="P62" s="14" t="s">
        <v>360</v>
      </c>
      <c r="Q62" t="s">
        <v>612</v>
      </c>
    </row>
    <row r="63" spans="1:17" ht="15.75" customHeight="1">
      <c r="A63" s="14" t="s">
        <v>613</v>
      </c>
      <c r="B63" s="14" t="s">
        <v>49</v>
      </c>
      <c r="C63" s="14" t="s">
        <v>614</v>
      </c>
      <c r="D63" s="14" t="s">
        <v>615</v>
      </c>
      <c r="E63" s="14">
        <v>2024</v>
      </c>
      <c r="F63" s="14" t="s">
        <v>438</v>
      </c>
      <c r="G63" s="14" t="s">
        <v>616</v>
      </c>
      <c r="H63" s="14" t="s">
        <v>617</v>
      </c>
      <c r="I63" s="14"/>
      <c r="J63" s="14" t="s">
        <v>618</v>
      </c>
      <c r="K63" s="14" t="s">
        <v>619</v>
      </c>
      <c r="L63" s="14" t="s">
        <v>54</v>
      </c>
      <c r="M63" s="14" t="s">
        <v>55</v>
      </c>
      <c r="N63" s="14" t="s">
        <v>148</v>
      </c>
      <c r="O63" s="15"/>
      <c r="P63" s="14" t="s">
        <v>149</v>
      </c>
    </row>
    <row r="64" spans="1:17" ht="15.75" customHeight="1">
      <c r="A64" s="14" t="s">
        <v>620</v>
      </c>
      <c r="B64" s="14" t="s">
        <v>49</v>
      </c>
      <c r="C64" s="14" t="s">
        <v>621</v>
      </c>
      <c r="D64" s="14" t="s">
        <v>622</v>
      </c>
      <c r="E64" s="14">
        <v>2026</v>
      </c>
      <c r="F64" s="14" t="s">
        <v>623</v>
      </c>
      <c r="G64" s="14" t="s">
        <v>624</v>
      </c>
      <c r="H64" s="14" t="s">
        <v>625</v>
      </c>
      <c r="I64" s="14"/>
      <c r="J64" s="14" t="s">
        <v>626</v>
      </c>
      <c r="K64" s="15"/>
      <c r="L64" s="14" t="s">
        <v>54</v>
      </c>
      <c r="M64" s="14" t="s">
        <v>55</v>
      </c>
      <c r="N64" s="14" t="s">
        <v>148</v>
      </c>
      <c r="O64" s="15"/>
      <c r="P64" s="14" t="s">
        <v>149</v>
      </c>
    </row>
    <row r="65" spans="1:17" ht="15.75" customHeight="1">
      <c r="A65" s="14" t="s">
        <v>627</v>
      </c>
      <c r="B65" s="14" t="s">
        <v>49</v>
      </c>
      <c r="C65" s="14" t="s">
        <v>628</v>
      </c>
      <c r="D65" s="14" t="s">
        <v>629</v>
      </c>
      <c r="E65" s="14">
        <v>2025</v>
      </c>
      <c r="F65" s="14" t="s">
        <v>356</v>
      </c>
      <c r="G65" s="14" t="s">
        <v>630</v>
      </c>
      <c r="H65" s="14" t="s">
        <v>631</v>
      </c>
      <c r="I65" s="14"/>
      <c r="J65" s="14" t="s">
        <v>632</v>
      </c>
      <c r="K65" s="15"/>
      <c r="L65" s="14" t="s">
        <v>54</v>
      </c>
      <c r="M65" s="14" t="s">
        <v>55</v>
      </c>
      <c r="N65" s="14" t="s">
        <v>148</v>
      </c>
      <c r="O65" s="15"/>
      <c r="P65" s="14" t="s">
        <v>149</v>
      </c>
    </row>
    <row r="66" spans="1:17" ht="15.75" customHeight="1">
      <c r="A66" s="14" t="s">
        <v>633</v>
      </c>
      <c r="B66" s="14" t="s">
        <v>49</v>
      </c>
      <c r="C66" s="14" t="s">
        <v>634</v>
      </c>
      <c r="D66" s="14" t="s">
        <v>635</v>
      </c>
      <c r="E66" s="14">
        <v>2026</v>
      </c>
      <c r="F66" s="14" t="s">
        <v>636</v>
      </c>
      <c r="G66" s="14" t="s">
        <v>637</v>
      </c>
      <c r="H66" s="14" t="s">
        <v>638</v>
      </c>
      <c r="I66" s="14"/>
      <c r="J66" s="14" t="s">
        <v>639</v>
      </c>
      <c r="K66" s="14" t="s">
        <v>640</v>
      </c>
      <c r="L66" s="14" t="s">
        <v>54</v>
      </c>
      <c r="M66" s="14" t="s">
        <v>55</v>
      </c>
      <c r="N66" s="14" t="s">
        <v>148</v>
      </c>
      <c r="O66" s="15"/>
      <c r="P66" s="14" t="s">
        <v>149</v>
      </c>
    </row>
    <row r="67" spans="1:17" ht="15.75" customHeight="1">
      <c r="A67" s="14" t="s">
        <v>641</v>
      </c>
      <c r="B67" s="14" t="s">
        <v>49</v>
      </c>
      <c r="C67" s="14" t="s">
        <v>642</v>
      </c>
      <c r="D67" s="14" t="s">
        <v>643</v>
      </c>
      <c r="E67" s="14">
        <v>2025</v>
      </c>
      <c r="F67" s="14" t="s">
        <v>644</v>
      </c>
      <c r="G67" s="14" t="s">
        <v>645</v>
      </c>
      <c r="H67" s="14" t="s">
        <v>646</v>
      </c>
      <c r="I67" s="14"/>
      <c r="J67" s="14" t="s">
        <v>647</v>
      </c>
      <c r="K67" s="14" t="s">
        <v>648</v>
      </c>
      <c r="L67" s="14" t="s">
        <v>54</v>
      </c>
      <c r="M67" s="14" t="s">
        <v>55</v>
      </c>
      <c r="N67" s="14" t="s">
        <v>148</v>
      </c>
      <c r="O67" s="15"/>
      <c r="P67" s="14" t="s">
        <v>149</v>
      </c>
    </row>
    <row r="68" spans="1:17" ht="15.75" customHeight="1">
      <c r="A68" s="14" t="s">
        <v>649</v>
      </c>
      <c r="B68" s="14" t="s">
        <v>49</v>
      </c>
      <c r="C68" s="14" t="s">
        <v>650</v>
      </c>
      <c r="D68" s="14" t="s">
        <v>651</v>
      </c>
      <c r="E68" s="14">
        <v>2026</v>
      </c>
      <c r="F68" s="14" t="s">
        <v>623</v>
      </c>
      <c r="G68" s="14" t="s">
        <v>652</v>
      </c>
      <c r="H68" s="14" t="s">
        <v>653</v>
      </c>
      <c r="I68" s="14"/>
      <c r="J68" s="14" t="s">
        <v>654</v>
      </c>
      <c r="K68" s="15"/>
      <c r="L68" s="14" t="s">
        <v>54</v>
      </c>
      <c r="M68" s="14" t="s">
        <v>55</v>
      </c>
      <c r="N68" s="14" t="s">
        <v>148</v>
      </c>
      <c r="O68" s="15"/>
      <c r="P68" s="14" t="s">
        <v>149</v>
      </c>
    </row>
    <row r="69" spans="1:17" ht="15.75" customHeight="1">
      <c r="A69" s="14" t="s">
        <v>655</v>
      </c>
      <c r="B69" s="14" t="s">
        <v>49</v>
      </c>
      <c r="C69" s="14" t="s">
        <v>656</v>
      </c>
      <c r="D69" s="14" t="s">
        <v>657</v>
      </c>
      <c r="E69" s="14">
        <v>2026</v>
      </c>
      <c r="F69" s="14" t="s">
        <v>658</v>
      </c>
      <c r="G69" s="14" t="s">
        <v>659</v>
      </c>
      <c r="H69" s="14" t="s">
        <v>660</v>
      </c>
      <c r="I69" s="14"/>
      <c r="J69" s="14" t="s">
        <v>661</v>
      </c>
      <c r="K69" s="14" t="s">
        <v>662</v>
      </c>
      <c r="L69" s="14" t="s">
        <v>54</v>
      </c>
      <c r="M69" s="14" t="s">
        <v>55</v>
      </c>
      <c r="N69" s="14" t="s">
        <v>148</v>
      </c>
      <c r="O69" s="15"/>
      <c r="P69" s="14" t="s">
        <v>226</v>
      </c>
      <c r="Q69" t="s">
        <v>434</v>
      </c>
    </row>
    <row r="70" spans="1:17" ht="15.75" customHeight="1">
      <c r="A70" s="14" t="s">
        <v>663</v>
      </c>
      <c r="B70" s="14" t="s">
        <v>49</v>
      </c>
      <c r="C70" s="14" t="s">
        <v>664</v>
      </c>
      <c r="D70" s="14" t="s">
        <v>665</v>
      </c>
      <c r="E70" s="14">
        <v>2025</v>
      </c>
      <c r="F70" s="14" t="s">
        <v>438</v>
      </c>
      <c r="G70" s="14" t="s">
        <v>666</v>
      </c>
      <c r="H70" s="14" t="s">
        <v>667</v>
      </c>
      <c r="I70" s="14"/>
      <c r="J70" s="14" t="s">
        <v>668</v>
      </c>
      <c r="K70" s="14" t="s">
        <v>669</v>
      </c>
      <c r="L70" s="14" t="s">
        <v>54</v>
      </c>
      <c r="M70" s="14" t="s">
        <v>55</v>
      </c>
      <c r="N70" s="14" t="s">
        <v>148</v>
      </c>
      <c r="O70" s="15"/>
      <c r="P70" s="14" t="s">
        <v>149</v>
      </c>
    </row>
    <row r="71" spans="1:17" ht="15.75" customHeight="1">
      <c r="A71" s="14" t="s">
        <v>670</v>
      </c>
      <c r="B71" s="14" t="s">
        <v>49</v>
      </c>
      <c r="C71" s="14" t="s">
        <v>671</v>
      </c>
      <c r="D71" s="14" t="s">
        <v>672</v>
      </c>
      <c r="E71" s="14">
        <v>2024</v>
      </c>
      <c r="F71" s="14" t="s">
        <v>673</v>
      </c>
      <c r="G71" s="14" t="s">
        <v>674</v>
      </c>
      <c r="H71" s="14" t="s">
        <v>675</v>
      </c>
      <c r="I71" s="14"/>
      <c r="J71" s="14" t="s">
        <v>676</v>
      </c>
      <c r="K71" s="14" t="s">
        <v>677</v>
      </c>
      <c r="L71" s="14" t="s">
        <v>54</v>
      </c>
      <c r="M71" s="14" t="s">
        <v>55</v>
      </c>
      <c r="N71" s="14" t="s">
        <v>148</v>
      </c>
      <c r="O71" s="15"/>
      <c r="P71" s="14" t="s">
        <v>149</v>
      </c>
    </row>
    <row r="72" spans="1:17" ht="15.75" customHeight="1">
      <c r="A72" s="14" t="s">
        <v>678</v>
      </c>
      <c r="B72" s="14" t="s">
        <v>49</v>
      </c>
      <c r="C72" s="14" t="s">
        <v>679</v>
      </c>
      <c r="D72" s="14" t="s">
        <v>246</v>
      </c>
      <c r="E72" s="14">
        <v>2024</v>
      </c>
      <c r="F72" s="14" t="s">
        <v>269</v>
      </c>
      <c r="G72" s="14" t="s">
        <v>680</v>
      </c>
      <c r="H72" s="14" t="s">
        <v>681</v>
      </c>
      <c r="I72" s="14"/>
      <c r="J72" s="14" t="s">
        <v>682</v>
      </c>
      <c r="K72" s="14" t="s">
        <v>683</v>
      </c>
      <c r="L72" s="14" t="s">
        <v>54</v>
      </c>
      <c r="M72" s="14" t="s">
        <v>55</v>
      </c>
      <c r="N72" s="14" t="s">
        <v>148</v>
      </c>
      <c r="O72" s="15"/>
      <c r="P72" s="14" t="s">
        <v>149</v>
      </c>
    </row>
    <row r="73" spans="1:17" ht="15.75" customHeight="1">
      <c r="A73" s="14" t="s">
        <v>684</v>
      </c>
      <c r="B73" s="14" t="s">
        <v>49</v>
      </c>
      <c r="C73" s="14" t="s">
        <v>104</v>
      </c>
      <c r="D73" s="14" t="s">
        <v>685</v>
      </c>
      <c r="E73" s="14">
        <v>2026</v>
      </c>
      <c r="F73" s="14" t="s">
        <v>182</v>
      </c>
      <c r="G73" s="14" t="s">
        <v>686</v>
      </c>
      <c r="H73" s="14" t="s">
        <v>687</v>
      </c>
      <c r="I73" s="14"/>
      <c r="J73" s="14" t="s">
        <v>688</v>
      </c>
      <c r="K73" s="14" t="s">
        <v>689</v>
      </c>
      <c r="L73" s="14" t="s">
        <v>54</v>
      </c>
      <c r="M73" s="14" t="s">
        <v>55</v>
      </c>
      <c r="N73" s="14" t="s">
        <v>148</v>
      </c>
      <c r="O73" s="15"/>
      <c r="P73" s="14" t="s">
        <v>149</v>
      </c>
    </row>
    <row r="74" spans="1:17" ht="15.75" customHeight="1">
      <c r="A74" s="14" t="s">
        <v>690</v>
      </c>
      <c r="B74" s="14" t="s">
        <v>49</v>
      </c>
      <c r="C74" s="14" t="s">
        <v>691</v>
      </c>
      <c r="D74" s="14" t="s">
        <v>692</v>
      </c>
      <c r="E74" s="14">
        <v>2025</v>
      </c>
      <c r="F74" s="14" t="s">
        <v>693</v>
      </c>
      <c r="G74" s="14" t="s">
        <v>694</v>
      </c>
      <c r="H74" s="14" t="s">
        <v>695</v>
      </c>
      <c r="I74" s="14"/>
      <c r="J74" s="14" t="s">
        <v>696</v>
      </c>
      <c r="K74" s="14" t="s">
        <v>697</v>
      </c>
      <c r="L74" s="14" t="s">
        <v>54</v>
      </c>
      <c r="M74" s="14" t="s">
        <v>55</v>
      </c>
      <c r="N74" s="14" t="s">
        <v>148</v>
      </c>
      <c r="O74" s="15"/>
      <c r="P74" s="14" t="s">
        <v>149</v>
      </c>
    </row>
    <row r="75" spans="1:17" ht="15.75" customHeight="1">
      <c r="A75" s="14" t="s">
        <v>698</v>
      </c>
      <c r="B75" s="14" t="s">
        <v>49</v>
      </c>
      <c r="C75" s="14" t="s">
        <v>699</v>
      </c>
      <c r="D75" s="14" t="s">
        <v>700</v>
      </c>
      <c r="E75" s="14">
        <v>2025</v>
      </c>
      <c r="F75" s="14" t="s">
        <v>255</v>
      </c>
      <c r="G75" s="14" t="s">
        <v>701</v>
      </c>
      <c r="H75" s="14" t="s">
        <v>702</v>
      </c>
      <c r="I75" s="14"/>
      <c r="J75" s="14" t="s">
        <v>703</v>
      </c>
      <c r="K75" s="14" t="s">
        <v>704</v>
      </c>
      <c r="L75" s="14" t="s">
        <v>54</v>
      </c>
      <c r="M75" s="14" t="s">
        <v>55</v>
      </c>
      <c r="N75" s="14" t="s">
        <v>148</v>
      </c>
      <c r="O75" s="15"/>
      <c r="P75" s="14" t="s">
        <v>226</v>
      </c>
      <c r="Q75" t="s">
        <v>434</v>
      </c>
    </row>
    <row r="76" spans="1:17" ht="15.75" customHeight="1">
      <c r="A76" s="14" t="s">
        <v>705</v>
      </c>
      <c r="B76" s="14" t="s">
        <v>49</v>
      </c>
      <c r="C76" s="14" t="s">
        <v>706</v>
      </c>
      <c r="D76" s="14" t="s">
        <v>707</v>
      </c>
      <c r="E76" s="14">
        <v>2026</v>
      </c>
      <c r="F76" s="14" t="s">
        <v>239</v>
      </c>
      <c r="G76" s="14" t="s">
        <v>708</v>
      </c>
      <c r="H76" s="14" t="s">
        <v>709</v>
      </c>
      <c r="I76" s="14"/>
      <c r="J76" s="14" t="s">
        <v>710</v>
      </c>
      <c r="K76" s="14" t="s">
        <v>711</v>
      </c>
      <c r="L76" s="14" t="s">
        <v>54</v>
      </c>
      <c r="M76" s="14" t="s">
        <v>55</v>
      </c>
      <c r="N76" s="14" t="s">
        <v>148</v>
      </c>
      <c r="O76" s="15"/>
      <c r="P76" s="14" t="s">
        <v>195</v>
      </c>
    </row>
    <row r="77" spans="1:17" ht="15.75" customHeight="1">
      <c r="A77" s="14" t="s">
        <v>712</v>
      </c>
      <c r="B77" s="14" t="s">
        <v>49</v>
      </c>
      <c r="C77" s="14" t="s">
        <v>713</v>
      </c>
      <c r="D77" s="14" t="s">
        <v>714</v>
      </c>
      <c r="E77" s="14">
        <v>2025</v>
      </c>
      <c r="F77" s="14" t="s">
        <v>715</v>
      </c>
      <c r="G77" s="14" t="s">
        <v>716</v>
      </c>
      <c r="H77" s="14" t="s">
        <v>717</v>
      </c>
      <c r="I77" s="14"/>
      <c r="J77" s="14" t="s">
        <v>718</v>
      </c>
      <c r="K77" s="15"/>
      <c r="L77" s="14" t="s">
        <v>54</v>
      </c>
      <c r="M77" s="14" t="s">
        <v>55</v>
      </c>
      <c r="N77" s="14" t="s">
        <v>148</v>
      </c>
      <c r="O77" s="15"/>
      <c r="P77" s="14" t="s">
        <v>149</v>
      </c>
    </row>
    <row r="78" spans="1:17" ht="15.75" customHeight="1">
      <c r="A78" s="14" t="s">
        <v>719</v>
      </c>
      <c r="B78" s="14" t="s">
        <v>49</v>
      </c>
      <c r="C78" s="14" t="s">
        <v>720</v>
      </c>
      <c r="D78" s="14" t="s">
        <v>721</v>
      </c>
      <c r="E78" s="14">
        <v>2025</v>
      </c>
      <c r="F78" s="14" t="s">
        <v>182</v>
      </c>
      <c r="G78" s="14" t="s">
        <v>722</v>
      </c>
      <c r="H78" s="14" t="s">
        <v>723</v>
      </c>
      <c r="I78" s="14"/>
      <c r="J78" s="14" t="s">
        <v>724</v>
      </c>
      <c r="K78" s="14" t="s">
        <v>725</v>
      </c>
      <c r="L78" s="14" t="s">
        <v>54</v>
      </c>
      <c r="M78" s="14" t="s">
        <v>55</v>
      </c>
      <c r="N78" s="14" t="s">
        <v>148</v>
      </c>
      <c r="O78" s="15"/>
      <c r="P78" s="14" t="s">
        <v>149</v>
      </c>
    </row>
    <row r="79" spans="1:17" ht="15.75" customHeight="1">
      <c r="A79" s="14" t="s">
        <v>726</v>
      </c>
      <c r="B79" s="14" t="s">
        <v>49</v>
      </c>
      <c r="C79" s="14" t="s">
        <v>727</v>
      </c>
      <c r="D79" s="14" t="s">
        <v>728</v>
      </c>
      <c r="E79" s="14">
        <v>2022</v>
      </c>
      <c r="F79" s="14" t="s">
        <v>729</v>
      </c>
      <c r="G79" s="14" t="s">
        <v>730</v>
      </c>
      <c r="H79" s="14" t="s">
        <v>731</v>
      </c>
      <c r="I79" s="14"/>
      <c r="J79" s="14" t="s">
        <v>732</v>
      </c>
      <c r="K79" s="14" t="s">
        <v>733</v>
      </c>
      <c r="L79" s="14" t="s">
        <v>54</v>
      </c>
      <c r="M79" s="14" t="s">
        <v>55</v>
      </c>
      <c r="N79" s="14" t="s">
        <v>148</v>
      </c>
      <c r="O79" s="15"/>
      <c r="P79" s="14" t="s">
        <v>149</v>
      </c>
    </row>
    <row r="80" spans="1:17" ht="15.75" customHeight="1">
      <c r="A80" s="14" t="s">
        <v>734</v>
      </c>
      <c r="B80" s="14" t="s">
        <v>49</v>
      </c>
      <c r="C80" s="14" t="s">
        <v>735</v>
      </c>
      <c r="D80" s="14" t="s">
        <v>736</v>
      </c>
      <c r="E80" s="14">
        <v>2026</v>
      </c>
      <c r="F80" s="14" t="s">
        <v>422</v>
      </c>
      <c r="G80" s="14" t="s">
        <v>737</v>
      </c>
      <c r="H80" s="14" t="s">
        <v>738</v>
      </c>
      <c r="I80" s="14"/>
      <c r="J80" s="14" t="s">
        <v>739</v>
      </c>
      <c r="K80" s="14" t="s">
        <v>740</v>
      </c>
      <c r="L80" s="14" t="s">
        <v>54</v>
      </c>
      <c r="M80" s="14" t="s">
        <v>55</v>
      </c>
      <c r="N80" s="14" t="s">
        <v>148</v>
      </c>
      <c r="O80" s="15"/>
      <c r="P80" s="14" t="s">
        <v>195</v>
      </c>
    </row>
    <row r="81" spans="1:17" ht="15.75" customHeight="1">
      <c r="A81" s="14" t="s">
        <v>741</v>
      </c>
      <c r="B81" s="14" t="s">
        <v>49</v>
      </c>
      <c r="C81" s="14" t="s">
        <v>742</v>
      </c>
      <c r="D81" s="14" t="s">
        <v>743</v>
      </c>
      <c r="E81" s="14">
        <v>2026</v>
      </c>
      <c r="F81" s="14" t="s">
        <v>744</v>
      </c>
      <c r="G81" s="14" t="s">
        <v>745</v>
      </c>
      <c r="H81" s="14" t="s">
        <v>746</v>
      </c>
      <c r="I81" s="14"/>
      <c r="J81" s="14" t="s">
        <v>747</v>
      </c>
      <c r="K81" s="14" t="s">
        <v>748</v>
      </c>
      <c r="L81" s="14" t="s">
        <v>54</v>
      </c>
      <c r="M81" s="14" t="s">
        <v>55</v>
      </c>
      <c r="N81" s="14" t="s">
        <v>148</v>
      </c>
      <c r="O81" s="15"/>
      <c r="P81" s="14" t="s">
        <v>149</v>
      </c>
    </row>
    <row r="82" spans="1:17" ht="15.75" customHeight="1">
      <c r="A82" s="14" t="s">
        <v>749</v>
      </c>
      <c r="B82" s="14" t="s">
        <v>49</v>
      </c>
      <c r="C82" s="14" t="s">
        <v>750</v>
      </c>
      <c r="D82" s="14" t="s">
        <v>751</v>
      </c>
      <c r="E82" s="14">
        <v>2024</v>
      </c>
      <c r="F82" s="14" t="s">
        <v>438</v>
      </c>
      <c r="G82" s="14" t="s">
        <v>752</v>
      </c>
      <c r="H82" s="14" t="s">
        <v>753</v>
      </c>
      <c r="I82" s="14"/>
      <c r="J82" s="14" t="s">
        <v>754</v>
      </c>
      <c r="K82" s="14" t="s">
        <v>755</v>
      </c>
      <c r="L82" s="14" t="s">
        <v>54</v>
      </c>
      <c r="M82" s="14" t="s">
        <v>55</v>
      </c>
      <c r="N82" s="14" t="s">
        <v>148</v>
      </c>
      <c r="O82" s="15"/>
      <c r="P82" s="14" t="s">
        <v>149</v>
      </c>
    </row>
    <row r="83" spans="1:17" ht="15.75" customHeight="1">
      <c r="A83" s="14" t="s">
        <v>756</v>
      </c>
      <c r="B83" s="14" t="s">
        <v>49</v>
      </c>
      <c r="C83" s="14" t="s">
        <v>757</v>
      </c>
      <c r="D83" s="14" t="s">
        <v>758</v>
      </c>
      <c r="E83" s="14">
        <v>2026</v>
      </c>
      <c r="F83" s="14" t="s">
        <v>759</v>
      </c>
      <c r="G83" s="14" t="s">
        <v>760</v>
      </c>
      <c r="H83" s="14" t="s">
        <v>761</v>
      </c>
      <c r="I83" s="14"/>
      <c r="J83" s="14" t="s">
        <v>762</v>
      </c>
      <c r="K83" s="14" t="s">
        <v>763</v>
      </c>
      <c r="L83" s="14" t="s">
        <v>54</v>
      </c>
      <c r="M83" s="14" t="s">
        <v>55</v>
      </c>
      <c r="N83" s="14" t="s">
        <v>148</v>
      </c>
      <c r="O83" s="15"/>
      <c r="P83" s="14" t="s">
        <v>149</v>
      </c>
    </row>
    <row r="84" spans="1:17" ht="15.75" customHeight="1">
      <c r="A84" s="14" t="s">
        <v>764</v>
      </c>
      <c r="B84" s="14" t="s">
        <v>49</v>
      </c>
      <c r="C84" s="14" t="s">
        <v>765</v>
      </c>
      <c r="D84" s="14" t="s">
        <v>766</v>
      </c>
      <c r="E84" s="14">
        <v>2026</v>
      </c>
      <c r="F84" s="14" t="s">
        <v>570</v>
      </c>
      <c r="G84" s="14" t="s">
        <v>767</v>
      </c>
      <c r="H84" s="14" t="s">
        <v>768</v>
      </c>
      <c r="I84" s="14"/>
      <c r="J84" s="14" t="s">
        <v>769</v>
      </c>
      <c r="K84" s="14" t="s">
        <v>770</v>
      </c>
      <c r="L84" s="14" t="s">
        <v>54</v>
      </c>
      <c r="M84" s="14" t="s">
        <v>55</v>
      </c>
      <c r="N84" s="14" t="s">
        <v>148</v>
      </c>
      <c r="O84" s="15"/>
      <c r="P84" s="14" t="s">
        <v>149</v>
      </c>
    </row>
    <row r="85" spans="1:17" ht="15.75" customHeight="1">
      <c r="A85" s="14" t="s">
        <v>771</v>
      </c>
      <c r="B85" s="14" t="s">
        <v>49</v>
      </c>
      <c r="C85" s="14" t="s">
        <v>772</v>
      </c>
      <c r="D85" s="14" t="s">
        <v>773</v>
      </c>
      <c r="E85" s="14">
        <v>2024</v>
      </c>
      <c r="F85" s="14" t="s">
        <v>255</v>
      </c>
      <c r="G85" s="14" t="s">
        <v>774</v>
      </c>
      <c r="H85" s="14" t="s">
        <v>775</v>
      </c>
      <c r="I85" s="14"/>
      <c r="J85" s="14" t="s">
        <v>776</v>
      </c>
      <c r="K85" s="14" t="s">
        <v>777</v>
      </c>
      <c r="L85" s="14" t="s">
        <v>54</v>
      </c>
      <c r="M85" s="14" t="s">
        <v>55</v>
      </c>
      <c r="N85" s="14" t="s">
        <v>148</v>
      </c>
      <c r="O85" s="15"/>
      <c r="P85" s="14" t="s">
        <v>195</v>
      </c>
    </row>
    <row r="86" spans="1:17" ht="15.75" customHeight="1">
      <c r="A86" s="14" t="s">
        <v>778</v>
      </c>
      <c r="B86" s="14" t="s">
        <v>49</v>
      </c>
      <c r="C86" s="14" t="s">
        <v>779</v>
      </c>
      <c r="D86" s="14" t="s">
        <v>780</v>
      </c>
      <c r="E86" s="14">
        <v>2024</v>
      </c>
      <c r="F86" s="14" t="s">
        <v>438</v>
      </c>
      <c r="G86" s="14" t="s">
        <v>781</v>
      </c>
      <c r="H86" s="14" t="s">
        <v>782</v>
      </c>
      <c r="I86" s="14"/>
      <c r="J86" s="14" t="s">
        <v>783</v>
      </c>
      <c r="K86" s="14" t="s">
        <v>784</v>
      </c>
      <c r="L86" s="14" t="s">
        <v>54</v>
      </c>
      <c r="M86" s="14" t="s">
        <v>55</v>
      </c>
      <c r="N86" s="14" t="s">
        <v>148</v>
      </c>
      <c r="O86" s="15"/>
      <c r="P86" s="14" t="s">
        <v>149</v>
      </c>
    </row>
    <row r="87" spans="1:17" ht="15.75" customHeight="1">
      <c r="A87" s="14" t="s">
        <v>785</v>
      </c>
      <c r="B87" s="14" t="s">
        <v>49</v>
      </c>
      <c r="C87" s="14" t="s">
        <v>786</v>
      </c>
      <c r="D87" s="14" t="s">
        <v>787</v>
      </c>
      <c r="E87" s="14">
        <v>2026</v>
      </c>
      <c r="F87" s="14" t="s">
        <v>744</v>
      </c>
      <c r="G87" s="14" t="s">
        <v>788</v>
      </c>
      <c r="H87" s="14" t="s">
        <v>789</v>
      </c>
      <c r="I87" s="14"/>
      <c r="J87" s="14" t="s">
        <v>790</v>
      </c>
      <c r="K87" s="14" t="s">
        <v>791</v>
      </c>
      <c r="L87" s="14" t="s">
        <v>54</v>
      </c>
      <c r="M87" s="14" t="s">
        <v>55</v>
      </c>
      <c r="N87" s="14" t="s">
        <v>148</v>
      </c>
      <c r="O87" s="15"/>
      <c r="P87" s="14" t="s">
        <v>149</v>
      </c>
    </row>
    <row r="88" spans="1:17" ht="15.75" customHeight="1">
      <c r="A88" s="14" t="s">
        <v>792</v>
      </c>
      <c r="B88" s="14" t="s">
        <v>49</v>
      </c>
      <c r="C88" s="14" t="s">
        <v>793</v>
      </c>
      <c r="D88" s="14" t="s">
        <v>794</v>
      </c>
      <c r="E88" s="14">
        <v>2026</v>
      </c>
      <c r="F88" s="14" t="s">
        <v>795</v>
      </c>
      <c r="G88" s="14" t="s">
        <v>796</v>
      </c>
      <c r="H88" s="14" t="s">
        <v>797</v>
      </c>
      <c r="I88" s="14"/>
      <c r="J88" s="15"/>
      <c r="K88" s="15"/>
      <c r="L88" s="14" t="s">
        <v>54</v>
      </c>
      <c r="M88" s="14" t="s">
        <v>55</v>
      </c>
      <c r="N88" s="14" t="s">
        <v>148</v>
      </c>
      <c r="O88" s="15"/>
      <c r="P88" s="14" t="s">
        <v>195</v>
      </c>
    </row>
    <row r="89" spans="1:17" ht="15.75" customHeight="1">
      <c r="A89" s="14" t="s">
        <v>798</v>
      </c>
      <c r="B89" s="14" t="s">
        <v>49</v>
      </c>
      <c r="C89" s="14" t="s">
        <v>799</v>
      </c>
      <c r="D89" s="14" t="s">
        <v>800</v>
      </c>
      <c r="E89" s="14">
        <v>2026</v>
      </c>
      <c r="F89" s="14" t="s">
        <v>453</v>
      </c>
      <c r="G89" s="14" t="s">
        <v>801</v>
      </c>
      <c r="H89" s="14" t="s">
        <v>802</v>
      </c>
      <c r="I89" s="14"/>
      <c r="J89" s="14" t="s">
        <v>803</v>
      </c>
      <c r="K89" s="14" t="s">
        <v>804</v>
      </c>
      <c r="L89" s="14" t="s">
        <v>54</v>
      </c>
      <c r="M89" s="14" t="s">
        <v>55</v>
      </c>
      <c r="N89" s="14" t="s">
        <v>148</v>
      </c>
      <c r="O89" s="15"/>
      <c r="P89" s="14" t="s">
        <v>195</v>
      </c>
    </row>
    <row r="90" spans="1:17" ht="15.75" customHeight="1">
      <c r="A90" s="14" t="s">
        <v>805</v>
      </c>
      <c r="B90" s="14" t="s">
        <v>49</v>
      </c>
      <c r="C90" s="14" t="s">
        <v>806</v>
      </c>
      <c r="D90" s="14" t="s">
        <v>807</v>
      </c>
      <c r="E90" s="14">
        <v>2025</v>
      </c>
      <c r="F90" s="14" t="s">
        <v>808</v>
      </c>
      <c r="G90" s="14" t="s">
        <v>809</v>
      </c>
      <c r="H90" s="14" t="s">
        <v>810</v>
      </c>
      <c r="I90" s="14"/>
      <c r="J90" s="14" t="s">
        <v>811</v>
      </c>
      <c r="K90" s="15"/>
      <c r="L90" s="14" t="s">
        <v>54</v>
      </c>
      <c r="M90" s="14" t="s">
        <v>55</v>
      </c>
      <c r="N90" s="14" t="s">
        <v>148</v>
      </c>
      <c r="O90" s="15"/>
      <c r="P90" s="14" t="s">
        <v>149</v>
      </c>
    </row>
    <row r="91" spans="1:17" ht="15.75" customHeight="1">
      <c r="A91" s="14" t="s">
        <v>812</v>
      </c>
      <c r="B91" s="14" t="s">
        <v>49</v>
      </c>
      <c r="C91" s="14" t="s">
        <v>813</v>
      </c>
      <c r="D91" s="14" t="s">
        <v>814</v>
      </c>
      <c r="E91" s="14">
        <v>2026</v>
      </c>
      <c r="F91" s="14" t="s">
        <v>277</v>
      </c>
      <c r="G91" s="14" t="s">
        <v>815</v>
      </c>
      <c r="H91" s="14" t="s">
        <v>816</v>
      </c>
      <c r="I91" s="14"/>
      <c r="J91" s="14" t="s">
        <v>817</v>
      </c>
      <c r="K91" s="14" t="s">
        <v>818</v>
      </c>
      <c r="L91" s="14" t="s">
        <v>54</v>
      </c>
      <c r="M91" s="14" t="s">
        <v>55</v>
      </c>
      <c r="N91" s="14" t="s">
        <v>148</v>
      </c>
      <c r="O91" s="15"/>
      <c r="P91" s="14" t="s">
        <v>149</v>
      </c>
    </row>
    <row r="92" spans="1:17" ht="15.75" customHeight="1">
      <c r="A92" s="14" t="s">
        <v>819</v>
      </c>
      <c r="B92" s="14" t="s">
        <v>49</v>
      </c>
      <c r="C92" s="14" t="s">
        <v>820</v>
      </c>
      <c r="D92" s="14" t="s">
        <v>821</v>
      </c>
      <c r="E92" s="14">
        <v>2026</v>
      </c>
      <c r="F92" s="14" t="s">
        <v>239</v>
      </c>
      <c r="G92" s="14" t="s">
        <v>822</v>
      </c>
      <c r="H92" s="14" t="s">
        <v>823</v>
      </c>
      <c r="I92" s="14"/>
      <c r="J92" s="14" t="s">
        <v>824</v>
      </c>
      <c r="K92" s="14" t="s">
        <v>825</v>
      </c>
      <c r="L92" s="14" t="s">
        <v>54</v>
      </c>
      <c r="M92" s="14" t="s">
        <v>55</v>
      </c>
      <c r="N92" s="14" t="s">
        <v>148</v>
      </c>
      <c r="O92" s="15"/>
      <c r="P92" s="14" t="s">
        <v>149</v>
      </c>
    </row>
    <row r="93" spans="1:17" ht="15.75" customHeight="1">
      <c r="A93" s="14" t="s">
        <v>826</v>
      </c>
      <c r="B93" s="14" t="s">
        <v>49</v>
      </c>
      <c r="C93" s="14" t="s">
        <v>101</v>
      </c>
      <c r="D93" s="14" t="s">
        <v>827</v>
      </c>
      <c r="E93" s="14">
        <v>2027</v>
      </c>
      <c r="F93" s="14" t="s">
        <v>828</v>
      </c>
      <c r="G93" s="14" t="s">
        <v>829</v>
      </c>
      <c r="H93" s="14" t="s">
        <v>830</v>
      </c>
      <c r="I93" s="14"/>
      <c r="J93" s="14" t="s">
        <v>831</v>
      </c>
      <c r="K93" s="14" t="s">
        <v>832</v>
      </c>
      <c r="L93" s="14" t="s">
        <v>54</v>
      </c>
      <c r="M93" s="14" t="s">
        <v>55</v>
      </c>
      <c r="N93" s="14" t="s">
        <v>148</v>
      </c>
      <c r="O93" s="15"/>
      <c r="P93" s="14" t="s">
        <v>226</v>
      </c>
      <c r="Q93" t="s">
        <v>833</v>
      </c>
    </row>
    <row r="94" spans="1:17" ht="15.75" customHeight="1">
      <c r="A94" s="14" t="s">
        <v>834</v>
      </c>
      <c r="B94" s="14" t="s">
        <v>49</v>
      </c>
      <c r="C94" s="14" t="s">
        <v>835</v>
      </c>
      <c r="D94" s="14" t="s">
        <v>836</v>
      </c>
      <c r="E94" s="14">
        <v>2026</v>
      </c>
      <c r="F94" s="14" t="s">
        <v>485</v>
      </c>
      <c r="G94" s="14" t="s">
        <v>837</v>
      </c>
      <c r="H94" s="14" t="s">
        <v>838</v>
      </c>
      <c r="I94" s="14"/>
      <c r="J94" s="14" t="s">
        <v>839</v>
      </c>
      <c r="K94" s="14" t="s">
        <v>840</v>
      </c>
      <c r="L94" s="14" t="s">
        <v>54</v>
      </c>
      <c r="M94" s="14" t="s">
        <v>55</v>
      </c>
      <c r="N94" s="14" t="s">
        <v>148</v>
      </c>
      <c r="O94" s="15"/>
      <c r="P94" s="14" t="s">
        <v>226</v>
      </c>
      <c r="Q94" t="s">
        <v>305</v>
      </c>
    </row>
    <row r="95" spans="1:17" ht="15.75" customHeight="1">
      <c r="A95" s="14" t="s">
        <v>841</v>
      </c>
      <c r="B95" s="14" t="s">
        <v>49</v>
      </c>
      <c r="C95" s="14" t="s">
        <v>842</v>
      </c>
      <c r="D95" s="14" t="s">
        <v>843</v>
      </c>
      <c r="E95" s="14">
        <v>2026</v>
      </c>
      <c r="F95" s="14" t="s">
        <v>844</v>
      </c>
      <c r="G95" s="14" t="s">
        <v>845</v>
      </c>
      <c r="H95" s="14" t="s">
        <v>846</v>
      </c>
      <c r="I95" s="14"/>
      <c r="J95" s="14" t="s">
        <v>847</v>
      </c>
      <c r="K95" s="14" t="s">
        <v>848</v>
      </c>
      <c r="L95" s="14" t="s">
        <v>54</v>
      </c>
      <c r="M95" s="14" t="s">
        <v>55</v>
      </c>
      <c r="N95" s="14" t="s">
        <v>148</v>
      </c>
      <c r="O95" s="15"/>
      <c r="P95" s="14" t="s">
        <v>226</v>
      </c>
      <c r="Q95" t="s">
        <v>305</v>
      </c>
    </row>
    <row r="96" spans="1:17" ht="15.75" customHeight="1">
      <c r="A96" s="14" t="s">
        <v>849</v>
      </c>
      <c r="B96" s="14" t="s">
        <v>49</v>
      </c>
      <c r="C96" s="14" t="s">
        <v>850</v>
      </c>
      <c r="D96" s="14" t="s">
        <v>851</v>
      </c>
      <c r="E96" s="14">
        <v>2025</v>
      </c>
      <c r="F96" s="14" t="s">
        <v>415</v>
      </c>
      <c r="G96" s="14" t="s">
        <v>852</v>
      </c>
      <c r="H96" s="14" t="s">
        <v>853</v>
      </c>
      <c r="I96" s="14"/>
      <c r="J96" s="14" t="s">
        <v>854</v>
      </c>
      <c r="K96" s="15"/>
      <c r="L96" s="14" t="s">
        <v>54</v>
      </c>
      <c r="M96" s="14" t="s">
        <v>55</v>
      </c>
      <c r="N96" s="14" t="s">
        <v>148</v>
      </c>
      <c r="O96" s="15"/>
      <c r="P96" s="14" t="s">
        <v>149</v>
      </c>
    </row>
    <row r="97" spans="1:17" ht="15.75" customHeight="1">
      <c r="A97" s="14" t="s">
        <v>855</v>
      </c>
      <c r="B97" s="14" t="s">
        <v>49</v>
      </c>
      <c r="C97" s="14" t="s">
        <v>856</v>
      </c>
      <c r="D97" s="14" t="s">
        <v>857</v>
      </c>
      <c r="E97" s="14">
        <v>2026</v>
      </c>
      <c r="F97" s="14" t="s">
        <v>182</v>
      </c>
      <c r="G97" s="14" t="s">
        <v>858</v>
      </c>
      <c r="H97" s="14" t="s">
        <v>859</v>
      </c>
      <c r="I97" s="14"/>
      <c r="J97" s="14" t="s">
        <v>860</v>
      </c>
      <c r="K97" s="14" t="s">
        <v>861</v>
      </c>
      <c r="L97" s="14" t="s">
        <v>54</v>
      </c>
      <c r="M97" s="14" t="s">
        <v>55</v>
      </c>
      <c r="N97" s="14" t="s">
        <v>148</v>
      </c>
      <c r="O97" s="15"/>
      <c r="P97" s="14" t="s">
        <v>149</v>
      </c>
    </row>
    <row r="98" spans="1:17" ht="15.75" customHeight="1">
      <c r="A98" s="14" t="s">
        <v>862</v>
      </c>
      <c r="B98" s="14" t="s">
        <v>49</v>
      </c>
      <c r="C98" s="14" t="s">
        <v>863</v>
      </c>
      <c r="D98" s="14" t="s">
        <v>864</v>
      </c>
      <c r="E98" s="14">
        <v>2026</v>
      </c>
      <c r="F98" s="14" t="s">
        <v>380</v>
      </c>
      <c r="G98" s="14" t="s">
        <v>865</v>
      </c>
      <c r="H98" s="14" t="s">
        <v>866</v>
      </c>
      <c r="I98" s="14"/>
      <c r="J98" s="14" t="s">
        <v>867</v>
      </c>
      <c r="K98" s="14" t="s">
        <v>868</v>
      </c>
      <c r="L98" s="14" t="s">
        <v>54</v>
      </c>
      <c r="M98" s="14" t="s">
        <v>55</v>
      </c>
      <c r="N98" s="14" t="s">
        <v>148</v>
      </c>
      <c r="O98" s="15"/>
      <c r="P98" s="14" t="s">
        <v>149</v>
      </c>
    </row>
    <row r="99" spans="1:17" ht="15.75" customHeight="1">
      <c r="A99" s="14" t="s">
        <v>869</v>
      </c>
      <c r="B99" s="14" t="s">
        <v>49</v>
      </c>
      <c r="C99" s="14" t="s">
        <v>870</v>
      </c>
      <c r="D99" s="14" t="s">
        <v>871</v>
      </c>
      <c r="E99" s="14">
        <v>2026</v>
      </c>
      <c r="F99" s="14" t="s">
        <v>872</v>
      </c>
      <c r="G99" s="14" t="s">
        <v>873</v>
      </c>
      <c r="H99" s="14" t="s">
        <v>874</v>
      </c>
      <c r="I99" s="14"/>
      <c r="J99" s="14" t="s">
        <v>875</v>
      </c>
      <c r="K99" s="15"/>
      <c r="L99" s="14" t="s">
        <v>54</v>
      </c>
      <c r="M99" s="14" t="s">
        <v>55</v>
      </c>
      <c r="N99" s="14" t="s">
        <v>148</v>
      </c>
      <c r="O99" s="15"/>
      <c r="P99" s="14" t="s">
        <v>149</v>
      </c>
    </row>
    <row r="100" spans="1:17" ht="15.75" customHeight="1">
      <c r="A100" s="14" t="s">
        <v>876</v>
      </c>
      <c r="B100" s="14" t="s">
        <v>49</v>
      </c>
      <c r="C100" s="14" t="s">
        <v>877</v>
      </c>
      <c r="D100" s="14" t="s">
        <v>878</v>
      </c>
      <c r="E100" s="14">
        <v>2025</v>
      </c>
      <c r="F100" s="14" t="s">
        <v>879</v>
      </c>
      <c r="G100" s="14" t="s">
        <v>880</v>
      </c>
      <c r="H100" s="14" t="s">
        <v>881</v>
      </c>
      <c r="I100" s="14"/>
      <c r="J100" s="14" t="s">
        <v>882</v>
      </c>
      <c r="K100" s="15"/>
      <c r="L100" s="14" t="s">
        <v>54</v>
      </c>
      <c r="M100" s="14" t="s">
        <v>55</v>
      </c>
      <c r="N100" s="14" t="s">
        <v>148</v>
      </c>
      <c r="O100" s="15"/>
      <c r="P100" s="14" t="s">
        <v>149</v>
      </c>
    </row>
    <row r="101" spans="1:17" ht="15.75" customHeight="1">
      <c r="A101" s="14" t="s">
        <v>883</v>
      </c>
      <c r="B101" s="14" t="s">
        <v>49</v>
      </c>
      <c r="C101" s="14" t="s">
        <v>884</v>
      </c>
      <c r="D101" s="14" t="s">
        <v>885</v>
      </c>
      <c r="E101" s="14">
        <v>2025</v>
      </c>
      <c r="F101" s="14" t="s">
        <v>309</v>
      </c>
      <c r="G101" s="14" t="s">
        <v>886</v>
      </c>
      <c r="H101" s="14" t="s">
        <v>887</v>
      </c>
      <c r="I101" s="14"/>
      <c r="J101" s="14" t="s">
        <v>888</v>
      </c>
      <c r="K101" s="14" t="s">
        <v>889</v>
      </c>
      <c r="L101" s="14" t="s">
        <v>54</v>
      </c>
      <c r="M101" s="14" t="s">
        <v>55</v>
      </c>
      <c r="N101" s="14" t="s">
        <v>148</v>
      </c>
      <c r="O101" s="15"/>
      <c r="P101" s="14" t="s">
        <v>195</v>
      </c>
    </row>
    <row r="102" spans="1:17" ht="15.75" customHeight="1">
      <c r="A102" s="14" t="s">
        <v>890</v>
      </c>
      <c r="B102" s="14" t="s">
        <v>49</v>
      </c>
      <c r="C102" s="14" t="s">
        <v>891</v>
      </c>
      <c r="D102" s="14" t="s">
        <v>892</v>
      </c>
      <c r="E102" s="14">
        <v>2023</v>
      </c>
      <c r="F102" s="14" t="s">
        <v>893</v>
      </c>
      <c r="G102" s="14" t="s">
        <v>894</v>
      </c>
      <c r="H102" s="14" t="s">
        <v>895</v>
      </c>
      <c r="I102" s="14"/>
      <c r="J102" s="14" t="s">
        <v>896</v>
      </c>
      <c r="K102" s="14" t="s">
        <v>897</v>
      </c>
      <c r="L102" s="14" t="s">
        <v>54</v>
      </c>
      <c r="M102" s="14" t="s">
        <v>55</v>
      </c>
      <c r="N102" s="14" t="s">
        <v>148</v>
      </c>
      <c r="O102" s="15"/>
      <c r="P102" s="14" t="s">
        <v>149</v>
      </c>
    </row>
    <row r="103" spans="1:17" ht="15.75" customHeight="1">
      <c r="A103" s="14" t="s">
        <v>898</v>
      </c>
      <c r="B103" s="14" t="s">
        <v>49</v>
      </c>
      <c r="C103" s="14" t="s">
        <v>899</v>
      </c>
      <c r="D103" s="14" t="s">
        <v>900</v>
      </c>
      <c r="E103" s="14">
        <v>2022</v>
      </c>
      <c r="F103" s="14" t="s">
        <v>901</v>
      </c>
      <c r="G103" s="14" t="s">
        <v>902</v>
      </c>
      <c r="H103" s="14" t="s">
        <v>903</v>
      </c>
      <c r="I103" s="14"/>
      <c r="J103" s="14" t="s">
        <v>904</v>
      </c>
      <c r="K103" s="14" t="s">
        <v>905</v>
      </c>
      <c r="L103" s="14" t="s">
        <v>54</v>
      </c>
      <c r="M103" s="14" t="s">
        <v>55</v>
      </c>
      <c r="N103" s="14" t="s">
        <v>148</v>
      </c>
      <c r="O103" s="15"/>
      <c r="P103" s="14" t="s">
        <v>226</v>
      </c>
      <c r="Q103" t="s">
        <v>305</v>
      </c>
    </row>
    <row r="104" spans="1:17" ht="15.75" customHeight="1">
      <c r="A104" s="14" t="s">
        <v>906</v>
      </c>
      <c r="B104" s="14" t="s">
        <v>49</v>
      </c>
      <c r="C104" s="14" t="s">
        <v>907</v>
      </c>
      <c r="D104" s="14" t="s">
        <v>908</v>
      </c>
      <c r="E104" s="14">
        <v>2018</v>
      </c>
      <c r="F104" s="14" t="s">
        <v>744</v>
      </c>
      <c r="G104" s="14" t="s">
        <v>909</v>
      </c>
      <c r="H104" s="14" t="s">
        <v>910</v>
      </c>
      <c r="I104" s="14"/>
      <c r="J104" s="14" t="s">
        <v>911</v>
      </c>
      <c r="K104" s="14" t="s">
        <v>912</v>
      </c>
      <c r="L104" s="14" t="s">
        <v>54</v>
      </c>
      <c r="M104" s="14" t="s">
        <v>55</v>
      </c>
      <c r="N104" s="14" t="s">
        <v>148</v>
      </c>
      <c r="O104" s="15"/>
      <c r="P104" s="14" t="s">
        <v>226</v>
      </c>
      <c r="Q104" t="s">
        <v>481</v>
      </c>
    </row>
    <row r="105" spans="1:17" ht="15.75" customHeight="1">
      <c r="A105" s="14" t="s">
        <v>913</v>
      </c>
      <c r="B105" s="14" t="s">
        <v>49</v>
      </c>
      <c r="C105" s="14" t="s">
        <v>914</v>
      </c>
      <c r="D105" s="14" t="s">
        <v>915</v>
      </c>
      <c r="E105" s="14">
        <v>2026</v>
      </c>
      <c r="F105" s="14" t="s">
        <v>916</v>
      </c>
      <c r="G105" s="14" t="s">
        <v>917</v>
      </c>
      <c r="H105" s="14" t="s">
        <v>918</v>
      </c>
      <c r="I105" s="14"/>
      <c r="J105" s="15"/>
      <c r="K105" s="14" t="s">
        <v>919</v>
      </c>
      <c r="L105" s="14" t="s">
        <v>54</v>
      </c>
      <c r="M105" s="14" t="s">
        <v>55</v>
      </c>
      <c r="N105" s="14" t="s">
        <v>148</v>
      </c>
      <c r="O105" s="15"/>
      <c r="P105" s="14" t="s">
        <v>149</v>
      </c>
    </row>
    <row r="106" spans="1:17" ht="15.75" customHeight="1">
      <c r="A106" s="14" t="s">
        <v>920</v>
      </c>
      <c r="B106" s="14" t="s">
        <v>49</v>
      </c>
      <c r="C106" s="14" t="s">
        <v>921</v>
      </c>
      <c r="D106" s="14" t="s">
        <v>922</v>
      </c>
      <c r="E106" s="14">
        <v>2024</v>
      </c>
      <c r="F106" s="14" t="s">
        <v>923</v>
      </c>
      <c r="G106" s="14" t="s">
        <v>924</v>
      </c>
      <c r="H106" s="14" t="s">
        <v>925</v>
      </c>
      <c r="I106" s="14"/>
      <c r="J106" s="14" t="s">
        <v>926</v>
      </c>
      <c r="K106" s="14" t="s">
        <v>927</v>
      </c>
      <c r="L106" s="14" t="s">
        <v>54</v>
      </c>
      <c r="M106" s="14" t="s">
        <v>55</v>
      </c>
      <c r="N106" s="14" t="s">
        <v>148</v>
      </c>
      <c r="O106" s="15"/>
      <c r="P106" s="14" t="s">
        <v>149</v>
      </c>
    </row>
    <row r="107" spans="1:17" ht="15.75" customHeight="1">
      <c r="A107" s="14" t="s">
        <v>928</v>
      </c>
      <c r="B107" s="14" t="s">
        <v>49</v>
      </c>
      <c r="C107" s="14" t="s">
        <v>929</v>
      </c>
      <c r="D107" s="14" t="s">
        <v>930</v>
      </c>
      <c r="E107" s="14">
        <v>2025</v>
      </c>
      <c r="F107" s="14" t="s">
        <v>931</v>
      </c>
      <c r="G107" s="14" t="s">
        <v>932</v>
      </c>
      <c r="H107" s="14" t="s">
        <v>933</v>
      </c>
      <c r="I107" s="14"/>
      <c r="J107" s="15"/>
      <c r="K107" s="14" t="s">
        <v>934</v>
      </c>
      <c r="L107" s="14" t="s">
        <v>54</v>
      </c>
      <c r="M107" s="14" t="s">
        <v>55</v>
      </c>
      <c r="N107" s="14" t="s">
        <v>148</v>
      </c>
      <c r="O107" s="15"/>
      <c r="P107" s="14" t="s">
        <v>149</v>
      </c>
    </row>
    <row r="108" spans="1:17" ht="15.75" customHeight="1">
      <c r="A108" s="14" t="s">
        <v>935</v>
      </c>
      <c r="B108" s="14" t="s">
        <v>49</v>
      </c>
      <c r="C108" s="14" t="s">
        <v>936</v>
      </c>
      <c r="D108" s="14" t="s">
        <v>937</v>
      </c>
      <c r="E108" s="14">
        <v>2025</v>
      </c>
      <c r="F108" s="14" t="s">
        <v>938</v>
      </c>
      <c r="G108" s="14" t="s">
        <v>939</v>
      </c>
      <c r="H108" s="14" t="s">
        <v>940</v>
      </c>
      <c r="I108" s="14"/>
      <c r="J108" s="14" t="s">
        <v>941</v>
      </c>
      <c r="K108" s="14" t="s">
        <v>942</v>
      </c>
      <c r="L108" s="14" t="s">
        <v>54</v>
      </c>
      <c r="M108" s="14" t="s">
        <v>55</v>
      </c>
      <c r="N108" s="14" t="s">
        <v>148</v>
      </c>
      <c r="O108" s="15"/>
      <c r="P108" s="14" t="s">
        <v>195</v>
      </c>
    </row>
    <row r="109" spans="1:17" ht="15.75" customHeight="1">
      <c r="A109" s="14" t="s">
        <v>943</v>
      </c>
      <c r="B109" s="14" t="s">
        <v>49</v>
      </c>
      <c r="C109" s="14" t="s">
        <v>944</v>
      </c>
      <c r="D109" s="14" t="s">
        <v>945</v>
      </c>
      <c r="E109" s="14">
        <v>2023</v>
      </c>
      <c r="F109" s="14" t="s">
        <v>534</v>
      </c>
      <c r="G109" s="14" t="s">
        <v>946</v>
      </c>
      <c r="H109" s="14" t="s">
        <v>947</v>
      </c>
      <c r="I109" s="14"/>
      <c r="J109" s="14" t="s">
        <v>948</v>
      </c>
      <c r="K109" s="14" t="s">
        <v>949</v>
      </c>
      <c r="L109" s="14" t="s">
        <v>54</v>
      </c>
      <c r="M109" s="14" t="s">
        <v>55</v>
      </c>
      <c r="N109" s="14" t="s">
        <v>148</v>
      </c>
      <c r="O109" s="15"/>
      <c r="P109" s="14" t="s">
        <v>149</v>
      </c>
    </row>
    <row r="110" spans="1:17" ht="15.75" customHeight="1">
      <c r="A110" s="14" t="s">
        <v>950</v>
      </c>
      <c r="B110" s="14" t="s">
        <v>49</v>
      </c>
      <c r="C110" s="14" t="s">
        <v>951</v>
      </c>
      <c r="D110" s="14" t="s">
        <v>952</v>
      </c>
      <c r="E110" s="14">
        <v>2026</v>
      </c>
      <c r="F110" s="14" t="s">
        <v>292</v>
      </c>
      <c r="G110" s="14" t="s">
        <v>953</v>
      </c>
      <c r="H110" s="14" t="s">
        <v>954</v>
      </c>
      <c r="I110" s="14"/>
      <c r="J110" s="14" t="s">
        <v>955</v>
      </c>
      <c r="K110" s="14" t="s">
        <v>956</v>
      </c>
      <c r="L110" s="14" t="s">
        <v>54</v>
      </c>
      <c r="M110" s="14" t="s">
        <v>55</v>
      </c>
      <c r="N110" s="14" t="s">
        <v>148</v>
      </c>
      <c r="O110" s="15"/>
      <c r="P110" s="14" t="s">
        <v>149</v>
      </c>
    </row>
    <row r="111" spans="1:17" ht="15.75" customHeight="1">
      <c r="A111" s="14" t="s">
        <v>957</v>
      </c>
      <c r="B111" s="14" t="s">
        <v>49</v>
      </c>
      <c r="C111" s="14" t="s">
        <v>958</v>
      </c>
      <c r="D111" s="14" t="s">
        <v>959</v>
      </c>
      <c r="E111" s="14">
        <v>2025</v>
      </c>
      <c r="F111" s="14" t="s">
        <v>960</v>
      </c>
      <c r="G111" s="14" t="s">
        <v>961</v>
      </c>
      <c r="H111" s="14" t="s">
        <v>962</v>
      </c>
      <c r="I111" s="14"/>
      <c r="J111" s="14" t="s">
        <v>963</v>
      </c>
      <c r="K111" s="14" t="s">
        <v>964</v>
      </c>
      <c r="L111" s="14" t="s">
        <v>54</v>
      </c>
      <c r="M111" s="14" t="s">
        <v>55</v>
      </c>
      <c r="N111" s="14" t="s">
        <v>148</v>
      </c>
      <c r="O111" s="15"/>
      <c r="P111" s="14" t="s">
        <v>226</v>
      </c>
      <c r="Q111" t="s">
        <v>305</v>
      </c>
    </row>
    <row r="112" spans="1:17" ht="15.75" customHeight="1">
      <c r="A112" s="14" t="s">
        <v>965</v>
      </c>
      <c r="B112" s="14" t="s">
        <v>49</v>
      </c>
      <c r="C112" s="14" t="s">
        <v>966</v>
      </c>
      <c r="D112" s="14" t="s">
        <v>967</v>
      </c>
      <c r="E112" s="14">
        <v>2026</v>
      </c>
      <c r="F112" s="14" t="s">
        <v>593</v>
      </c>
      <c r="G112" s="14" t="s">
        <v>968</v>
      </c>
      <c r="H112" s="14" t="s">
        <v>969</v>
      </c>
      <c r="I112" s="14"/>
      <c r="J112" s="14" t="s">
        <v>970</v>
      </c>
      <c r="K112" s="15"/>
      <c r="L112" s="14" t="s">
        <v>54</v>
      </c>
      <c r="M112" s="14" t="s">
        <v>55</v>
      </c>
      <c r="N112" s="14" t="s">
        <v>148</v>
      </c>
      <c r="O112" s="15"/>
      <c r="P112" s="14" t="s">
        <v>226</v>
      </c>
      <c r="Q112" t="s">
        <v>971</v>
      </c>
    </row>
    <row r="113" spans="1:17" ht="15.75" customHeight="1">
      <c r="A113" s="14" t="s">
        <v>972</v>
      </c>
      <c r="B113" s="14" t="s">
        <v>49</v>
      </c>
      <c r="C113" s="14" t="s">
        <v>973</v>
      </c>
      <c r="D113" s="14" t="s">
        <v>974</v>
      </c>
      <c r="E113" s="14">
        <v>2025</v>
      </c>
      <c r="F113" s="14" t="s">
        <v>975</v>
      </c>
      <c r="G113" s="14" t="s">
        <v>976</v>
      </c>
      <c r="H113" s="14" t="s">
        <v>977</v>
      </c>
      <c r="I113" s="14"/>
      <c r="J113" s="14" t="s">
        <v>978</v>
      </c>
      <c r="K113" s="14" t="s">
        <v>979</v>
      </c>
      <c r="L113" s="14" t="s">
        <v>54</v>
      </c>
      <c r="M113" s="14" t="s">
        <v>55</v>
      </c>
      <c r="N113" s="14" t="s">
        <v>148</v>
      </c>
      <c r="O113" s="15"/>
      <c r="P113" s="14" t="s">
        <v>195</v>
      </c>
    </row>
    <row r="114" spans="1:17" ht="15.75" customHeight="1">
      <c r="A114" s="14" t="s">
        <v>980</v>
      </c>
      <c r="B114" s="14" t="s">
        <v>49</v>
      </c>
      <c r="C114" s="14" t="s">
        <v>981</v>
      </c>
      <c r="D114" s="14" t="s">
        <v>982</v>
      </c>
      <c r="E114" s="14">
        <v>2026</v>
      </c>
      <c r="F114" s="14" t="s">
        <v>983</v>
      </c>
      <c r="G114" s="14" t="s">
        <v>984</v>
      </c>
      <c r="H114" s="14" t="s">
        <v>985</v>
      </c>
      <c r="I114" s="14"/>
      <c r="J114" s="14" t="s">
        <v>986</v>
      </c>
      <c r="K114" s="14" t="s">
        <v>987</v>
      </c>
      <c r="L114" s="14" t="s">
        <v>54</v>
      </c>
      <c r="M114" s="14" t="s">
        <v>55</v>
      </c>
      <c r="N114" s="14" t="s">
        <v>148</v>
      </c>
      <c r="O114" s="15"/>
      <c r="P114" s="14" t="s">
        <v>149</v>
      </c>
    </row>
    <row r="115" spans="1:17" ht="15.75" customHeight="1">
      <c r="A115" s="14" t="s">
        <v>988</v>
      </c>
      <c r="B115" s="14" t="s">
        <v>49</v>
      </c>
      <c r="C115" s="14" t="s">
        <v>989</v>
      </c>
      <c r="D115" s="14" t="s">
        <v>990</v>
      </c>
      <c r="E115" s="14">
        <v>2024</v>
      </c>
      <c r="F115" s="14" t="s">
        <v>534</v>
      </c>
      <c r="G115" s="14" t="s">
        <v>991</v>
      </c>
      <c r="H115" s="14" t="s">
        <v>992</v>
      </c>
      <c r="I115" s="14"/>
      <c r="J115" s="14" t="s">
        <v>993</v>
      </c>
      <c r="K115" s="14" t="s">
        <v>994</v>
      </c>
      <c r="L115" s="14" t="s">
        <v>54</v>
      </c>
      <c r="M115" s="14" t="s">
        <v>55</v>
      </c>
      <c r="N115" s="14" t="s">
        <v>148</v>
      </c>
      <c r="O115" s="15"/>
      <c r="P115" s="14" t="s">
        <v>149</v>
      </c>
    </row>
    <row r="116" spans="1:17" ht="15.75" customHeight="1">
      <c r="A116" s="14" t="s">
        <v>995</v>
      </c>
      <c r="B116" s="14" t="s">
        <v>49</v>
      </c>
      <c r="C116" s="14" t="s">
        <v>996</v>
      </c>
      <c r="D116" s="14" t="s">
        <v>997</v>
      </c>
      <c r="E116" s="14">
        <v>2024</v>
      </c>
      <c r="F116" s="14" t="s">
        <v>277</v>
      </c>
      <c r="G116" s="14" t="s">
        <v>998</v>
      </c>
      <c r="H116" s="14" t="s">
        <v>999</v>
      </c>
      <c r="I116" s="14"/>
      <c r="J116" s="14" t="s">
        <v>1000</v>
      </c>
      <c r="K116" s="14" t="s">
        <v>1001</v>
      </c>
      <c r="L116" s="14" t="s">
        <v>54</v>
      </c>
      <c r="M116" s="14" t="s">
        <v>55</v>
      </c>
      <c r="N116" s="14" t="s">
        <v>148</v>
      </c>
      <c r="O116" s="15"/>
      <c r="P116" s="14" t="s">
        <v>149</v>
      </c>
    </row>
    <row r="117" spans="1:17" ht="15.75" customHeight="1">
      <c r="A117" s="14" t="s">
        <v>1002</v>
      </c>
      <c r="B117" s="14" t="s">
        <v>49</v>
      </c>
      <c r="C117" s="14" t="s">
        <v>1003</v>
      </c>
      <c r="D117" s="14" t="s">
        <v>1004</v>
      </c>
      <c r="E117" s="14">
        <v>2026</v>
      </c>
      <c r="F117" s="14" t="s">
        <v>1005</v>
      </c>
      <c r="G117" s="14" t="s">
        <v>1006</v>
      </c>
      <c r="H117" s="14" t="s">
        <v>1007</v>
      </c>
      <c r="I117" s="14"/>
      <c r="J117" s="14" t="s">
        <v>1008</v>
      </c>
      <c r="K117" s="14" t="s">
        <v>1009</v>
      </c>
      <c r="L117" s="14" t="s">
        <v>54</v>
      </c>
      <c r="M117" s="14" t="s">
        <v>55</v>
      </c>
      <c r="N117" s="14" t="s">
        <v>148</v>
      </c>
      <c r="O117" s="15"/>
      <c r="P117" s="14" t="s">
        <v>195</v>
      </c>
    </row>
    <row r="118" spans="1:17" ht="15.75" customHeight="1">
      <c r="A118" s="14" t="s">
        <v>1010</v>
      </c>
      <c r="B118" s="14" t="s">
        <v>49</v>
      </c>
      <c r="C118" s="14" t="s">
        <v>1011</v>
      </c>
      <c r="D118" s="14" t="s">
        <v>1012</v>
      </c>
      <c r="E118" s="14">
        <v>2026</v>
      </c>
      <c r="F118" s="14" t="s">
        <v>570</v>
      </c>
      <c r="G118" s="14" t="s">
        <v>1013</v>
      </c>
      <c r="H118" s="14" t="s">
        <v>1014</v>
      </c>
      <c r="I118" s="14"/>
      <c r="J118" s="14" t="s">
        <v>1015</v>
      </c>
      <c r="K118" s="14" t="s">
        <v>1016</v>
      </c>
      <c r="L118" s="14" t="s">
        <v>54</v>
      </c>
      <c r="M118" s="14" t="s">
        <v>55</v>
      </c>
      <c r="N118" s="14" t="s">
        <v>148</v>
      </c>
      <c r="O118" s="15"/>
      <c r="P118" s="14" t="s">
        <v>195</v>
      </c>
    </row>
    <row r="119" spans="1:17" ht="15.75" customHeight="1">
      <c r="A119" s="14" t="s">
        <v>1017</v>
      </c>
      <c r="B119" s="14" t="s">
        <v>49</v>
      </c>
      <c r="C119" s="14" t="s">
        <v>1018</v>
      </c>
      <c r="D119" s="14" t="s">
        <v>1019</v>
      </c>
      <c r="E119" s="14">
        <v>2026</v>
      </c>
      <c r="F119" s="14" t="s">
        <v>570</v>
      </c>
      <c r="G119" s="14" t="s">
        <v>1020</v>
      </c>
      <c r="H119" s="14" t="s">
        <v>1021</v>
      </c>
      <c r="I119" s="14"/>
      <c r="J119" s="14" t="s">
        <v>1022</v>
      </c>
      <c r="K119" s="14" t="s">
        <v>1023</v>
      </c>
      <c r="L119" s="14" t="s">
        <v>54</v>
      </c>
      <c r="M119" s="14" t="s">
        <v>55</v>
      </c>
      <c r="N119" s="14" t="s">
        <v>148</v>
      </c>
      <c r="O119" s="15"/>
      <c r="P119" s="14" t="s">
        <v>149</v>
      </c>
    </row>
    <row r="120" spans="1:17" ht="15.75" customHeight="1">
      <c r="A120" s="14" t="s">
        <v>1024</v>
      </c>
      <c r="B120" s="14" t="s">
        <v>49</v>
      </c>
      <c r="C120" s="14" t="s">
        <v>1025</v>
      </c>
      <c r="D120" s="14" t="s">
        <v>1026</v>
      </c>
      <c r="E120" s="14">
        <v>2026</v>
      </c>
      <c r="F120" s="14" t="s">
        <v>1027</v>
      </c>
      <c r="G120" s="14" t="s">
        <v>1028</v>
      </c>
      <c r="H120" s="14" t="s">
        <v>1029</v>
      </c>
      <c r="I120" s="14"/>
      <c r="J120" s="14" t="s">
        <v>1030</v>
      </c>
      <c r="K120" s="14" t="s">
        <v>1031</v>
      </c>
      <c r="L120" s="14" t="s">
        <v>54</v>
      </c>
      <c r="M120" s="14" t="s">
        <v>55</v>
      </c>
      <c r="N120" s="14" t="s">
        <v>148</v>
      </c>
      <c r="O120" s="15"/>
      <c r="P120" s="14" t="s">
        <v>195</v>
      </c>
    </row>
    <row r="121" spans="1:17" ht="15.75" customHeight="1">
      <c r="A121" s="14" t="s">
        <v>1032</v>
      </c>
      <c r="B121" s="14" t="s">
        <v>49</v>
      </c>
      <c r="C121" s="14" t="s">
        <v>1033</v>
      </c>
      <c r="D121" s="14" t="s">
        <v>1034</v>
      </c>
      <c r="E121" s="14">
        <v>2025</v>
      </c>
      <c r="F121" s="14" t="s">
        <v>1035</v>
      </c>
      <c r="G121" s="14" t="s">
        <v>1036</v>
      </c>
      <c r="H121" s="14" t="s">
        <v>1037</v>
      </c>
      <c r="I121" s="14"/>
      <c r="J121" s="14" t="s">
        <v>1038</v>
      </c>
      <c r="K121" s="14" t="s">
        <v>1039</v>
      </c>
      <c r="L121" s="14" t="s">
        <v>54</v>
      </c>
      <c r="M121" s="14" t="s">
        <v>55</v>
      </c>
      <c r="N121" s="14" t="s">
        <v>148</v>
      </c>
      <c r="O121" s="15"/>
      <c r="P121" s="14" t="s">
        <v>149</v>
      </c>
    </row>
    <row r="122" spans="1:17" ht="15.75" customHeight="1">
      <c r="A122" s="14" t="s">
        <v>1040</v>
      </c>
      <c r="B122" s="14" t="s">
        <v>49</v>
      </c>
      <c r="C122" s="14" t="s">
        <v>1041</v>
      </c>
      <c r="D122" s="14" t="s">
        <v>1042</v>
      </c>
      <c r="E122" s="14">
        <v>2026</v>
      </c>
      <c r="F122" s="14" t="s">
        <v>1035</v>
      </c>
      <c r="G122" s="14" t="s">
        <v>1043</v>
      </c>
      <c r="H122" s="14" t="s">
        <v>1044</v>
      </c>
      <c r="I122" s="14"/>
      <c r="J122" s="14" t="s">
        <v>1045</v>
      </c>
      <c r="K122" s="14" t="s">
        <v>1046</v>
      </c>
      <c r="L122" s="14" t="s">
        <v>54</v>
      </c>
      <c r="M122" s="14" t="s">
        <v>55</v>
      </c>
      <c r="N122" s="14" t="s">
        <v>148</v>
      </c>
      <c r="O122" s="15"/>
      <c r="P122" s="14" t="s">
        <v>149</v>
      </c>
    </row>
    <row r="123" spans="1:17" ht="15.75" customHeight="1">
      <c r="A123" s="14" t="s">
        <v>1047</v>
      </c>
      <c r="B123" s="14" t="s">
        <v>49</v>
      </c>
      <c r="C123" s="14" t="s">
        <v>1048</v>
      </c>
      <c r="D123" s="14" t="s">
        <v>1049</v>
      </c>
      <c r="E123" s="14">
        <v>2025</v>
      </c>
      <c r="F123" s="14" t="s">
        <v>1035</v>
      </c>
      <c r="G123" s="14" t="s">
        <v>1050</v>
      </c>
      <c r="H123" s="14" t="s">
        <v>1051</v>
      </c>
      <c r="I123" s="14"/>
      <c r="J123" s="14" t="s">
        <v>1052</v>
      </c>
      <c r="K123" s="14" t="s">
        <v>1053</v>
      </c>
      <c r="L123" s="14" t="s">
        <v>54</v>
      </c>
      <c r="M123" s="14" t="s">
        <v>55</v>
      </c>
      <c r="N123" s="14" t="s">
        <v>148</v>
      </c>
      <c r="O123" s="15"/>
      <c r="P123" s="14" t="s">
        <v>149</v>
      </c>
    </row>
    <row r="124" spans="1:17" ht="15.75" customHeight="1">
      <c r="A124" s="14" t="s">
        <v>1054</v>
      </c>
      <c r="B124" s="14" t="s">
        <v>49</v>
      </c>
      <c r="C124" s="14" t="s">
        <v>1055</v>
      </c>
      <c r="D124" s="14" t="s">
        <v>1056</v>
      </c>
      <c r="E124" s="14">
        <v>2020</v>
      </c>
      <c r="F124" s="14" t="s">
        <v>438</v>
      </c>
      <c r="G124" s="14" t="s">
        <v>1057</v>
      </c>
      <c r="H124" s="14" t="s">
        <v>1058</v>
      </c>
      <c r="I124" s="14"/>
      <c r="J124" s="14" t="s">
        <v>1059</v>
      </c>
      <c r="K124" s="14" t="s">
        <v>1060</v>
      </c>
      <c r="L124" s="14" t="s">
        <v>54</v>
      </c>
      <c r="M124" s="14" t="s">
        <v>55</v>
      </c>
      <c r="N124" s="14" t="s">
        <v>148</v>
      </c>
      <c r="O124" s="15"/>
      <c r="P124" s="14" t="s">
        <v>360</v>
      </c>
      <c r="Q124" t="s">
        <v>1061</v>
      </c>
    </row>
    <row r="125" spans="1:17" ht="15.75" customHeight="1">
      <c r="A125" s="14" t="s">
        <v>1062</v>
      </c>
      <c r="B125" s="14" t="s">
        <v>49</v>
      </c>
      <c r="C125" s="14" t="s">
        <v>1063</v>
      </c>
      <c r="D125" s="14" t="s">
        <v>1064</v>
      </c>
      <c r="E125" s="14">
        <v>2024</v>
      </c>
      <c r="F125" s="14" t="s">
        <v>269</v>
      </c>
      <c r="G125" s="14" t="s">
        <v>1065</v>
      </c>
      <c r="H125" s="14" t="s">
        <v>1066</v>
      </c>
      <c r="I125" s="14"/>
      <c r="J125" s="14" t="s">
        <v>1067</v>
      </c>
      <c r="K125" s="14" t="s">
        <v>1068</v>
      </c>
      <c r="L125" s="14" t="s">
        <v>54</v>
      </c>
      <c r="M125" s="14" t="s">
        <v>55</v>
      </c>
      <c r="N125" s="14" t="s">
        <v>148</v>
      </c>
      <c r="O125" s="15"/>
      <c r="P125" s="14" t="s">
        <v>226</v>
      </c>
      <c r="Q125" t="s">
        <v>305</v>
      </c>
    </row>
    <row r="126" spans="1:17" ht="15.75" customHeight="1">
      <c r="A126" s="14" t="s">
        <v>1069</v>
      </c>
      <c r="B126" s="14" t="s">
        <v>49</v>
      </c>
      <c r="C126" s="14" t="s">
        <v>1070</v>
      </c>
      <c r="D126" s="14" t="s">
        <v>1071</v>
      </c>
      <c r="E126" s="14">
        <v>2026</v>
      </c>
      <c r="F126" s="14" t="s">
        <v>231</v>
      </c>
      <c r="G126" s="14" t="s">
        <v>1072</v>
      </c>
      <c r="H126" s="14" t="s">
        <v>1073</v>
      </c>
      <c r="I126" s="14"/>
      <c r="J126" s="14" t="s">
        <v>1074</v>
      </c>
      <c r="K126" s="14" t="s">
        <v>1075</v>
      </c>
      <c r="L126" s="14" t="s">
        <v>54</v>
      </c>
      <c r="M126" s="14" t="s">
        <v>55</v>
      </c>
      <c r="N126" s="14" t="s">
        <v>148</v>
      </c>
      <c r="O126" s="15"/>
      <c r="P126" s="14" t="s">
        <v>195</v>
      </c>
    </row>
    <row r="127" spans="1:17" ht="15.75" customHeight="1">
      <c r="A127" s="14" t="s">
        <v>1076</v>
      </c>
      <c r="B127" s="14" t="s">
        <v>49</v>
      </c>
      <c r="C127" s="14" t="s">
        <v>1077</v>
      </c>
      <c r="D127" s="14" t="s">
        <v>1078</v>
      </c>
      <c r="E127" s="14">
        <v>2024</v>
      </c>
      <c r="F127" s="14" t="s">
        <v>453</v>
      </c>
      <c r="G127" s="14" t="s">
        <v>1079</v>
      </c>
      <c r="H127" s="14" t="s">
        <v>1080</v>
      </c>
      <c r="I127" s="14"/>
      <c r="J127" s="14" t="s">
        <v>1081</v>
      </c>
      <c r="K127" s="14" t="s">
        <v>1082</v>
      </c>
      <c r="L127" s="14" t="s">
        <v>54</v>
      </c>
      <c r="M127" s="14" t="s">
        <v>55</v>
      </c>
      <c r="N127" s="14" t="s">
        <v>148</v>
      </c>
      <c r="O127" s="15"/>
      <c r="P127" s="14" t="s">
        <v>149</v>
      </c>
    </row>
    <row r="128" spans="1:17" ht="15.75" customHeight="1">
      <c r="A128" s="14" t="s">
        <v>1083</v>
      </c>
      <c r="B128" s="14" t="s">
        <v>49</v>
      </c>
      <c r="C128" s="14" t="s">
        <v>1084</v>
      </c>
      <c r="D128" s="14" t="s">
        <v>1085</v>
      </c>
      <c r="E128" s="14">
        <v>2025</v>
      </c>
      <c r="F128" s="14" t="s">
        <v>1086</v>
      </c>
      <c r="G128" s="14" t="s">
        <v>1087</v>
      </c>
      <c r="H128" s="14" t="s">
        <v>1088</v>
      </c>
      <c r="I128" s="14"/>
      <c r="J128" s="14" t="s">
        <v>1089</v>
      </c>
      <c r="K128" s="14" t="s">
        <v>1090</v>
      </c>
      <c r="L128" s="14" t="s">
        <v>54</v>
      </c>
      <c r="M128" s="14" t="s">
        <v>55</v>
      </c>
      <c r="N128" s="14" t="s">
        <v>148</v>
      </c>
      <c r="O128" s="15"/>
      <c r="P128" s="14" t="s">
        <v>195</v>
      </c>
    </row>
    <row r="129" spans="1:17" ht="15.75" customHeight="1">
      <c r="A129" s="14" t="s">
        <v>1091</v>
      </c>
      <c r="B129" s="14" t="s">
        <v>49</v>
      </c>
      <c r="C129" s="14" t="s">
        <v>1092</v>
      </c>
      <c r="D129" s="14" t="s">
        <v>1093</v>
      </c>
      <c r="E129" s="14">
        <v>2025</v>
      </c>
      <c r="F129" s="14" t="s">
        <v>198</v>
      </c>
      <c r="G129" s="14" t="s">
        <v>1094</v>
      </c>
      <c r="H129" s="14" t="s">
        <v>1095</v>
      </c>
      <c r="I129" s="14"/>
      <c r="J129" s="14" t="s">
        <v>1096</v>
      </c>
      <c r="K129" s="14" t="s">
        <v>1097</v>
      </c>
      <c r="L129" s="14" t="s">
        <v>54</v>
      </c>
      <c r="M129" s="14" t="s">
        <v>55</v>
      </c>
      <c r="N129" s="14" t="s">
        <v>148</v>
      </c>
      <c r="O129" s="15"/>
      <c r="P129" s="14" t="s">
        <v>149</v>
      </c>
    </row>
    <row r="130" spans="1:17" ht="15.75" customHeight="1">
      <c r="A130" s="14" t="s">
        <v>1098</v>
      </c>
      <c r="B130" s="14" t="s">
        <v>49</v>
      </c>
      <c r="C130" s="14" t="s">
        <v>1099</v>
      </c>
      <c r="D130" s="14" t="s">
        <v>1100</v>
      </c>
      <c r="E130" s="14">
        <v>2026</v>
      </c>
      <c r="F130" s="14" t="s">
        <v>540</v>
      </c>
      <c r="G130" s="14" t="s">
        <v>1101</v>
      </c>
      <c r="H130" s="14" t="s">
        <v>1102</v>
      </c>
      <c r="I130" s="14"/>
      <c r="J130" s="14" t="s">
        <v>543</v>
      </c>
      <c r="K130" s="14" t="s">
        <v>1103</v>
      </c>
      <c r="L130" s="14" t="s">
        <v>54</v>
      </c>
      <c r="M130" s="14" t="s">
        <v>55</v>
      </c>
      <c r="N130" s="14" t="s">
        <v>148</v>
      </c>
      <c r="O130" s="15"/>
      <c r="P130" s="14" t="s">
        <v>195</v>
      </c>
    </row>
    <row r="131" spans="1:17" ht="15.75" customHeight="1">
      <c r="A131" s="14" t="s">
        <v>1104</v>
      </c>
      <c r="B131" s="14" t="s">
        <v>49</v>
      </c>
      <c r="C131" s="14" t="s">
        <v>1105</v>
      </c>
      <c r="D131" s="14" t="s">
        <v>1106</v>
      </c>
      <c r="E131" s="14">
        <v>2024</v>
      </c>
      <c r="F131" s="14" t="s">
        <v>1107</v>
      </c>
      <c r="G131" s="14" t="s">
        <v>1108</v>
      </c>
      <c r="H131" s="14" t="s">
        <v>1109</v>
      </c>
      <c r="I131" s="14"/>
      <c r="J131" s="14" t="s">
        <v>1110</v>
      </c>
      <c r="K131" s="15"/>
      <c r="L131" s="14" t="s">
        <v>54</v>
      </c>
      <c r="M131" s="14" t="s">
        <v>55</v>
      </c>
      <c r="N131" s="14" t="s">
        <v>148</v>
      </c>
      <c r="O131" s="15"/>
      <c r="P131" s="14" t="s">
        <v>360</v>
      </c>
      <c r="Q131" t="s">
        <v>1061</v>
      </c>
    </row>
    <row r="132" spans="1:17" ht="15.75" customHeight="1">
      <c r="A132" s="14" t="s">
        <v>1111</v>
      </c>
      <c r="B132" s="14" t="s">
        <v>49</v>
      </c>
      <c r="C132" s="14" t="s">
        <v>1112</v>
      </c>
      <c r="D132" s="14" t="s">
        <v>1113</v>
      </c>
      <c r="E132" s="14">
        <v>2025</v>
      </c>
      <c r="F132" s="14" t="s">
        <v>1114</v>
      </c>
      <c r="G132" s="14" t="s">
        <v>1115</v>
      </c>
      <c r="H132" s="14" t="s">
        <v>1116</v>
      </c>
      <c r="I132" s="14"/>
      <c r="J132" s="14" t="s">
        <v>1117</v>
      </c>
      <c r="K132" s="14" t="s">
        <v>1118</v>
      </c>
      <c r="L132" s="14" t="s">
        <v>54</v>
      </c>
      <c r="M132" s="14" t="s">
        <v>55</v>
      </c>
      <c r="N132" s="14" t="s">
        <v>148</v>
      </c>
      <c r="O132" s="15"/>
      <c r="P132" s="14" t="s">
        <v>149</v>
      </c>
    </row>
    <row r="133" spans="1:17" ht="15.75" customHeight="1">
      <c r="A133" s="14" t="s">
        <v>1119</v>
      </c>
      <c r="B133" s="14" t="s">
        <v>49</v>
      </c>
      <c r="C133" s="14" t="s">
        <v>1120</v>
      </c>
      <c r="D133" s="14" t="s">
        <v>1121</v>
      </c>
      <c r="E133" s="14">
        <v>2026</v>
      </c>
      <c r="F133" s="14" t="s">
        <v>239</v>
      </c>
      <c r="G133" s="14" t="s">
        <v>1122</v>
      </c>
      <c r="H133" s="14" t="s">
        <v>1123</v>
      </c>
      <c r="I133" s="14"/>
      <c r="J133" s="14" t="s">
        <v>1124</v>
      </c>
      <c r="K133" s="14" t="s">
        <v>1125</v>
      </c>
      <c r="L133" s="14" t="s">
        <v>54</v>
      </c>
      <c r="M133" s="14" t="s">
        <v>55</v>
      </c>
      <c r="N133" s="14" t="s">
        <v>148</v>
      </c>
      <c r="O133" s="15"/>
      <c r="P133" s="14" t="s">
        <v>195</v>
      </c>
    </row>
    <row r="134" spans="1:17" ht="15.75" customHeight="1">
      <c r="A134" s="14" t="s">
        <v>1126</v>
      </c>
      <c r="B134" s="14" t="s">
        <v>49</v>
      </c>
      <c r="C134" s="14" t="s">
        <v>1127</v>
      </c>
      <c r="D134" s="14" t="s">
        <v>1128</v>
      </c>
      <c r="E134" s="14">
        <v>2026</v>
      </c>
      <c r="F134" s="14" t="s">
        <v>501</v>
      </c>
      <c r="G134" s="14" t="s">
        <v>1129</v>
      </c>
      <c r="H134" s="14" t="s">
        <v>1130</v>
      </c>
      <c r="I134" s="14"/>
      <c r="J134" s="14" t="s">
        <v>1131</v>
      </c>
      <c r="K134" s="14" t="s">
        <v>1132</v>
      </c>
      <c r="L134" s="14" t="s">
        <v>54</v>
      </c>
      <c r="M134" s="14" t="s">
        <v>55</v>
      </c>
      <c r="N134" s="14" t="s">
        <v>148</v>
      </c>
      <c r="O134" s="15"/>
      <c r="P134" s="14" t="s">
        <v>149</v>
      </c>
    </row>
    <row r="135" spans="1:17" ht="15.75" customHeight="1">
      <c r="A135" s="14" t="s">
        <v>1133</v>
      </c>
      <c r="B135" s="14" t="s">
        <v>49</v>
      </c>
      <c r="C135" s="14" t="s">
        <v>1134</v>
      </c>
      <c r="D135" s="14" t="s">
        <v>1135</v>
      </c>
      <c r="E135" s="14">
        <v>2026</v>
      </c>
      <c r="F135" s="14" t="s">
        <v>938</v>
      </c>
      <c r="G135" s="14" t="s">
        <v>1136</v>
      </c>
      <c r="H135" s="14" t="s">
        <v>1137</v>
      </c>
      <c r="I135" s="14"/>
      <c r="J135" s="14" t="s">
        <v>1138</v>
      </c>
      <c r="K135" s="14" t="s">
        <v>1139</v>
      </c>
      <c r="L135" s="14" t="s">
        <v>54</v>
      </c>
      <c r="M135" s="14" t="s">
        <v>55</v>
      </c>
      <c r="N135" s="14" t="s">
        <v>148</v>
      </c>
      <c r="O135" s="15"/>
      <c r="P135" s="14" t="s">
        <v>195</v>
      </c>
    </row>
    <row r="136" spans="1:17" ht="15.75" customHeight="1">
      <c r="A136" s="14" t="s">
        <v>1140</v>
      </c>
      <c r="B136" s="14" t="s">
        <v>49</v>
      </c>
      <c r="C136" s="14" t="s">
        <v>1141</v>
      </c>
      <c r="D136" s="14" t="s">
        <v>1142</v>
      </c>
      <c r="E136" s="14">
        <v>2026</v>
      </c>
      <c r="F136" s="14" t="s">
        <v>1143</v>
      </c>
      <c r="G136" s="14" t="s">
        <v>1144</v>
      </c>
      <c r="H136" s="14" t="s">
        <v>1145</v>
      </c>
      <c r="I136" s="14"/>
      <c r="J136" s="14" t="s">
        <v>1146</v>
      </c>
      <c r="K136" s="14" t="s">
        <v>1147</v>
      </c>
      <c r="L136" s="14" t="s">
        <v>54</v>
      </c>
      <c r="M136" s="14" t="s">
        <v>55</v>
      </c>
      <c r="N136" s="14" t="s">
        <v>148</v>
      </c>
      <c r="O136" s="15"/>
      <c r="P136" s="14" t="s">
        <v>149</v>
      </c>
    </row>
    <row r="137" spans="1:17" ht="15.75" customHeight="1">
      <c r="A137" s="14" t="s">
        <v>1148</v>
      </c>
      <c r="B137" s="14" t="s">
        <v>49</v>
      </c>
      <c r="C137" s="14" t="s">
        <v>1149</v>
      </c>
      <c r="D137" s="14" t="s">
        <v>1150</v>
      </c>
      <c r="E137" s="14">
        <v>2026</v>
      </c>
      <c r="F137" s="14" t="s">
        <v>1151</v>
      </c>
      <c r="G137" s="14" t="s">
        <v>1152</v>
      </c>
      <c r="H137" s="14" t="s">
        <v>1153</v>
      </c>
      <c r="I137" s="14"/>
      <c r="J137" s="14" t="s">
        <v>1154</v>
      </c>
      <c r="K137" s="15"/>
      <c r="L137" s="14" t="s">
        <v>54</v>
      </c>
      <c r="M137" s="14" t="s">
        <v>55</v>
      </c>
      <c r="N137" s="14" t="s">
        <v>148</v>
      </c>
      <c r="O137" s="15"/>
      <c r="P137" s="14" t="s">
        <v>149</v>
      </c>
    </row>
    <row r="138" spans="1:17" ht="15.75" customHeight="1">
      <c r="A138" s="14" t="s">
        <v>1155</v>
      </c>
      <c r="B138" s="14" t="s">
        <v>49</v>
      </c>
      <c r="C138" s="14" t="s">
        <v>1156</v>
      </c>
      <c r="D138" s="14" t="s">
        <v>1157</v>
      </c>
      <c r="E138" s="14">
        <v>2018</v>
      </c>
      <c r="F138" s="14" t="s">
        <v>1158</v>
      </c>
      <c r="G138" s="14" t="s">
        <v>1159</v>
      </c>
      <c r="H138" s="14" t="s">
        <v>1160</v>
      </c>
      <c r="I138" s="14"/>
      <c r="J138" s="14" t="s">
        <v>1161</v>
      </c>
      <c r="K138" s="14" t="s">
        <v>1162</v>
      </c>
      <c r="L138" s="14" t="s">
        <v>54</v>
      </c>
      <c r="M138" s="14" t="s">
        <v>55</v>
      </c>
      <c r="N138" s="14" t="s">
        <v>148</v>
      </c>
      <c r="O138" s="15"/>
      <c r="P138" s="14" t="s">
        <v>226</v>
      </c>
      <c r="Q138" t="s">
        <v>305</v>
      </c>
    </row>
    <row r="139" spans="1:17" ht="15.75" customHeight="1">
      <c r="A139" s="14" t="s">
        <v>1163</v>
      </c>
      <c r="B139" s="14" t="s">
        <v>49</v>
      </c>
      <c r="C139" s="14" t="s">
        <v>1164</v>
      </c>
      <c r="D139" s="14" t="s">
        <v>1165</v>
      </c>
      <c r="E139" s="14">
        <v>2026</v>
      </c>
      <c r="F139" s="14" t="s">
        <v>540</v>
      </c>
      <c r="G139" s="14" t="s">
        <v>1166</v>
      </c>
      <c r="H139" s="14" t="s">
        <v>1167</v>
      </c>
      <c r="I139" s="14"/>
      <c r="J139" s="14" t="s">
        <v>1168</v>
      </c>
      <c r="K139" s="14" t="s">
        <v>1169</v>
      </c>
      <c r="L139" s="14" t="s">
        <v>54</v>
      </c>
      <c r="M139" s="14" t="s">
        <v>55</v>
      </c>
      <c r="N139" s="14" t="s">
        <v>148</v>
      </c>
      <c r="O139" s="15"/>
      <c r="P139" s="14" t="s">
        <v>195</v>
      </c>
    </row>
    <row r="140" spans="1:17" ht="15.75" customHeight="1">
      <c r="A140" s="14" t="s">
        <v>1170</v>
      </c>
      <c r="B140" s="14" t="s">
        <v>49</v>
      </c>
      <c r="C140" s="14" t="s">
        <v>1171</v>
      </c>
      <c r="D140" s="14" t="s">
        <v>1172</v>
      </c>
      <c r="E140" s="14">
        <v>2026</v>
      </c>
      <c r="F140" s="14" t="s">
        <v>540</v>
      </c>
      <c r="G140" s="14" t="s">
        <v>1173</v>
      </c>
      <c r="H140" s="14" t="s">
        <v>1174</v>
      </c>
      <c r="I140" s="14"/>
      <c r="J140" s="14" t="s">
        <v>1175</v>
      </c>
      <c r="K140" s="14" t="s">
        <v>1176</v>
      </c>
      <c r="L140" s="14" t="s">
        <v>54</v>
      </c>
      <c r="M140" s="14" t="s">
        <v>55</v>
      </c>
      <c r="N140" s="14" t="s">
        <v>148</v>
      </c>
      <c r="O140" s="15"/>
      <c r="P140" s="14" t="s">
        <v>195</v>
      </c>
    </row>
    <row r="141" spans="1:17" ht="15.75" customHeight="1">
      <c r="A141" s="14" t="s">
        <v>1177</v>
      </c>
      <c r="B141" s="14" t="s">
        <v>49</v>
      </c>
      <c r="C141" s="14" t="s">
        <v>1178</v>
      </c>
      <c r="D141" s="14" t="s">
        <v>1179</v>
      </c>
      <c r="E141" s="14">
        <v>2026</v>
      </c>
      <c r="F141" s="14" t="s">
        <v>309</v>
      </c>
      <c r="G141" s="14" t="s">
        <v>1180</v>
      </c>
      <c r="H141" s="14" t="s">
        <v>1181</v>
      </c>
      <c r="I141" s="14"/>
      <c r="J141" s="14" t="s">
        <v>1182</v>
      </c>
      <c r="K141" s="14" t="s">
        <v>1183</v>
      </c>
      <c r="L141" s="14" t="s">
        <v>54</v>
      </c>
      <c r="M141" s="14" t="s">
        <v>55</v>
      </c>
      <c r="N141" s="14" t="s">
        <v>148</v>
      </c>
      <c r="O141" s="15"/>
      <c r="P141" s="14" t="s">
        <v>195</v>
      </c>
    </row>
    <row r="142" spans="1:17" ht="15.75" customHeight="1">
      <c r="A142" s="14" t="s">
        <v>1184</v>
      </c>
      <c r="B142" s="14" t="s">
        <v>49</v>
      </c>
      <c r="C142" s="14" t="s">
        <v>1185</v>
      </c>
      <c r="D142" s="14" t="s">
        <v>1186</v>
      </c>
      <c r="E142" s="14">
        <v>2025</v>
      </c>
      <c r="F142" s="14" t="s">
        <v>540</v>
      </c>
      <c r="G142" s="14" t="s">
        <v>1187</v>
      </c>
      <c r="H142" s="14" t="s">
        <v>1188</v>
      </c>
      <c r="I142" s="14"/>
      <c r="J142" s="14" t="s">
        <v>1189</v>
      </c>
      <c r="K142" s="14" t="s">
        <v>1190</v>
      </c>
      <c r="L142" s="14" t="s">
        <v>54</v>
      </c>
      <c r="M142" s="14" t="s">
        <v>55</v>
      </c>
      <c r="N142" s="14" t="s">
        <v>148</v>
      </c>
      <c r="O142" s="15"/>
      <c r="P142" s="14" t="s">
        <v>195</v>
      </c>
    </row>
    <row r="143" spans="1:17" ht="15.75" customHeight="1">
      <c r="A143" s="14" t="s">
        <v>1191</v>
      </c>
      <c r="B143" s="14" t="s">
        <v>49</v>
      </c>
      <c r="C143" s="14" t="s">
        <v>1192</v>
      </c>
      <c r="D143" s="14" t="s">
        <v>1193</v>
      </c>
      <c r="E143" s="14">
        <v>2025</v>
      </c>
      <c r="F143" s="14" t="s">
        <v>1194</v>
      </c>
      <c r="G143" s="14" t="s">
        <v>1195</v>
      </c>
      <c r="H143" s="14" t="s">
        <v>1196</v>
      </c>
      <c r="I143" s="14"/>
      <c r="J143" s="14" t="s">
        <v>1197</v>
      </c>
      <c r="K143" s="14" t="s">
        <v>1198</v>
      </c>
      <c r="L143" s="14" t="s">
        <v>54</v>
      </c>
      <c r="M143" s="14" t="s">
        <v>55</v>
      </c>
      <c r="N143" s="14" t="s">
        <v>148</v>
      </c>
      <c r="O143" s="15"/>
      <c r="P143" s="14" t="s">
        <v>195</v>
      </c>
    </row>
    <row r="144" spans="1:17" ht="15.75" customHeight="1">
      <c r="A144" s="14" t="s">
        <v>1199</v>
      </c>
      <c r="B144" s="14" t="s">
        <v>49</v>
      </c>
      <c r="C144" s="14" t="s">
        <v>1200</v>
      </c>
      <c r="D144" s="14" t="s">
        <v>1201</v>
      </c>
      <c r="E144" s="14">
        <v>2026</v>
      </c>
      <c r="F144" s="14" t="s">
        <v>1202</v>
      </c>
      <c r="G144" s="14" t="s">
        <v>1203</v>
      </c>
      <c r="H144" s="14" t="s">
        <v>1204</v>
      </c>
      <c r="I144" s="14"/>
      <c r="J144" s="14" t="s">
        <v>1205</v>
      </c>
      <c r="K144" s="14" t="s">
        <v>1206</v>
      </c>
      <c r="L144" s="14" t="s">
        <v>54</v>
      </c>
      <c r="M144" s="14" t="s">
        <v>55</v>
      </c>
      <c r="N144" s="14" t="s">
        <v>148</v>
      </c>
      <c r="O144" s="15"/>
      <c r="P144" s="14" t="s">
        <v>195</v>
      </c>
    </row>
    <row r="145" spans="1:17" ht="15.75" customHeight="1">
      <c r="A145" s="14" t="s">
        <v>1207</v>
      </c>
      <c r="B145" s="14" t="s">
        <v>49</v>
      </c>
      <c r="C145" s="14" t="s">
        <v>1208</v>
      </c>
      <c r="D145" s="14" t="s">
        <v>1209</v>
      </c>
      <c r="E145" s="14">
        <v>2026</v>
      </c>
      <c r="F145" s="14" t="s">
        <v>1210</v>
      </c>
      <c r="G145" s="14" t="s">
        <v>1211</v>
      </c>
      <c r="H145" s="14" t="s">
        <v>1212</v>
      </c>
      <c r="I145" s="14"/>
      <c r="J145" s="14" t="s">
        <v>1213</v>
      </c>
      <c r="K145" s="14" t="s">
        <v>1214</v>
      </c>
      <c r="L145" s="14" t="s">
        <v>54</v>
      </c>
      <c r="M145" s="14" t="s">
        <v>55</v>
      </c>
      <c r="N145" s="14" t="s">
        <v>148</v>
      </c>
      <c r="O145" s="15"/>
      <c r="P145" s="14" t="s">
        <v>149</v>
      </c>
    </row>
    <row r="146" spans="1:17" ht="15.75" customHeight="1">
      <c r="A146" s="14" t="s">
        <v>1215</v>
      </c>
      <c r="B146" s="14" t="s">
        <v>49</v>
      </c>
      <c r="C146" s="14" t="s">
        <v>1216</v>
      </c>
      <c r="D146" s="14" t="s">
        <v>1217</v>
      </c>
      <c r="E146" s="14">
        <v>2025</v>
      </c>
      <c r="F146" s="14" t="s">
        <v>570</v>
      </c>
      <c r="G146" s="14" t="s">
        <v>1218</v>
      </c>
      <c r="H146" s="14" t="s">
        <v>1219</v>
      </c>
      <c r="I146" s="14"/>
      <c r="J146" s="14" t="s">
        <v>1220</v>
      </c>
      <c r="K146" s="14" t="s">
        <v>1221</v>
      </c>
      <c r="L146" s="14" t="s">
        <v>54</v>
      </c>
      <c r="M146" s="14" t="s">
        <v>55</v>
      </c>
      <c r="N146" s="14" t="s">
        <v>148</v>
      </c>
      <c r="O146" s="15"/>
      <c r="P146" s="14" t="s">
        <v>195</v>
      </c>
    </row>
    <row r="147" spans="1:17" ht="15.75" customHeight="1">
      <c r="A147" s="14" t="s">
        <v>1222</v>
      </c>
      <c r="B147" s="14" t="s">
        <v>49</v>
      </c>
      <c r="C147" s="14" t="s">
        <v>1223</v>
      </c>
      <c r="D147" s="14" t="s">
        <v>1224</v>
      </c>
      <c r="E147" s="14">
        <v>2027</v>
      </c>
      <c r="F147" s="14" t="s">
        <v>828</v>
      </c>
      <c r="G147" s="14" t="s">
        <v>1225</v>
      </c>
      <c r="H147" s="14" t="s">
        <v>1226</v>
      </c>
      <c r="I147" s="14"/>
      <c r="J147" s="14" t="s">
        <v>1227</v>
      </c>
      <c r="K147" s="14" t="s">
        <v>1228</v>
      </c>
      <c r="L147" s="14" t="s">
        <v>54</v>
      </c>
      <c r="M147" s="14" t="s">
        <v>55</v>
      </c>
      <c r="N147" s="14" t="s">
        <v>148</v>
      </c>
      <c r="O147" s="15"/>
      <c r="P147" s="14" t="s">
        <v>226</v>
      </c>
      <c r="Q147" t="s">
        <v>1229</v>
      </c>
    </row>
    <row r="148" spans="1:17" ht="15.75" customHeight="1">
      <c r="A148" s="14" t="s">
        <v>1230</v>
      </c>
      <c r="B148" s="14" t="s">
        <v>49</v>
      </c>
      <c r="C148" s="14" t="s">
        <v>1231</v>
      </c>
      <c r="D148" s="14" t="s">
        <v>246</v>
      </c>
      <c r="E148" s="14">
        <v>2026</v>
      </c>
      <c r="F148" s="14" t="s">
        <v>269</v>
      </c>
      <c r="G148" s="14" t="s">
        <v>1232</v>
      </c>
      <c r="H148" s="14" t="s">
        <v>1233</v>
      </c>
      <c r="I148" s="14"/>
      <c r="J148" s="14" t="s">
        <v>1234</v>
      </c>
      <c r="K148" s="14" t="s">
        <v>1235</v>
      </c>
      <c r="L148" s="14" t="s">
        <v>54</v>
      </c>
      <c r="M148" s="14" t="s">
        <v>55</v>
      </c>
      <c r="N148" s="14" t="s">
        <v>148</v>
      </c>
      <c r="O148" s="15"/>
      <c r="P148" s="14" t="s">
        <v>149</v>
      </c>
    </row>
    <row r="149" spans="1:17" ht="15.75" customHeight="1">
      <c r="A149" s="14" t="s">
        <v>1236</v>
      </c>
      <c r="B149" s="14" t="s">
        <v>49</v>
      </c>
      <c r="C149" s="14" t="s">
        <v>1237</v>
      </c>
      <c r="D149" s="14" t="s">
        <v>1238</v>
      </c>
      <c r="E149" s="14">
        <v>2026</v>
      </c>
      <c r="F149" s="14" t="s">
        <v>1239</v>
      </c>
      <c r="G149" s="14" t="s">
        <v>1240</v>
      </c>
      <c r="H149" s="14" t="s">
        <v>1241</v>
      </c>
      <c r="I149" s="14"/>
      <c r="J149" s="14" t="s">
        <v>1242</v>
      </c>
      <c r="K149" s="14" t="s">
        <v>1243</v>
      </c>
      <c r="L149" s="14" t="s">
        <v>54</v>
      </c>
      <c r="M149" s="14" t="s">
        <v>55</v>
      </c>
      <c r="N149" s="14" t="s">
        <v>148</v>
      </c>
      <c r="O149" s="15"/>
      <c r="P149" s="14" t="s">
        <v>149</v>
      </c>
    </row>
    <row r="150" spans="1:17" ht="15.75" customHeight="1">
      <c r="A150" s="14" t="s">
        <v>1244</v>
      </c>
      <c r="B150" s="14" t="s">
        <v>49</v>
      </c>
      <c r="C150" s="14" t="s">
        <v>1245</v>
      </c>
      <c r="D150" s="14" t="s">
        <v>1246</v>
      </c>
      <c r="E150" s="14">
        <v>2022</v>
      </c>
      <c r="F150" s="14" t="s">
        <v>1247</v>
      </c>
      <c r="G150" s="14" t="s">
        <v>1248</v>
      </c>
      <c r="H150" s="14" t="s">
        <v>1249</v>
      </c>
      <c r="I150" s="14"/>
      <c r="J150" s="14" t="s">
        <v>1250</v>
      </c>
      <c r="K150" s="14" t="s">
        <v>1251</v>
      </c>
      <c r="L150" s="14" t="s">
        <v>54</v>
      </c>
      <c r="M150" s="14" t="s">
        <v>55</v>
      </c>
      <c r="N150" s="14" t="s">
        <v>148</v>
      </c>
      <c r="O150" s="15"/>
      <c r="P150" s="14" t="s">
        <v>195</v>
      </c>
    </row>
    <row r="151" spans="1:17" ht="15.75" customHeight="1">
      <c r="A151" s="14" t="s">
        <v>1252</v>
      </c>
      <c r="B151" s="14" t="s">
        <v>49</v>
      </c>
      <c r="C151" s="14" t="s">
        <v>1253</v>
      </c>
      <c r="D151" s="14" t="s">
        <v>1254</v>
      </c>
      <c r="E151" s="14">
        <v>2026</v>
      </c>
      <c r="F151" s="14" t="s">
        <v>555</v>
      </c>
      <c r="G151" s="14" t="s">
        <v>1255</v>
      </c>
      <c r="H151" s="14" t="s">
        <v>1256</v>
      </c>
      <c r="I151" s="14"/>
      <c r="J151" s="14" t="s">
        <v>1257</v>
      </c>
      <c r="K151" s="14" t="s">
        <v>1258</v>
      </c>
      <c r="L151" s="14" t="s">
        <v>54</v>
      </c>
      <c r="M151" s="14" t="s">
        <v>55</v>
      </c>
      <c r="N151" s="14" t="s">
        <v>148</v>
      </c>
      <c r="O151" s="15"/>
      <c r="P151" s="14" t="s">
        <v>195</v>
      </c>
    </row>
    <row r="152" spans="1:17" ht="15.75" customHeight="1">
      <c r="A152" s="14" t="s">
        <v>1259</v>
      </c>
      <c r="B152" s="14" t="s">
        <v>49</v>
      </c>
      <c r="C152" s="14" t="s">
        <v>1260</v>
      </c>
      <c r="D152" s="14" t="s">
        <v>1261</v>
      </c>
      <c r="E152" s="14">
        <v>2026</v>
      </c>
      <c r="F152" s="14" t="s">
        <v>1262</v>
      </c>
      <c r="G152" s="14" t="s">
        <v>1263</v>
      </c>
      <c r="H152" s="14" t="s">
        <v>1264</v>
      </c>
      <c r="I152" s="14"/>
      <c r="J152" s="14" t="s">
        <v>1265</v>
      </c>
      <c r="K152" s="15"/>
      <c r="L152" s="14" t="s">
        <v>54</v>
      </c>
      <c r="M152" s="14" t="s">
        <v>55</v>
      </c>
      <c r="N152" s="14" t="s">
        <v>148</v>
      </c>
      <c r="O152" s="15"/>
      <c r="P152" s="14" t="s">
        <v>360</v>
      </c>
      <c r="Q152" t="s">
        <v>1266</v>
      </c>
    </row>
    <row r="153" spans="1:17" ht="15.75" customHeight="1">
      <c r="A153" s="14" t="s">
        <v>1267</v>
      </c>
      <c r="B153" s="14" t="s">
        <v>49</v>
      </c>
      <c r="C153" s="14" t="s">
        <v>1268</v>
      </c>
      <c r="D153" s="14" t="s">
        <v>1269</v>
      </c>
      <c r="E153" s="14">
        <v>2025</v>
      </c>
      <c r="F153" s="14" t="s">
        <v>1035</v>
      </c>
      <c r="G153" s="14" t="s">
        <v>1270</v>
      </c>
      <c r="H153" s="14" t="s">
        <v>1271</v>
      </c>
      <c r="I153" s="14"/>
      <c r="J153" s="14" t="s">
        <v>1272</v>
      </c>
      <c r="K153" s="14" t="s">
        <v>1273</v>
      </c>
      <c r="L153" s="14" t="s">
        <v>54</v>
      </c>
      <c r="M153" s="14" t="s">
        <v>55</v>
      </c>
      <c r="N153" s="14" t="s">
        <v>148</v>
      </c>
      <c r="O153" s="15"/>
      <c r="P153" s="14" t="s">
        <v>149</v>
      </c>
    </row>
    <row r="154" spans="1:17" ht="15.75" customHeight="1">
      <c r="A154" s="14" t="s">
        <v>1274</v>
      </c>
      <c r="B154" s="14" t="s">
        <v>49</v>
      </c>
      <c r="C154" s="14" t="s">
        <v>1275</v>
      </c>
      <c r="D154" s="14" t="s">
        <v>1276</v>
      </c>
      <c r="E154" s="14">
        <v>2026</v>
      </c>
      <c r="F154" s="14" t="s">
        <v>239</v>
      </c>
      <c r="G154" s="14" t="s">
        <v>1277</v>
      </c>
      <c r="H154" s="14" t="s">
        <v>1278</v>
      </c>
      <c r="I154" s="14"/>
      <c r="J154" s="14" t="s">
        <v>1279</v>
      </c>
      <c r="K154" s="14" t="s">
        <v>1280</v>
      </c>
      <c r="L154" s="14" t="s">
        <v>54</v>
      </c>
      <c r="M154" s="14" t="s">
        <v>55</v>
      </c>
      <c r="N154" s="14" t="s">
        <v>148</v>
      </c>
      <c r="O154" s="15"/>
      <c r="P154" s="14" t="s">
        <v>195</v>
      </c>
    </row>
    <row r="155" spans="1:17" ht="15.75" customHeight="1">
      <c r="A155" s="14" t="s">
        <v>1281</v>
      </c>
      <c r="B155" s="14" t="s">
        <v>49</v>
      </c>
      <c r="C155" s="14" t="s">
        <v>1282</v>
      </c>
      <c r="D155" s="14" t="s">
        <v>1283</v>
      </c>
      <c r="E155" s="14">
        <v>2025</v>
      </c>
      <c r="F155" s="14" t="s">
        <v>1284</v>
      </c>
      <c r="G155" s="14" t="s">
        <v>1285</v>
      </c>
      <c r="H155" s="14" t="s">
        <v>1286</v>
      </c>
      <c r="I155" s="14"/>
      <c r="J155" s="14" t="s">
        <v>1287</v>
      </c>
      <c r="K155" s="14" t="s">
        <v>1288</v>
      </c>
      <c r="L155" s="14" t="s">
        <v>54</v>
      </c>
      <c r="M155" s="14" t="s">
        <v>55</v>
      </c>
      <c r="N155" s="14" t="s">
        <v>148</v>
      </c>
      <c r="O155" s="15"/>
      <c r="P155" s="14" t="s">
        <v>149</v>
      </c>
    </row>
    <row r="156" spans="1:17" ht="15.75" customHeight="1">
      <c r="A156" s="14" t="s">
        <v>1289</v>
      </c>
      <c r="B156" s="14" t="s">
        <v>49</v>
      </c>
      <c r="C156" s="14" t="s">
        <v>1290</v>
      </c>
      <c r="D156" s="14" t="s">
        <v>1291</v>
      </c>
      <c r="E156" s="14">
        <v>2026</v>
      </c>
      <c r="F156" s="14" t="s">
        <v>438</v>
      </c>
      <c r="G156" s="14" t="s">
        <v>1292</v>
      </c>
      <c r="H156" s="14" t="s">
        <v>1293</v>
      </c>
      <c r="I156" s="14"/>
      <c r="J156" s="14" t="s">
        <v>1294</v>
      </c>
      <c r="K156" s="14" t="s">
        <v>1295</v>
      </c>
      <c r="L156" s="14" t="s">
        <v>54</v>
      </c>
      <c r="M156" s="14" t="s">
        <v>55</v>
      </c>
      <c r="N156" s="14" t="s">
        <v>148</v>
      </c>
      <c r="O156" s="15"/>
      <c r="P156" s="14" t="s">
        <v>149</v>
      </c>
    </row>
    <row r="157" spans="1:17" ht="15.75" customHeight="1">
      <c r="A157" s="14" t="s">
        <v>1296</v>
      </c>
      <c r="B157" s="14" t="s">
        <v>59</v>
      </c>
      <c r="C157" s="14" t="s">
        <v>1297</v>
      </c>
      <c r="D157" s="14" t="s">
        <v>1298</v>
      </c>
      <c r="E157" s="14">
        <v>2024</v>
      </c>
      <c r="F157" s="14" t="s">
        <v>438</v>
      </c>
      <c r="G157" s="14" t="s">
        <v>1299</v>
      </c>
      <c r="H157" s="14" t="s">
        <v>1300</v>
      </c>
      <c r="I157" s="14"/>
      <c r="J157" s="14" t="s">
        <v>1301</v>
      </c>
      <c r="K157" s="14" t="s">
        <v>1302</v>
      </c>
      <c r="L157" s="14" t="s">
        <v>54</v>
      </c>
      <c r="M157" s="15"/>
      <c r="N157" s="14" t="s">
        <v>148</v>
      </c>
      <c r="O157" s="15"/>
      <c r="P157" s="14" t="s">
        <v>226</v>
      </c>
      <c r="Q157" t="s">
        <v>305</v>
      </c>
    </row>
    <row r="158" spans="1:17" ht="15.75" customHeight="1">
      <c r="A158" s="14" t="s">
        <v>1303</v>
      </c>
      <c r="B158" s="14" t="s">
        <v>59</v>
      </c>
      <c r="C158" s="14" t="s">
        <v>1304</v>
      </c>
      <c r="D158" s="14" t="s">
        <v>1305</v>
      </c>
      <c r="E158" s="14">
        <v>2019</v>
      </c>
      <c r="F158" s="14" t="s">
        <v>1306</v>
      </c>
      <c r="G158" s="14" t="s">
        <v>1307</v>
      </c>
      <c r="H158" s="14" t="s">
        <v>1308</v>
      </c>
      <c r="I158" s="14"/>
      <c r="J158" s="14" t="s">
        <v>1309</v>
      </c>
      <c r="K158" s="14" t="s">
        <v>1310</v>
      </c>
      <c r="L158" s="14" t="s">
        <v>54</v>
      </c>
      <c r="M158" s="15"/>
      <c r="N158" s="14" t="s">
        <v>148</v>
      </c>
      <c r="O158" s="15"/>
      <c r="P158" s="14" t="s">
        <v>226</v>
      </c>
      <c r="Q158" t="s">
        <v>305</v>
      </c>
    </row>
    <row r="159" spans="1:17" ht="15.75" customHeight="1">
      <c r="A159" s="14" t="s">
        <v>1311</v>
      </c>
      <c r="B159" s="14" t="s">
        <v>59</v>
      </c>
      <c r="C159" s="14" t="s">
        <v>1312</v>
      </c>
      <c r="D159" s="14" t="s">
        <v>1313</v>
      </c>
      <c r="E159" s="14">
        <v>2025</v>
      </c>
      <c r="F159" s="14" t="s">
        <v>1314</v>
      </c>
      <c r="G159" s="14" t="s">
        <v>1315</v>
      </c>
      <c r="H159" s="14" t="s">
        <v>1316</v>
      </c>
      <c r="I159" s="14"/>
      <c r="J159" s="14" t="s">
        <v>1317</v>
      </c>
      <c r="K159" s="14" t="s">
        <v>1318</v>
      </c>
      <c r="L159" s="14" t="s">
        <v>54</v>
      </c>
      <c r="M159" s="15"/>
      <c r="N159" s="14" t="s">
        <v>148</v>
      </c>
      <c r="O159" s="15"/>
      <c r="P159" s="14" t="s">
        <v>226</v>
      </c>
      <c r="Q159" t="s">
        <v>305</v>
      </c>
    </row>
    <row r="160" spans="1:17" ht="15.75" customHeight="1">
      <c r="A160" s="14" t="s">
        <v>1319</v>
      </c>
      <c r="B160" s="14" t="s">
        <v>59</v>
      </c>
      <c r="C160" s="14" t="s">
        <v>1320</v>
      </c>
      <c r="D160" s="14" t="s">
        <v>1321</v>
      </c>
      <c r="E160" s="14">
        <v>2025</v>
      </c>
      <c r="F160" s="14" t="s">
        <v>1322</v>
      </c>
      <c r="G160" s="14" t="s">
        <v>1323</v>
      </c>
      <c r="H160" s="14" t="s">
        <v>1324</v>
      </c>
      <c r="I160" s="14"/>
      <c r="J160" s="14" t="s">
        <v>1325</v>
      </c>
      <c r="K160" s="14" t="s">
        <v>1326</v>
      </c>
      <c r="L160" s="14" t="s">
        <v>54</v>
      </c>
      <c r="M160" s="15"/>
      <c r="N160" s="14" t="s">
        <v>148</v>
      </c>
      <c r="O160" s="15"/>
      <c r="P160" s="14" t="s">
        <v>226</v>
      </c>
      <c r="Q160" t="s">
        <v>305</v>
      </c>
    </row>
    <row r="161" spans="1:17" ht="15.75" customHeight="1">
      <c r="A161" s="14" t="s">
        <v>1327</v>
      </c>
      <c r="B161" s="14" t="s">
        <v>59</v>
      </c>
      <c r="C161" s="14" t="s">
        <v>1328</v>
      </c>
      <c r="D161" s="14" t="s">
        <v>1329</v>
      </c>
      <c r="E161" s="14">
        <v>2018</v>
      </c>
      <c r="F161" s="14" t="s">
        <v>1330</v>
      </c>
      <c r="G161" s="14" t="s">
        <v>1331</v>
      </c>
      <c r="H161" s="14" t="s">
        <v>1332</v>
      </c>
      <c r="I161" s="14"/>
      <c r="J161" s="15"/>
      <c r="K161" s="14" t="s">
        <v>1333</v>
      </c>
      <c r="L161" s="14" t="s">
        <v>54</v>
      </c>
      <c r="M161" s="15"/>
      <c r="N161" s="14" t="s">
        <v>148</v>
      </c>
      <c r="O161" s="15"/>
      <c r="P161" s="14" t="s">
        <v>226</v>
      </c>
      <c r="Q161" t="s">
        <v>305</v>
      </c>
    </row>
    <row r="162" spans="1:17" ht="15.75" customHeight="1">
      <c r="A162" s="14" t="s">
        <v>1334</v>
      </c>
      <c r="B162" s="14" t="s">
        <v>59</v>
      </c>
      <c r="C162" s="14" t="s">
        <v>1335</v>
      </c>
      <c r="D162" s="14" t="s">
        <v>1336</v>
      </c>
      <c r="E162" s="14">
        <v>2025</v>
      </c>
      <c r="F162" s="14" t="s">
        <v>1337</v>
      </c>
      <c r="G162" s="14" t="s">
        <v>1338</v>
      </c>
      <c r="H162" s="14" t="s">
        <v>1339</v>
      </c>
      <c r="I162" s="14"/>
      <c r="J162" s="14" t="s">
        <v>1340</v>
      </c>
      <c r="K162" s="15"/>
      <c r="L162" s="14" t="s">
        <v>54</v>
      </c>
      <c r="M162" s="15"/>
      <c r="N162" s="14" t="s">
        <v>148</v>
      </c>
      <c r="O162" s="15"/>
      <c r="P162" s="14" t="s">
        <v>226</v>
      </c>
      <c r="Q162" t="s">
        <v>305</v>
      </c>
    </row>
    <row r="163" spans="1:17" ht="15.75" customHeight="1">
      <c r="A163" s="14" t="s">
        <v>1341</v>
      </c>
      <c r="B163" s="14" t="s">
        <v>59</v>
      </c>
      <c r="C163" s="14" t="s">
        <v>1342</v>
      </c>
      <c r="D163" s="14" t="s">
        <v>1343</v>
      </c>
      <c r="E163" s="14">
        <v>2025</v>
      </c>
      <c r="F163" s="14" t="s">
        <v>415</v>
      </c>
      <c r="G163" s="14" t="s">
        <v>1344</v>
      </c>
      <c r="H163" s="14" t="s">
        <v>1345</v>
      </c>
      <c r="I163" s="14"/>
      <c r="J163" s="14" t="s">
        <v>1346</v>
      </c>
      <c r="K163" s="15"/>
      <c r="L163" s="14" t="s">
        <v>54</v>
      </c>
      <c r="M163" s="15"/>
      <c r="N163" s="14" t="s">
        <v>148</v>
      </c>
      <c r="O163" s="15"/>
      <c r="P163" s="14" t="s">
        <v>226</v>
      </c>
      <c r="Q163" t="s">
        <v>305</v>
      </c>
    </row>
    <row r="164" spans="1:17" ht="15.75" customHeight="1">
      <c r="A164" s="14" t="s">
        <v>1347</v>
      </c>
      <c r="B164" s="14" t="s">
        <v>59</v>
      </c>
      <c r="C164" s="14" t="s">
        <v>1348</v>
      </c>
      <c r="D164" s="14" t="s">
        <v>1349</v>
      </c>
      <c r="E164" s="14">
        <v>2022</v>
      </c>
      <c r="F164" s="14" t="s">
        <v>1350</v>
      </c>
      <c r="G164" s="14" t="s">
        <v>1351</v>
      </c>
      <c r="H164" s="14" t="s">
        <v>1352</v>
      </c>
      <c r="I164" s="14"/>
      <c r="J164" s="14" t="s">
        <v>1353</v>
      </c>
      <c r="K164" s="14" t="s">
        <v>1354</v>
      </c>
      <c r="L164" s="14" t="s">
        <v>54</v>
      </c>
      <c r="M164" s="15"/>
      <c r="N164" s="14" t="s">
        <v>148</v>
      </c>
      <c r="O164" s="15"/>
      <c r="P164" s="14" t="s">
        <v>226</v>
      </c>
      <c r="Q164" t="s">
        <v>971</v>
      </c>
    </row>
    <row r="165" spans="1:17" ht="15.75" customHeight="1">
      <c r="A165" s="14" t="s">
        <v>1355</v>
      </c>
      <c r="B165" s="14" t="s">
        <v>59</v>
      </c>
      <c r="C165" s="14" t="s">
        <v>1356</v>
      </c>
      <c r="D165" s="14" t="s">
        <v>1357</v>
      </c>
      <c r="E165" s="14">
        <v>2023</v>
      </c>
      <c r="F165" s="14" t="s">
        <v>1358</v>
      </c>
      <c r="G165" s="14" t="s">
        <v>1359</v>
      </c>
      <c r="H165" s="14" t="s">
        <v>1360</v>
      </c>
      <c r="I165" s="14"/>
      <c r="J165" s="14" t="s">
        <v>1361</v>
      </c>
      <c r="K165" s="14" t="s">
        <v>1362</v>
      </c>
      <c r="L165" s="14" t="s">
        <v>54</v>
      </c>
      <c r="M165" s="15"/>
      <c r="N165" s="14" t="s">
        <v>148</v>
      </c>
      <c r="O165" s="15"/>
      <c r="P165" s="14" t="s">
        <v>226</v>
      </c>
      <c r="Q165" t="s">
        <v>305</v>
      </c>
    </row>
    <row r="166" spans="1:17" ht="15.75" customHeight="1">
      <c r="A166" s="14" t="s">
        <v>1363</v>
      </c>
      <c r="B166" s="14" t="s">
        <v>59</v>
      </c>
      <c r="C166" s="14" t="s">
        <v>1364</v>
      </c>
      <c r="D166" s="14" t="s">
        <v>1365</v>
      </c>
      <c r="E166" s="14">
        <v>2026</v>
      </c>
      <c r="F166" s="14" t="s">
        <v>1366</v>
      </c>
      <c r="G166" s="14" t="s">
        <v>1367</v>
      </c>
      <c r="H166" s="14" t="s">
        <v>1368</v>
      </c>
      <c r="I166" s="14"/>
      <c r="J166" s="14" t="s">
        <v>1369</v>
      </c>
      <c r="K166" s="14" t="s">
        <v>1370</v>
      </c>
      <c r="L166" s="14" t="s">
        <v>54</v>
      </c>
      <c r="M166" s="15"/>
      <c r="N166" s="14" t="s">
        <v>148</v>
      </c>
      <c r="O166" s="15"/>
      <c r="P166" s="14" t="s">
        <v>226</v>
      </c>
      <c r="Q166" t="s">
        <v>305</v>
      </c>
    </row>
    <row r="167" spans="1:17" ht="15.75" customHeight="1">
      <c r="A167" s="14" t="s">
        <v>1371</v>
      </c>
      <c r="B167" s="14" t="s">
        <v>59</v>
      </c>
      <c r="C167" s="14" t="s">
        <v>1372</v>
      </c>
      <c r="D167" s="14" t="s">
        <v>1373</v>
      </c>
      <c r="E167" s="14">
        <v>2025</v>
      </c>
      <c r="F167" s="14" t="s">
        <v>255</v>
      </c>
      <c r="G167" s="14" t="s">
        <v>1374</v>
      </c>
      <c r="H167" s="14" t="s">
        <v>1375</v>
      </c>
      <c r="I167" s="14"/>
      <c r="J167" s="14" t="s">
        <v>1376</v>
      </c>
      <c r="K167" s="14" t="s">
        <v>1377</v>
      </c>
      <c r="L167" s="14" t="s">
        <v>54</v>
      </c>
      <c r="M167" s="15"/>
      <c r="N167" s="14" t="s">
        <v>148</v>
      </c>
      <c r="O167" s="15"/>
      <c r="P167" s="14" t="s">
        <v>226</v>
      </c>
      <c r="Q167" t="s">
        <v>305</v>
      </c>
    </row>
    <row r="168" spans="1:17" ht="15.75" customHeight="1">
      <c r="A168" s="14" t="s">
        <v>1378</v>
      </c>
      <c r="B168" s="14" t="s">
        <v>59</v>
      </c>
      <c r="C168" s="14" t="s">
        <v>1379</v>
      </c>
      <c r="D168" s="14" t="s">
        <v>1380</v>
      </c>
      <c r="E168" s="14">
        <v>2025</v>
      </c>
      <c r="F168" s="14" t="s">
        <v>1381</v>
      </c>
      <c r="G168" s="14" t="s">
        <v>1382</v>
      </c>
      <c r="H168" s="14" t="s">
        <v>1383</v>
      </c>
      <c r="I168" s="14"/>
      <c r="J168" s="14" t="s">
        <v>1384</v>
      </c>
      <c r="K168" s="15"/>
      <c r="L168" s="14" t="s">
        <v>54</v>
      </c>
      <c r="M168" s="15"/>
      <c r="N168" s="14" t="s">
        <v>148</v>
      </c>
      <c r="O168" s="15"/>
      <c r="P168" s="14" t="s">
        <v>226</v>
      </c>
      <c r="Q168" t="s">
        <v>305</v>
      </c>
    </row>
    <row r="169" spans="1:17" ht="15.75" customHeight="1">
      <c r="A169" s="14" t="s">
        <v>1385</v>
      </c>
      <c r="B169" s="14" t="s">
        <v>59</v>
      </c>
      <c r="C169" s="14" t="s">
        <v>1386</v>
      </c>
      <c r="D169" s="14" t="s">
        <v>1387</v>
      </c>
      <c r="E169" s="14">
        <v>2023</v>
      </c>
      <c r="F169" s="14" t="s">
        <v>332</v>
      </c>
      <c r="G169" s="14" t="s">
        <v>1388</v>
      </c>
      <c r="H169" s="14" t="s">
        <v>1389</v>
      </c>
      <c r="I169" s="14"/>
      <c r="J169" s="14" t="s">
        <v>1390</v>
      </c>
      <c r="K169" s="14" t="s">
        <v>1391</v>
      </c>
      <c r="L169" s="14" t="s">
        <v>54</v>
      </c>
      <c r="M169" s="15"/>
      <c r="N169" s="14" t="s">
        <v>148</v>
      </c>
      <c r="O169" s="15"/>
      <c r="P169" s="14" t="s">
        <v>226</v>
      </c>
      <c r="Q169" t="s">
        <v>305</v>
      </c>
    </row>
    <row r="170" spans="1:17" ht="15.75" customHeight="1">
      <c r="A170" s="14" t="s">
        <v>1392</v>
      </c>
      <c r="B170" s="14" t="s">
        <v>59</v>
      </c>
      <c r="C170" s="14" t="s">
        <v>1393</v>
      </c>
      <c r="D170" s="14" t="s">
        <v>1394</v>
      </c>
      <c r="E170" s="14">
        <v>2024</v>
      </c>
      <c r="F170" s="14" t="s">
        <v>715</v>
      </c>
      <c r="G170" s="14" t="s">
        <v>1395</v>
      </c>
      <c r="H170" s="14" t="s">
        <v>1396</v>
      </c>
      <c r="I170" s="14"/>
      <c r="J170" s="14" t="s">
        <v>1397</v>
      </c>
      <c r="K170" s="15"/>
      <c r="L170" s="14" t="s">
        <v>54</v>
      </c>
      <c r="M170" s="15"/>
      <c r="N170" s="14" t="s">
        <v>148</v>
      </c>
      <c r="O170" s="15"/>
      <c r="P170" s="14" t="s">
        <v>226</v>
      </c>
      <c r="Q170" t="s">
        <v>376</v>
      </c>
    </row>
    <row r="171" spans="1:17" ht="15.75" customHeight="1">
      <c r="A171" s="14" t="s">
        <v>1398</v>
      </c>
      <c r="B171" s="14" t="s">
        <v>59</v>
      </c>
      <c r="C171" s="14" t="s">
        <v>1399</v>
      </c>
      <c r="D171" s="14" t="s">
        <v>1400</v>
      </c>
      <c r="E171" s="14">
        <v>2026</v>
      </c>
      <c r="F171" s="14" t="s">
        <v>1401</v>
      </c>
      <c r="G171" s="14" t="s">
        <v>1402</v>
      </c>
      <c r="H171" s="14" t="s">
        <v>1403</v>
      </c>
      <c r="I171" s="14"/>
      <c r="J171" s="15"/>
      <c r="K171" s="14" t="s">
        <v>1404</v>
      </c>
      <c r="L171" s="14" t="s">
        <v>54</v>
      </c>
      <c r="M171" s="15"/>
      <c r="N171" s="14" t="s">
        <v>148</v>
      </c>
      <c r="O171" s="15"/>
      <c r="P171" s="14" t="s">
        <v>226</v>
      </c>
      <c r="Q171" t="s">
        <v>305</v>
      </c>
    </row>
    <row r="172" spans="1:17" ht="15.75" customHeight="1">
      <c r="A172" s="14" t="s">
        <v>1405</v>
      </c>
      <c r="B172" s="14" t="s">
        <v>59</v>
      </c>
      <c r="C172" s="14" t="s">
        <v>1406</v>
      </c>
      <c r="D172" s="14" t="s">
        <v>1407</v>
      </c>
      <c r="E172" s="14">
        <v>2026</v>
      </c>
      <c r="F172" s="14" t="s">
        <v>1408</v>
      </c>
      <c r="G172" s="14" t="s">
        <v>1409</v>
      </c>
      <c r="H172" s="14" t="s">
        <v>1410</v>
      </c>
      <c r="I172" s="14"/>
      <c r="J172" s="15"/>
      <c r="K172" s="14" t="s">
        <v>1411</v>
      </c>
      <c r="L172" s="14" t="s">
        <v>54</v>
      </c>
      <c r="M172" s="15"/>
      <c r="N172" s="14" t="s">
        <v>148</v>
      </c>
      <c r="O172" s="15"/>
      <c r="P172" s="14" t="s">
        <v>226</v>
      </c>
      <c r="Q172" t="s">
        <v>305</v>
      </c>
    </row>
    <row r="173" spans="1:17" ht="15.75" customHeight="1">
      <c r="A173" s="14" t="s">
        <v>1412</v>
      </c>
      <c r="B173" s="14" t="s">
        <v>59</v>
      </c>
      <c r="C173" s="14" t="s">
        <v>1413</v>
      </c>
      <c r="D173" s="14" t="s">
        <v>1414</v>
      </c>
      <c r="E173" s="14">
        <v>2016</v>
      </c>
      <c r="F173" s="14" t="s">
        <v>1415</v>
      </c>
      <c r="G173" s="14" t="s">
        <v>1416</v>
      </c>
      <c r="H173" s="14" t="s">
        <v>1417</v>
      </c>
      <c r="I173" s="14"/>
      <c r="J173" s="14" t="s">
        <v>1418</v>
      </c>
      <c r="K173" s="14" t="s">
        <v>1419</v>
      </c>
      <c r="L173" s="14" t="s">
        <v>54</v>
      </c>
      <c r="M173" s="15"/>
      <c r="N173" s="14" t="s">
        <v>148</v>
      </c>
      <c r="O173" s="15"/>
      <c r="P173" s="14" t="s">
        <v>226</v>
      </c>
      <c r="Q173" t="s">
        <v>305</v>
      </c>
    </row>
    <row r="174" spans="1:17" ht="15.75" customHeight="1">
      <c r="A174" s="14" t="s">
        <v>1420</v>
      </c>
      <c r="B174" s="14" t="s">
        <v>59</v>
      </c>
      <c r="C174" s="14" t="s">
        <v>1421</v>
      </c>
      <c r="D174" s="14" t="s">
        <v>1422</v>
      </c>
      <c r="E174" s="14">
        <v>2024</v>
      </c>
      <c r="F174" s="14" t="s">
        <v>1423</v>
      </c>
      <c r="G174" s="14" t="s">
        <v>1424</v>
      </c>
      <c r="H174" s="14" t="s">
        <v>1425</v>
      </c>
      <c r="I174" s="14"/>
      <c r="J174" s="14" t="s">
        <v>1426</v>
      </c>
      <c r="K174" s="14" t="s">
        <v>1427</v>
      </c>
      <c r="L174" s="14" t="s">
        <v>54</v>
      </c>
      <c r="M174" s="15"/>
      <c r="N174" s="14" t="s">
        <v>148</v>
      </c>
      <c r="O174" s="15"/>
      <c r="P174" s="14" t="s">
        <v>226</v>
      </c>
      <c r="Q174" t="s">
        <v>305</v>
      </c>
    </row>
    <row r="175" spans="1:17" ht="15.75" customHeight="1">
      <c r="A175" s="14" t="s">
        <v>1428</v>
      </c>
      <c r="B175" s="14" t="s">
        <v>59</v>
      </c>
      <c r="C175" s="14" t="s">
        <v>1429</v>
      </c>
      <c r="D175" s="14" t="s">
        <v>1430</v>
      </c>
      <c r="E175" s="14">
        <v>2026</v>
      </c>
      <c r="F175" s="14" t="s">
        <v>975</v>
      </c>
      <c r="G175" s="14" t="s">
        <v>1431</v>
      </c>
      <c r="H175" s="14" t="s">
        <v>1432</v>
      </c>
      <c r="I175" s="14"/>
      <c r="J175" s="14" t="s">
        <v>1433</v>
      </c>
      <c r="K175" s="14" t="s">
        <v>1434</v>
      </c>
      <c r="L175" s="14" t="s">
        <v>54</v>
      </c>
      <c r="M175" s="15"/>
      <c r="N175" s="14" t="s">
        <v>148</v>
      </c>
      <c r="O175" s="15"/>
      <c r="P175" s="14" t="s">
        <v>226</v>
      </c>
      <c r="Q175" t="s">
        <v>305</v>
      </c>
    </row>
    <row r="176" spans="1:17" ht="15.75" customHeight="1">
      <c r="A176" s="14" t="s">
        <v>1435</v>
      </c>
      <c r="B176" s="14" t="s">
        <v>59</v>
      </c>
      <c r="C176" s="14" t="s">
        <v>1436</v>
      </c>
      <c r="D176" s="14" t="s">
        <v>1437</v>
      </c>
      <c r="E176" s="14">
        <v>2025</v>
      </c>
      <c r="F176" s="14" t="s">
        <v>365</v>
      </c>
      <c r="G176" s="14" t="s">
        <v>1438</v>
      </c>
      <c r="H176" s="14" t="s">
        <v>1439</v>
      </c>
      <c r="I176" s="14"/>
      <c r="J176" s="14" t="s">
        <v>1440</v>
      </c>
      <c r="K176" s="14" t="s">
        <v>1441</v>
      </c>
      <c r="L176" s="14" t="s">
        <v>54</v>
      </c>
      <c r="M176" s="15"/>
      <c r="N176" s="14" t="s">
        <v>148</v>
      </c>
      <c r="O176" s="15"/>
      <c r="P176" s="14" t="s">
        <v>226</v>
      </c>
      <c r="Q176" t="s">
        <v>305</v>
      </c>
    </row>
    <row r="177" spans="1:17" ht="15.75" customHeight="1">
      <c r="A177" s="14" t="s">
        <v>1442</v>
      </c>
      <c r="B177" s="14" t="s">
        <v>59</v>
      </c>
      <c r="C177" s="14" t="s">
        <v>1443</v>
      </c>
      <c r="D177" s="14" t="s">
        <v>1444</v>
      </c>
      <c r="E177" s="14">
        <v>2024</v>
      </c>
      <c r="F177" s="14" t="s">
        <v>1445</v>
      </c>
      <c r="G177" s="14" t="s">
        <v>1446</v>
      </c>
      <c r="H177" s="14" t="s">
        <v>1447</v>
      </c>
      <c r="I177" s="14"/>
      <c r="J177" s="15"/>
      <c r="K177" s="14" t="s">
        <v>1448</v>
      </c>
      <c r="L177" s="14" t="s">
        <v>54</v>
      </c>
      <c r="M177" s="15"/>
      <c r="N177" s="14" t="s">
        <v>148</v>
      </c>
      <c r="O177" s="15"/>
      <c r="P177" s="14" t="s">
        <v>226</v>
      </c>
      <c r="Q177" t="s">
        <v>305</v>
      </c>
    </row>
    <row r="178" spans="1:17" ht="15.75" customHeight="1">
      <c r="A178" s="14" t="s">
        <v>1449</v>
      </c>
      <c r="B178" s="14" t="s">
        <v>59</v>
      </c>
      <c r="C178" s="14" t="s">
        <v>1450</v>
      </c>
      <c r="D178" s="14" t="s">
        <v>1451</v>
      </c>
      <c r="E178" s="14">
        <v>2025</v>
      </c>
      <c r="F178" s="14" t="s">
        <v>1086</v>
      </c>
      <c r="G178" s="14" t="s">
        <v>1452</v>
      </c>
      <c r="H178" s="14" t="s">
        <v>1453</v>
      </c>
      <c r="I178" s="14"/>
      <c r="J178" s="14" t="s">
        <v>1454</v>
      </c>
      <c r="K178" s="14" t="s">
        <v>1455</v>
      </c>
      <c r="L178" s="14" t="s">
        <v>54</v>
      </c>
      <c r="M178" s="15"/>
      <c r="N178" s="14" t="s">
        <v>148</v>
      </c>
      <c r="O178" s="15"/>
      <c r="P178" s="14" t="s">
        <v>226</v>
      </c>
      <c r="Q178" t="s">
        <v>305</v>
      </c>
    </row>
    <row r="179" spans="1:17" ht="15.75" customHeight="1">
      <c r="A179" s="14" t="s">
        <v>1456</v>
      </c>
      <c r="B179" s="14" t="s">
        <v>59</v>
      </c>
      <c r="C179" s="14" t="s">
        <v>1457</v>
      </c>
      <c r="D179" s="14" t="s">
        <v>1458</v>
      </c>
      <c r="E179" s="14">
        <v>2026</v>
      </c>
      <c r="F179" s="14" t="s">
        <v>1459</v>
      </c>
      <c r="G179" s="14" t="s">
        <v>1460</v>
      </c>
      <c r="H179" s="14" t="s">
        <v>1461</v>
      </c>
      <c r="I179" s="14"/>
      <c r="J179" s="14" t="s">
        <v>1462</v>
      </c>
      <c r="K179" s="14" t="s">
        <v>1463</v>
      </c>
      <c r="L179" s="14" t="s">
        <v>54</v>
      </c>
      <c r="M179" s="15"/>
      <c r="N179" s="14" t="s">
        <v>148</v>
      </c>
      <c r="O179" s="15"/>
      <c r="P179" s="14" t="s">
        <v>226</v>
      </c>
      <c r="Q179" t="s">
        <v>305</v>
      </c>
    </row>
    <row r="180" spans="1:17" ht="15.75" customHeight="1">
      <c r="A180" s="14" t="s">
        <v>1464</v>
      </c>
      <c r="B180" s="14" t="s">
        <v>59</v>
      </c>
      <c r="C180" s="14" t="s">
        <v>1465</v>
      </c>
      <c r="D180" s="14" t="s">
        <v>1466</v>
      </c>
      <c r="E180" s="14">
        <v>2024</v>
      </c>
      <c r="F180" s="14" t="s">
        <v>255</v>
      </c>
      <c r="G180" s="14" t="s">
        <v>1467</v>
      </c>
      <c r="H180" s="14" t="s">
        <v>1468</v>
      </c>
      <c r="I180" s="14"/>
      <c r="J180" s="14" t="s">
        <v>1469</v>
      </c>
      <c r="K180" s="14" t="s">
        <v>1470</v>
      </c>
      <c r="L180" s="14" t="s">
        <v>54</v>
      </c>
      <c r="M180" s="15"/>
      <c r="N180" s="14" t="s">
        <v>148</v>
      </c>
      <c r="O180" s="15"/>
      <c r="P180" s="14" t="s">
        <v>226</v>
      </c>
      <c r="Q180" t="s">
        <v>305</v>
      </c>
    </row>
    <row r="181" spans="1:17" ht="15.75" customHeight="1">
      <c r="A181" s="14" t="s">
        <v>1471</v>
      </c>
      <c r="B181" s="14" t="s">
        <v>59</v>
      </c>
      <c r="C181" s="14" t="s">
        <v>1472</v>
      </c>
      <c r="D181" s="14" t="s">
        <v>1473</v>
      </c>
      <c r="E181" s="14">
        <v>2025</v>
      </c>
      <c r="F181" s="14" t="s">
        <v>438</v>
      </c>
      <c r="G181" s="14" t="s">
        <v>1474</v>
      </c>
      <c r="H181" s="14" t="s">
        <v>1475</v>
      </c>
      <c r="I181" s="14"/>
      <c r="J181" s="14" t="s">
        <v>1476</v>
      </c>
      <c r="K181" s="14" t="s">
        <v>1477</v>
      </c>
      <c r="L181" s="14" t="s">
        <v>54</v>
      </c>
      <c r="M181" s="15"/>
      <c r="N181" s="14" t="s">
        <v>148</v>
      </c>
      <c r="O181" s="15"/>
      <c r="P181" s="14" t="s">
        <v>226</v>
      </c>
      <c r="Q181" t="s">
        <v>305</v>
      </c>
    </row>
    <row r="182" spans="1:17" ht="15.75" customHeight="1">
      <c r="A182" s="14" t="s">
        <v>1478</v>
      </c>
      <c r="B182" s="14" t="s">
        <v>59</v>
      </c>
      <c r="C182" s="14" t="s">
        <v>1479</v>
      </c>
      <c r="D182" s="14" t="s">
        <v>1480</v>
      </c>
      <c r="E182" s="14">
        <v>2020</v>
      </c>
      <c r="F182" s="14" t="s">
        <v>1481</v>
      </c>
      <c r="G182" s="14" t="s">
        <v>1482</v>
      </c>
      <c r="H182" s="14" t="s">
        <v>1483</v>
      </c>
      <c r="I182" s="14"/>
      <c r="J182" s="14" t="s">
        <v>1484</v>
      </c>
      <c r="K182" s="15"/>
      <c r="L182" s="14" t="s">
        <v>54</v>
      </c>
      <c r="M182" s="15"/>
      <c r="N182" s="14" t="s">
        <v>148</v>
      </c>
      <c r="O182" s="15"/>
      <c r="P182" s="14" t="s">
        <v>226</v>
      </c>
      <c r="Q182" t="s">
        <v>305</v>
      </c>
    </row>
    <row r="183" spans="1:17" ht="15.75" customHeight="1">
      <c r="A183" s="14" t="s">
        <v>1485</v>
      </c>
      <c r="B183" s="14" t="s">
        <v>59</v>
      </c>
      <c r="C183" s="14" t="s">
        <v>1486</v>
      </c>
      <c r="D183" s="14" t="s">
        <v>1487</v>
      </c>
      <c r="E183" s="14">
        <v>2021</v>
      </c>
      <c r="F183" s="14" t="s">
        <v>1488</v>
      </c>
      <c r="G183" s="14" t="s">
        <v>1489</v>
      </c>
      <c r="H183" s="14" t="s">
        <v>1490</v>
      </c>
      <c r="I183" s="14"/>
      <c r="J183" s="15"/>
      <c r="K183" s="14" t="s">
        <v>1491</v>
      </c>
      <c r="L183" s="14" t="s">
        <v>54</v>
      </c>
      <c r="M183" s="15"/>
      <c r="N183" s="14" t="s">
        <v>148</v>
      </c>
      <c r="O183" s="15"/>
      <c r="P183" s="14" t="s">
        <v>226</v>
      </c>
      <c r="Q183" t="s">
        <v>305</v>
      </c>
    </row>
    <row r="184" spans="1:17" ht="15.75" customHeight="1">
      <c r="A184" s="14" t="s">
        <v>1492</v>
      </c>
      <c r="B184" s="14" t="s">
        <v>59</v>
      </c>
      <c r="C184" s="14" t="s">
        <v>1493</v>
      </c>
      <c r="D184" s="14" t="s">
        <v>1494</v>
      </c>
      <c r="E184" s="14">
        <v>2026</v>
      </c>
      <c r="F184" s="14" t="s">
        <v>438</v>
      </c>
      <c r="G184" s="14" t="s">
        <v>1495</v>
      </c>
      <c r="H184" s="14" t="s">
        <v>1496</v>
      </c>
      <c r="I184" s="14"/>
      <c r="J184" s="14" t="s">
        <v>1497</v>
      </c>
      <c r="K184" s="14" t="s">
        <v>1498</v>
      </c>
      <c r="L184" s="14" t="s">
        <v>54</v>
      </c>
      <c r="M184" s="15"/>
      <c r="N184" s="14" t="s">
        <v>148</v>
      </c>
      <c r="O184" s="15"/>
      <c r="P184" s="14" t="s">
        <v>226</v>
      </c>
      <c r="Q184" t="s">
        <v>305</v>
      </c>
    </row>
    <row r="185" spans="1:17" ht="15.75" customHeight="1">
      <c r="A185" s="14" t="s">
        <v>1499</v>
      </c>
      <c r="B185" s="14" t="s">
        <v>59</v>
      </c>
      <c r="C185" s="14" t="s">
        <v>1500</v>
      </c>
      <c r="D185" s="14" t="s">
        <v>1501</v>
      </c>
      <c r="E185" s="14">
        <v>2026</v>
      </c>
      <c r="F185" s="14" t="s">
        <v>1502</v>
      </c>
      <c r="G185" s="14" t="s">
        <v>1503</v>
      </c>
      <c r="H185" s="14" t="s">
        <v>1504</v>
      </c>
      <c r="I185" s="14"/>
      <c r="J185" s="14" t="s">
        <v>1505</v>
      </c>
      <c r="K185" s="15"/>
      <c r="L185" s="14" t="s">
        <v>54</v>
      </c>
      <c r="M185" s="15"/>
      <c r="N185" s="14" t="s">
        <v>148</v>
      </c>
      <c r="O185" s="15"/>
      <c r="P185" s="14" t="s">
        <v>226</v>
      </c>
      <c r="Q185" t="s">
        <v>305</v>
      </c>
    </row>
    <row r="186" spans="1:17" ht="15.75" customHeight="1">
      <c r="A186" s="14" t="s">
        <v>1506</v>
      </c>
      <c r="B186" s="14" t="s">
        <v>59</v>
      </c>
      <c r="C186" s="14" t="s">
        <v>1507</v>
      </c>
      <c r="D186" s="14" t="s">
        <v>1508</v>
      </c>
      <c r="E186" s="14">
        <v>2011</v>
      </c>
      <c r="F186" s="14" t="s">
        <v>1509</v>
      </c>
      <c r="G186" s="14" t="s">
        <v>1510</v>
      </c>
      <c r="H186" s="14" t="s">
        <v>1511</v>
      </c>
      <c r="I186" s="14"/>
      <c r="J186" s="14" t="s">
        <v>1512</v>
      </c>
      <c r="K186" s="15"/>
      <c r="L186" s="14" t="s">
        <v>54</v>
      </c>
      <c r="M186" s="15"/>
      <c r="N186" s="14" t="s">
        <v>148</v>
      </c>
      <c r="O186" s="15"/>
      <c r="P186" s="14" t="s">
        <v>226</v>
      </c>
      <c r="Q186" t="s">
        <v>305</v>
      </c>
    </row>
    <row r="187" spans="1:17" ht="15.75" customHeight="1">
      <c r="A187" s="14" t="s">
        <v>1513</v>
      </c>
      <c r="B187" s="14" t="s">
        <v>59</v>
      </c>
      <c r="C187" s="14" t="s">
        <v>1514</v>
      </c>
      <c r="D187" s="14" t="s">
        <v>1515</v>
      </c>
      <c r="E187" s="14">
        <v>2025</v>
      </c>
      <c r="F187" s="14" t="s">
        <v>517</v>
      </c>
      <c r="G187" s="14" t="s">
        <v>1516</v>
      </c>
      <c r="H187" s="14" t="s">
        <v>1517</v>
      </c>
      <c r="I187" s="14"/>
      <c r="J187" s="14" t="s">
        <v>1518</v>
      </c>
      <c r="K187" s="14" t="s">
        <v>1519</v>
      </c>
      <c r="L187" s="14" t="s">
        <v>54</v>
      </c>
      <c r="M187" s="15"/>
      <c r="N187" s="14" t="s">
        <v>148</v>
      </c>
      <c r="O187" s="15"/>
      <c r="P187" s="14" t="s">
        <v>226</v>
      </c>
      <c r="Q187" t="s">
        <v>305</v>
      </c>
    </row>
    <row r="188" spans="1:17" ht="15.75" customHeight="1">
      <c r="A188" s="14" t="s">
        <v>1520</v>
      </c>
      <c r="B188" s="14" t="s">
        <v>59</v>
      </c>
      <c r="C188" s="14" t="s">
        <v>1521</v>
      </c>
      <c r="D188" s="14" t="s">
        <v>1522</v>
      </c>
      <c r="E188" s="14">
        <v>2024</v>
      </c>
      <c r="F188" s="14" t="s">
        <v>277</v>
      </c>
      <c r="G188" s="14" t="s">
        <v>1523</v>
      </c>
      <c r="H188" s="14" t="s">
        <v>1524</v>
      </c>
      <c r="I188" s="14"/>
      <c r="J188" s="14" t="s">
        <v>1525</v>
      </c>
      <c r="K188" s="14" t="s">
        <v>1526</v>
      </c>
      <c r="L188" s="14" t="s">
        <v>54</v>
      </c>
      <c r="M188" s="15"/>
      <c r="N188" s="14" t="s">
        <v>148</v>
      </c>
      <c r="O188" s="15"/>
      <c r="P188" s="14" t="s">
        <v>226</v>
      </c>
      <c r="Q188" t="s">
        <v>305</v>
      </c>
    </row>
    <row r="189" spans="1:17" ht="15.75" customHeight="1">
      <c r="A189" s="14" t="s">
        <v>1527</v>
      </c>
      <c r="B189" s="14" t="s">
        <v>59</v>
      </c>
      <c r="C189" s="14" t="s">
        <v>1528</v>
      </c>
      <c r="D189" s="14" t="s">
        <v>1529</v>
      </c>
      <c r="E189" s="14">
        <v>2026</v>
      </c>
      <c r="F189" s="14" t="s">
        <v>1158</v>
      </c>
      <c r="G189" s="14" t="s">
        <v>1530</v>
      </c>
      <c r="H189" s="14" t="s">
        <v>1531</v>
      </c>
      <c r="I189" s="14"/>
      <c r="J189" s="14" t="s">
        <v>1532</v>
      </c>
      <c r="K189" s="14" t="s">
        <v>1533</v>
      </c>
      <c r="L189" s="14" t="s">
        <v>54</v>
      </c>
      <c r="M189" s="15"/>
      <c r="N189" s="14" t="s">
        <v>148</v>
      </c>
      <c r="O189" s="15"/>
      <c r="P189" s="14" t="s">
        <v>226</v>
      </c>
      <c r="Q189" t="s">
        <v>305</v>
      </c>
    </row>
    <row r="190" spans="1:17" ht="15.75" customHeight="1">
      <c r="A190" s="14" t="s">
        <v>1534</v>
      </c>
      <c r="B190" s="14" t="s">
        <v>59</v>
      </c>
      <c r="C190" s="14" t="s">
        <v>1535</v>
      </c>
      <c r="D190" s="14" t="s">
        <v>1536</v>
      </c>
      <c r="E190" s="14">
        <v>2025</v>
      </c>
      <c r="F190" s="14" t="s">
        <v>1035</v>
      </c>
      <c r="G190" s="14" t="s">
        <v>1537</v>
      </c>
      <c r="H190" s="14" t="s">
        <v>1538</v>
      </c>
      <c r="I190" s="14"/>
      <c r="J190" s="14" t="s">
        <v>1539</v>
      </c>
      <c r="K190" s="14" t="s">
        <v>1540</v>
      </c>
      <c r="L190" s="14" t="s">
        <v>54</v>
      </c>
      <c r="M190" s="15"/>
      <c r="N190" s="14" t="s">
        <v>148</v>
      </c>
      <c r="O190" s="15"/>
      <c r="P190" s="14" t="s">
        <v>226</v>
      </c>
      <c r="Q190" t="s">
        <v>305</v>
      </c>
    </row>
    <row r="191" spans="1:17" ht="15.75" customHeight="1">
      <c r="A191" s="14" t="s">
        <v>1541</v>
      </c>
      <c r="B191" s="14" t="s">
        <v>59</v>
      </c>
      <c r="C191" s="14" t="s">
        <v>1542</v>
      </c>
      <c r="D191" s="14" t="s">
        <v>1543</v>
      </c>
      <c r="E191" s="14">
        <v>2025</v>
      </c>
      <c r="F191" s="14" t="s">
        <v>1544</v>
      </c>
      <c r="G191" s="14" t="s">
        <v>1545</v>
      </c>
      <c r="H191" s="14" t="s">
        <v>1546</v>
      </c>
      <c r="I191" s="14"/>
      <c r="J191" s="14" t="s">
        <v>1547</v>
      </c>
      <c r="K191" s="15"/>
      <c r="L191" s="14" t="s">
        <v>54</v>
      </c>
      <c r="M191" s="15"/>
      <c r="N191" s="14" t="s">
        <v>148</v>
      </c>
      <c r="O191" s="15"/>
      <c r="P191" s="14" t="s">
        <v>226</v>
      </c>
      <c r="Q191" t="s">
        <v>971</v>
      </c>
    </row>
    <row r="192" spans="1:17" ht="15.75" customHeight="1">
      <c r="A192" s="14" t="s">
        <v>1548</v>
      </c>
      <c r="B192" s="14" t="s">
        <v>59</v>
      </c>
      <c r="C192" s="14" t="s">
        <v>1549</v>
      </c>
      <c r="D192" s="14" t="s">
        <v>1550</v>
      </c>
      <c r="E192" s="14">
        <v>2022</v>
      </c>
      <c r="F192" s="14" t="s">
        <v>540</v>
      </c>
      <c r="G192" s="14" t="s">
        <v>1551</v>
      </c>
      <c r="H192" s="14" t="s">
        <v>1552</v>
      </c>
      <c r="I192" s="14"/>
      <c r="J192" s="14" t="s">
        <v>1553</v>
      </c>
      <c r="K192" s="14" t="s">
        <v>1554</v>
      </c>
      <c r="L192" s="14" t="s">
        <v>54</v>
      </c>
      <c r="M192" s="15"/>
      <c r="N192" s="14" t="s">
        <v>148</v>
      </c>
      <c r="O192" s="15"/>
      <c r="P192" s="14" t="s">
        <v>226</v>
      </c>
      <c r="Q192" t="s">
        <v>305</v>
      </c>
    </row>
    <row r="193" spans="1:17" ht="15.75" customHeight="1">
      <c r="A193" s="14" t="s">
        <v>1555</v>
      </c>
      <c r="B193" s="14" t="s">
        <v>59</v>
      </c>
      <c r="C193" s="14" t="s">
        <v>1556</v>
      </c>
      <c r="D193" s="14" t="s">
        <v>1557</v>
      </c>
      <c r="E193" s="14">
        <v>2025</v>
      </c>
      <c r="F193" s="14" t="s">
        <v>438</v>
      </c>
      <c r="G193" s="14" t="s">
        <v>1558</v>
      </c>
      <c r="H193" s="14" t="s">
        <v>1559</v>
      </c>
      <c r="I193" s="14"/>
      <c r="J193" s="14" t="s">
        <v>1560</v>
      </c>
      <c r="K193" s="14" t="s">
        <v>1561</v>
      </c>
      <c r="L193" s="14" t="s">
        <v>54</v>
      </c>
      <c r="M193" s="15"/>
      <c r="N193" s="14" t="s">
        <v>148</v>
      </c>
      <c r="O193" s="15"/>
      <c r="P193" s="14" t="s">
        <v>226</v>
      </c>
      <c r="Q193" t="s">
        <v>305</v>
      </c>
    </row>
    <row r="194" spans="1:17" ht="15.75" customHeight="1">
      <c r="A194" s="14" t="s">
        <v>1562</v>
      </c>
      <c r="B194" s="14" t="s">
        <v>59</v>
      </c>
      <c r="C194" s="14" t="s">
        <v>1563</v>
      </c>
      <c r="D194" s="14" t="s">
        <v>1564</v>
      </c>
      <c r="E194" s="14">
        <v>2024</v>
      </c>
      <c r="F194" s="14" t="s">
        <v>1565</v>
      </c>
      <c r="G194" s="14" t="s">
        <v>1566</v>
      </c>
      <c r="H194" s="14" t="s">
        <v>1567</v>
      </c>
      <c r="I194" s="14"/>
      <c r="J194" s="14" t="s">
        <v>1568</v>
      </c>
      <c r="K194" s="14" t="s">
        <v>1569</v>
      </c>
      <c r="L194" s="14" t="s">
        <v>54</v>
      </c>
      <c r="M194" s="15"/>
      <c r="N194" s="14" t="s">
        <v>148</v>
      </c>
      <c r="O194" s="15"/>
      <c r="P194" s="14" t="s">
        <v>226</v>
      </c>
      <c r="Q194" t="s">
        <v>305</v>
      </c>
    </row>
    <row r="195" spans="1:17" ht="15.75" customHeight="1">
      <c r="A195" s="14" t="s">
        <v>1570</v>
      </c>
      <c r="B195" s="14" t="s">
        <v>59</v>
      </c>
      <c r="C195" s="14" t="s">
        <v>1571</v>
      </c>
      <c r="D195" s="14" t="s">
        <v>1572</v>
      </c>
      <c r="E195" s="14">
        <v>2022</v>
      </c>
      <c r="F195" s="14" t="s">
        <v>1573</v>
      </c>
      <c r="G195" s="14" t="s">
        <v>1574</v>
      </c>
      <c r="H195" s="14" t="s">
        <v>1575</v>
      </c>
      <c r="I195" s="14"/>
      <c r="J195" s="14" t="s">
        <v>1576</v>
      </c>
      <c r="K195" s="15"/>
      <c r="L195" s="14" t="s">
        <v>54</v>
      </c>
      <c r="M195" s="15"/>
      <c r="N195" s="14" t="s">
        <v>148</v>
      </c>
      <c r="O195" s="15"/>
      <c r="P195" s="14" t="s">
        <v>226</v>
      </c>
      <c r="Q195" t="s">
        <v>305</v>
      </c>
    </row>
    <row r="196" spans="1:17" ht="15.75" customHeight="1">
      <c r="A196" s="14" t="s">
        <v>1577</v>
      </c>
      <c r="B196" s="14" t="s">
        <v>59</v>
      </c>
      <c r="C196" s="14" t="s">
        <v>1578</v>
      </c>
      <c r="D196" s="14" t="s">
        <v>1579</v>
      </c>
      <c r="E196" s="14">
        <v>2024</v>
      </c>
      <c r="F196" s="14" t="s">
        <v>1580</v>
      </c>
      <c r="G196" s="14" t="s">
        <v>1581</v>
      </c>
      <c r="H196" s="14" t="s">
        <v>1582</v>
      </c>
      <c r="I196" s="14"/>
      <c r="J196" s="14" t="s">
        <v>1583</v>
      </c>
      <c r="K196" s="15"/>
      <c r="L196" s="14" t="s">
        <v>54</v>
      </c>
      <c r="M196" s="15"/>
      <c r="N196" s="14" t="s">
        <v>148</v>
      </c>
      <c r="O196" s="15"/>
      <c r="P196" s="14" t="s">
        <v>226</v>
      </c>
      <c r="Q196" t="s">
        <v>305</v>
      </c>
    </row>
    <row r="197" spans="1:17" ht="15.75" customHeight="1">
      <c r="A197" s="14" t="s">
        <v>1584</v>
      </c>
      <c r="B197" s="14" t="s">
        <v>59</v>
      </c>
      <c r="C197" s="14" t="s">
        <v>1585</v>
      </c>
      <c r="D197" s="14" t="s">
        <v>1586</v>
      </c>
      <c r="E197" s="14">
        <v>2026</v>
      </c>
      <c r="F197" s="14" t="s">
        <v>1587</v>
      </c>
      <c r="G197" s="14" t="s">
        <v>1588</v>
      </c>
      <c r="H197" s="14" t="s">
        <v>1589</v>
      </c>
      <c r="I197" s="14"/>
      <c r="J197" s="14" t="s">
        <v>1590</v>
      </c>
      <c r="K197" s="14" t="s">
        <v>1591</v>
      </c>
      <c r="L197" s="14" t="s">
        <v>54</v>
      </c>
      <c r="M197" s="15"/>
      <c r="N197" s="14" t="s">
        <v>148</v>
      </c>
      <c r="O197" s="15"/>
      <c r="P197" s="14" t="s">
        <v>226</v>
      </c>
      <c r="Q197" t="s">
        <v>305</v>
      </c>
    </row>
    <row r="198" spans="1:17" ht="15.75" customHeight="1">
      <c r="A198" s="14" t="s">
        <v>1592</v>
      </c>
      <c r="B198" s="14" t="s">
        <v>59</v>
      </c>
      <c r="C198" s="14" t="s">
        <v>1593</v>
      </c>
      <c r="D198" s="14" t="s">
        <v>1594</v>
      </c>
      <c r="E198" s="14">
        <v>2026</v>
      </c>
      <c r="F198" s="14" t="s">
        <v>1595</v>
      </c>
      <c r="G198" s="14" t="s">
        <v>1596</v>
      </c>
      <c r="H198" s="14" t="s">
        <v>1597</v>
      </c>
      <c r="I198" s="14"/>
      <c r="J198" s="14" t="s">
        <v>1598</v>
      </c>
      <c r="K198" s="15"/>
      <c r="L198" s="14" t="s">
        <v>54</v>
      </c>
      <c r="M198" s="15"/>
      <c r="N198" s="14" t="s">
        <v>148</v>
      </c>
      <c r="O198" s="15"/>
      <c r="P198" s="14" t="s">
        <v>226</v>
      </c>
      <c r="Q198" t="s">
        <v>305</v>
      </c>
    </row>
    <row r="199" spans="1:17" ht="15.75" customHeight="1">
      <c r="A199" s="14" t="s">
        <v>1599</v>
      </c>
      <c r="B199" s="14" t="s">
        <v>59</v>
      </c>
      <c r="C199" s="14" t="s">
        <v>1600</v>
      </c>
      <c r="D199" s="14" t="s">
        <v>1601</v>
      </c>
      <c r="E199" s="14">
        <v>2017</v>
      </c>
      <c r="F199" s="14" t="s">
        <v>1602</v>
      </c>
      <c r="G199" s="14" t="s">
        <v>1603</v>
      </c>
      <c r="H199" s="14" t="s">
        <v>1604</v>
      </c>
      <c r="I199" s="14"/>
      <c r="J199" s="14" t="s">
        <v>1605</v>
      </c>
      <c r="K199" s="14" t="s">
        <v>1606</v>
      </c>
      <c r="L199" s="14" t="s">
        <v>54</v>
      </c>
      <c r="M199" s="15"/>
      <c r="N199" s="14" t="s">
        <v>148</v>
      </c>
      <c r="O199" s="15"/>
      <c r="P199" s="14" t="s">
        <v>226</v>
      </c>
      <c r="Q199" t="s">
        <v>305</v>
      </c>
    </row>
    <row r="200" spans="1:17" ht="15.75" customHeight="1">
      <c r="A200" s="14" t="s">
        <v>1607</v>
      </c>
      <c r="B200" s="14" t="s">
        <v>59</v>
      </c>
      <c r="C200" s="14" t="s">
        <v>1608</v>
      </c>
      <c r="D200" s="14" t="s">
        <v>1609</v>
      </c>
      <c r="E200" s="14">
        <v>2026</v>
      </c>
      <c r="F200" s="14" t="s">
        <v>1610</v>
      </c>
      <c r="G200" s="14" t="s">
        <v>1611</v>
      </c>
      <c r="H200" s="14" t="s">
        <v>1612</v>
      </c>
      <c r="I200" s="14"/>
      <c r="J200" s="14" t="s">
        <v>1613</v>
      </c>
      <c r="K200" s="15"/>
      <c r="L200" s="14" t="s">
        <v>54</v>
      </c>
      <c r="M200" s="15"/>
      <c r="N200" s="14" t="s">
        <v>148</v>
      </c>
      <c r="O200" s="15"/>
      <c r="P200" s="14" t="s">
        <v>226</v>
      </c>
      <c r="Q200" t="s">
        <v>305</v>
      </c>
    </row>
    <row r="201" spans="1:17" ht="15.75" customHeight="1">
      <c r="A201" s="14" t="s">
        <v>1614</v>
      </c>
      <c r="B201" s="14" t="s">
        <v>59</v>
      </c>
      <c r="C201" s="14" t="s">
        <v>1615</v>
      </c>
      <c r="D201" s="14" t="s">
        <v>1616</v>
      </c>
      <c r="E201" s="14">
        <v>2023</v>
      </c>
      <c r="F201" s="14" t="s">
        <v>1617</v>
      </c>
      <c r="G201" s="14" t="s">
        <v>1618</v>
      </c>
      <c r="H201" s="14" t="s">
        <v>1619</v>
      </c>
      <c r="I201" s="14"/>
      <c r="J201" s="14" t="s">
        <v>1620</v>
      </c>
      <c r="K201" s="14" t="s">
        <v>1621</v>
      </c>
      <c r="L201" s="14" t="s">
        <v>54</v>
      </c>
      <c r="M201" s="15"/>
      <c r="N201" s="14" t="s">
        <v>148</v>
      </c>
      <c r="O201" s="15"/>
      <c r="P201" s="14" t="s">
        <v>226</v>
      </c>
      <c r="Q201" t="s">
        <v>305</v>
      </c>
    </row>
    <row r="202" spans="1:17" ht="15.75" customHeight="1">
      <c r="A202" s="14" t="s">
        <v>1622</v>
      </c>
      <c r="B202" s="14" t="s">
        <v>59</v>
      </c>
      <c r="C202" s="14" t="s">
        <v>1623</v>
      </c>
      <c r="D202" s="14" t="s">
        <v>1624</v>
      </c>
      <c r="E202" s="14">
        <v>2023</v>
      </c>
      <c r="F202" s="14" t="s">
        <v>1625</v>
      </c>
      <c r="G202" s="14" t="s">
        <v>1626</v>
      </c>
      <c r="H202" s="14" t="s">
        <v>1627</v>
      </c>
      <c r="I202" s="14"/>
      <c r="J202" s="14" t="s">
        <v>1628</v>
      </c>
      <c r="K202" s="14" t="s">
        <v>1629</v>
      </c>
      <c r="L202" s="14" t="s">
        <v>54</v>
      </c>
      <c r="M202" s="15"/>
      <c r="N202" s="14" t="s">
        <v>148</v>
      </c>
      <c r="O202" s="15"/>
      <c r="P202" s="14" t="s">
        <v>226</v>
      </c>
      <c r="Q202" t="s">
        <v>305</v>
      </c>
    </row>
    <row r="203" spans="1:17" ht="15.75" customHeight="1">
      <c r="A203" s="14" t="s">
        <v>1630</v>
      </c>
      <c r="B203" s="14" t="s">
        <v>59</v>
      </c>
      <c r="C203" s="14" t="s">
        <v>1631</v>
      </c>
      <c r="D203" s="14" t="s">
        <v>1632</v>
      </c>
      <c r="E203" s="14">
        <v>2025</v>
      </c>
      <c r="F203" s="14" t="s">
        <v>182</v>
      </c>
      <c r="G203" s="14" t="s">
        <v>1633</v>
      </c>
      <c r="H203" s="14" t="s">
        <v>1634</v>
      </c>
      <c r="I203" s="14"/>
      <c r="J203" s="14" t="s">
        <v>1635</v>
      </c>
      <c r="K203" s="14" t="s">
        <v>1636</v>
      </c>
      <c r="L203" s="14" t="s">
        <v>54</v>
      </c>
      <c r="M203" s="15"/>
      <c r="N203" s="14" t="s">
        <v>148</v>
      </c>
      <c r="O203" s="15"/>
      <c r="P203" s="14" t="s">
        <v>226</v>
      </c>
      <c r="Q203" t="s">
        <v>305</v>
      </c>
    </row>
    <row r="204" spans="1:17" ht="15.75" customHeight="1">
      <c r="A204" s="14" t="s">
        <v>1637</v>
      </c>
      <c r="B204" s="14" t="s">
        <v>59</v>
      </c>
      <c r="C204" s="14" t="s">
        <v>1638</v>
      </c>
      <c r="D204" s="14" t="s">
        <v>1639</v>
      </c>
      <c r="E204" s="14">
        <v>2022</v>
      </c>
      <c r="F204" s="14" t="s">
        <v>438</v>
      </c>
      <c r="G204" s="14" t="s">
        <v>1640</v>
      </c>
      <c r="H204" s="14" t="s">
        <v>1641</v>
      </c>
      <c r="I204" s="14"/>
      <c r="J204" s="14" t="s">
        <v>1642</v>
      </c>
      <c r="K204" s="14" t="s">
        <v>1643</v>
      </c>
      <c r="L204" s="14" t="s">
        <v>54</v>
      </c>
      <c r="M204" s="15"/>
      <c r="N204" s="14" t="s">
        <v>148</v>
      </c>
      <c r="O204" s="15"/>
      <c r="P204" s="14" t="s">
        <v>226</v>
      </c>
      <c r="Q204" t="s">
        <v>305</v>
      </c>
    </row>
    <row r="205" spans="1:17" ht="15.75" customHeight="1">
      <c r="A205" s="14" t="s">
        <v>1644</v>
      </c>
      <c r="B205" s="14" t="s">
        <v>59</v>
      </c>
      <c r="C205" s="14" t="s">
        <v>1645</v>
      </c>
      <c r="D205" s="14" t="s">
        <v>1646</v>
      </c>
      <c r="E205" s="14">
        <v>2022</v>
      </c>
      <c r="F205" s="14" t="s">
        <v>1647</v>
      </c>
      <c r="G205" s="14" t="s">
        <v>1648</v>
      </c>
      <c r="H205" s="14" t="s">
        <v>1649</v>
      </c>
      <c r="I205" s="14"/>
      <c r="J205" s="14" t="s">
        <v>1650</v>
      </c>
      <c r="K205" s="14" t="s">
        <v>1651</v>
      </c>
      <c r="L205" s="14" t="s">
        <v>54</v>
      </c>
      <c r="M205" s="15"/>
      <c r="N205" s="14" t="s">
        <v>148</v>
      </c>
      <c r="O205" s="15"/>
      <c r="P205" s="14" t="s">
        <v>226</v>
      </c>
      <c r="Q205" t="s">
        <v>305</v>
      </c>
    </row>
    <row r="206" spans="1:17" ht="15.75" customHeight="1">
      <c r="A206" s="14" t="s">
        <v>1652</v>
      </c>
      <c r="B206" s="14" t="s">
        <v>59</v>
      </c>
      <c r="C206" s="14" t="s">
        <v>1653</v>
      </c>
      <c r="D206" s="14" t="s">
        <v>1654</v>
      </c>
      <c r="E206" s="14">
        <v>2025</v>
      </c>
      <c r="F206" s="14" t="s">
        <v>1655</v>
      </c>
      <c r="G206" s="14" t="s">
        <v>1656</v>
      </c>
      <c r="H206" s="14" t="s">
        <v>1657</v>
      </c>
      <c r="I206" s="14"/>
      <c r="J206" s="14" t="s">
        <v>1658</v>
      </c>
      <c r="K206" s="15"/>
      <c r="L206" s="14" t="s">
        <v>54</v>
      </c>
      <c r="M206" s="15"/>
      <c r="N206" s="14" t="s">
        <v>148</v>
      </c>
      <c r="O206" s="15"/>
      <c r="P206" s="14" t="s">
        <v>226</v>
      </c>
      <c r="Q206" t="s">
        <v>305</v>
      </c>
    </row>
    <row r="207" spans="1:17" ht="15.75" customHeight="1">
      <c r="A207" s="14" t="s">
        <v>1659</v>
      </c>
      <c r="B207" s="14" t="s">
        <v>59</v>
      </c>
      <c r="C207" s="14" t="s">
        <v>1660</v>
      </c>
      <c r="D207" s="14" t="s">
        <v>1661</v>
      </c>
      <c r="E207" s="14">
        <v>2026</v>
      </c>
      <c r="F207" s="14" t="s">
        <v>1662</v>
      </c>
      <c r="G207" s="14" t="s">
        <v>1663</v>
      </c>
      <c r="H207" s="14" t="s">
        <v>1664</v>
      </c>
      <c r="I207" s="14"/>
      <c r="J207" s="15"/>
      <c r="K207" s="14" t="s">
        <v>1665</v>
      </c>
      <c r="L207" s="14" t="s">
        <v>54</v>
      </c>
      <c r="M207" s="15"/>
      <c r="N207" s="14" t="s">
        <v>148</v>
      </c>
      <c r="O207" s="15"/>
      <c r="P207" s="14" t="s">
        <v>226</v>
      </c>
      <c r="Q207" t="s">
        <v>305</v>
      </c>
    </row>
    <row r="208" spans="1:17" ht="15.75" customHeight="1">
      <c r="A208" s="14" t="s">
        <v>1666</v>
      </c>
      <c r="B208" s="14" t="s">
        <v>59</v>
      </c>
      <c r="C208" s="14" t="s">
        <v>1667</v>
      </c>
      <c r="D208" s="14" t="s">
        <v>1668</v>
      </c>
      <c r="E208" s="14">
        <v>2026</v>
      </c>
      <c r="F208" s="14" t="s">
        <v>1239</v>
      </c>
      <c r="G208" s="14" t="s">
        <v>1669</v>
      </c>
      <c r="H208" s="14" t="s">
        <v>1670</v>
      </c>
      <c r="I208" s="14"/>
      <c r="J208" s="14" t="s">
        <v>1671</v>
      </c>
      <c r="K208" s="14" t="s">
        <v>1672</v>
      </c>
      <c r="L208" s="14" t="s">
        <v>54</v>
      </c>
      <c r="M208" s="15"/>
      <c r="N208" s="14" t="s">
        <v>148</v>
      </c>
      <c r="O208" s="15"/>
      <c r="P208" s="14" t="s">
        <v>226</v>
      </c>
      <c r="Q208" t="s">
        <v>305</v>
      </c>
    </row>
    <row r="209" spans="1:17" ht="15.75" customHeight="1">
      <c r="A209" s="14" t="s">
        <v>1673</v>
      </c>
      <c r="B209" s="14" t="s">
        <v>59</v>
      </c>
      <c r="C209" s="14" t="s">
        <v>1674</v>
      </c>
      <c r="D209" s="14" t="s">
        <v>1675</v>
      </c>
      <c r="E209" s="14">
        <v>2020</v>
      </c>
      <c r="F209" s="14" t="s">
        <v>1676</v>
      </c>
      <c r="G209" s="14" t="s">
        <v>1677</v>
      </c>
      <c r="H209" s="14" t="s">
        <v>1678</v>
      </c>
      <c r="I209" s="14"/>
      <c r="J209" s="15"/>
      <c r="K209" s="14" t="s">
        <v>1679</v>
      </c>
      <c r="L209" s="14" t="s">
        <v>54</v>
      </c>
      <c r="M209" s="15"/>
      <c r="N209" s="14" t="s">
        <v>148</v>
      </c>
      <c r="O209" s="15"/>
      <c r="P209" s="14" t="s">
        <v>226</v>
      </c>
      <c r="Q209" t="s">
        <v>305</v>
      </c>
    </row>
    <row r="210" spans="1:17" ht="15.75" customHeight="1">
      <c r="A210" s="14" t="s">
        <v>1680</v>
      </c>
      <c r="B210" s="14" t="s">
        <v>59</v>
      </c>
      <c r="C210" s="14" t="s">
        <v>1681</v>
      </c>
      <c r="D210" s="14" t="s">
        <v>1682</v>
      </c>
      <c r="E210" s="14">
        <v>1997</v>
      </c>
      <c r="F210" s="14" t="s">
        <v>501</v>
      </c>
      <c r="G210" s="14" t="s">
        <v>1683</v>
      </c>
      <c r="H210" s="14" t="s">
        <v>1684</v>
      </c>
      <c r="I210" s="14"/>
      <c r="J210" s="14" t="s">
        <v>1685</v>
      </c>
      <c r="K210" s="14" t="s">
        <v>1686</v>
      </c>
      <c r="L210" s="14" t="s">
        <v>54</v>
      </c>
      <c r="M210" s="15"/>
      <c r="N210" s="14" t="s">
        <v>148</v>
      </c>
      <c r="O210" s="15"/>
      <c r="P210" s="14" t="s">
        <v>226</v>
      </c>
      <c r="Q210" t="s">
        <v>305</v>
      </c>
    </row>
    <row r="211" spans="1:17" ht="15.75" customHeight="1">
      <c r="A211" s="14" t="s">
        <v>1687</v>
      </c>
      <c r="B211" s="14" t="s">
        <v>59</v>
      </c>
      <c r="C211" s="14" t="s">
        <v>1688</v>
      </c>
      <c r="D211" s="14" t="s">
        <v>1689</v>
      </c>
      <c r="E211" s="14">
        <v>2023</v>
      </c>
      <c r="F211" s="14" t="s">
        <v>1158</v>
      </c>
      <c r="G211" s="14" t="s">
        <v>1690</v>
      </c>
      <c r="H211" s="14" t="s">
        <v>1691</v>
      </c>
      <c r="I211" s="14"/>
      <c r="J211" s="14" t="s">
        <v>1692</v>
      </c>
      <c r="K211" s="14" t="s">
        <v>1693</v>
      </c>
      <c r="L211" s="14" t="s">
        <v>54</v>
      </c>
      <c r="M211" s="15"/>
      <c r="N211" s="14" t="s">
        <v>148</v>
      </c>
      <c r="O211" s="15"/>
      <c r="P211" s="14" t="s">
        <v>226</v>
      </c>
      <c r="Q211" t="s">
        <v>305</v>
      </c>
    </row>
    <row r="212" spans="1:17" ht="15.75" customHeight="1">
      <c r="A212" s="14" t="s">
        <v>1694</v>
      </c>
      <c r="B212" s="14" t="s">
        <v>59</v>
      </c>
      <c r="C212" s="14" t="s">
        <v>1695</v>
      </c>
      <c r="D212" s="14" t="s">
        <v>1696</v>
      </c>
      <c r="E212" s="14">
        <v>2020</v>
      </c>
      <c r="F212" s="14" t="s">
        <v>438</v>
      </c>
      <c r="G212" s="14" t="s">
        <v>1697</v>
      </c>
      <c r="H212" s="14" t="s">
        <v>1698</v>
      </c>
      <c r="I212" s="14"/>
      <c r="J212" s="14" t="s">
        <v>1699</v>
      </c>
      <c r="K212" s="14" t="s">
        <v>1700</v>
      </c>
      <c r="L212" s="14" t="s">
        <v>54</v>
      </c>
      <c r="M212" s="15"/>
      <c r="N212" s="14" t="s">
        <v>148</v>
      </c>
      <c r="O212" s="15"/>
      <c r="P212" s="14" t="s">
        <v>226</v>
      </c>
      <c r="Q212" t="s">
        <v>305</v>
      </c>
    </row>
    <row r="213" spans="1:17" ht="15.75" customHeight="1">
      <c r="A213" s="14" t="s">
        <v>1701</v>
      </c>
      <c r="B213" s="14" t="s">
        <v>59</v>
      </c>
      <c r="C213" s="14" t="s">
        <v>1702</v>
      </c>
      <c r="D213" s="14" t="s">
        <v>1703</v>
      </c>
      <c r="E213" s="14">
        <v>2019</v>
      </c>
      <c r="F213" s="14" t="s">
        <v>901</v>
      </c>
      <c r="G213" s="14" t="s">
        <v>1704</v>
      </c>
      <c r="H213" s="14" t="s">
        <v>1705</v>
      </c>
      <c r="I213" s="14"/>
      <c r="J213" s="14" t="s">
        <v>1706</v>
      </c>
      <c r="K213" s="14" t="s">
        <v>1707</v>
      </c>
      <c r="L213" s="14" t="s">
        <v>54</v>
      </c>
      <c r="M213" s="15"/>
      <c r="N213" s="14" t="s">
        <v>148</v>
      </c>
      <c r="O213" s="15"/>
      <c r="P213" s="14" t="s">
        <v>226</v>
      </c>
      <c r="Q213" t="s">
        <v>305</v>
      </c>
    </row>
    <row r="214" spans="1:17" ht="15.75" customHeight="1">
      <c r="A214" s="14" t="s">
        <v>1708</v>
      </c>
      <c r="B214" s="14" t="s">
        <v>59</v>
      </c>
      <c r="C214" s="14" t="s">
        <v>1709</v>
      </c>
      <c r="D214" s="14" t="s">
        <v>1710</v>
      </c>
      <c r="E214" s="14">
        <v>2026</v>
      </c>
      <c r="F214" s="14" t="s">
        <v>1415</v>
      </c>
      <c r="G214" s="14" t="s">
        <v>1711</v>
      </c>
      <c r="H214" s="14" t="s">
        <v>1712</v>
      </c>
      <c r="I214" s="14"/>
      <c r="J214" s="14" t="s">
        <v>1713</v>
      </c>
      <c r="K214" s="14" t="s">
        <v>1714</v>
      </c>
      <c r="L214" s="14" t="s">
        <v>54</v>
      </c>
      <c r="M214" s="15"/>
      <c r="N214" s="14" t="s">
        <v>148</v>
      </c>
      <c r="O214" s="15"/>
      <c r="P214" s="14" t="s">
        <v>226</v>
      </c>
      <c r="Q214" t="s">
        <v>305</v>
      </c>
    </row>
    <row r="215" spans="1:17" ht="15.75" customHeight="1">
      <c r="A215" s="14" t="s">
        <v>1715</v>
      </c>
      <c r="B215" s="14" t="s">
        <v>59</v>
      </c>
      <c r="C215" s="14" t="s">
        <v>1716</v>
      </c>
      <c r="D215" s="14" t="s">
        <v>1717</v>
      </c>
      <c r="E215" s="14">
        <v>2026</v>
      </c>
      <c r="F215" s="14" t="s">
        <v>1718</v>
      </c>
      <c r="G215" s="14" t="s">
        <v>1719</v>
      </c>
      <c r="H215" s="14" t="s">
        <v>1720</v>
      </c>
      <c r="I215" s="14"/>
      <c r="J215" s="14" t="s">
        <v>1721</v>
      </c>
      <c r="K215" s="15"/>
      <c r="L215" s="14" t="s">
        <v>54</v>
      </c>
      <c r="M215" s="15"/>
      <c r="N215" s="14" t="s">
        <v>148</v>
      </c>
      <c r="O215" s="15"/>
      <c r="P215" s="14" t="s">
        <v>226</v>
      </c>
      <c r="Q215" t="s">
        <v>305</v>
      </c>
    </row>
    <row r="216" spans="1:17" ht="15.75" customHeight="1">
      <c r="A216" s="14" t="s">
        <v>1722</v>
      </c>
      <c r="B216" s="14" t="s">
        <v>59</v>
      </c>
      <c r="C216" s="14" t="s">
        <v>1723</v>
      </c>
      <c r="D216" s="14" t="s">
        <v>1724</v>
      </c>
      <c r="E216" s="14">
        <v>2021</v>
      </c>
      <c r="F216" s="14" t="s">
        <v>1565</v>
      </c>
      <c r="G216" s="14" t="s">
        <v>1725</v>
      </c>
      <c r="H216" s="14" t="s">
        <v>1726</v>
      </c>
      <c r="I216" s="14"/>
      <c r="J216" s="14" t="s">
        <v>1727</v>
      </c>
      <c r="K216" s="14" t="s">
        <v>1728</v>
      </c>
      <c r="L216" s="14" t="s">
        <v>54</v>
      </c>
      <c r="M216" s="15"/>
      <c r="N216" s="14" t="s">
        <v>148</v>
      </c>
      <c r="O216" s="15"/>
      <c r="P216" s="14" t="s">
        <v>226</v>
      </c>
      <c r="Q216" t="s">
        <v>305</v>
      </c>
    </row>
    <row r="217" spans="1:17" ht="15.75" customHeight="1">
      <c r="A217" s="14" t="s">
        <v>1729</v>
      </c>
      <c r="B217" s="14" t="s">
        <v>59</v>
      </c>
      <c r="C217" s="14" t="s">
        <v>1730</v>
      </c>
      <c r="D217" s="14" t="s">
        <v>1731</v>
      </c>
      <c r="E217" s="14">
        <v>2022</v>
      </c>
      <c r="F217" s="14" t="s">
        <v>1732</v>
      </c>
      <c r="G217" s="14" t="s">
        <v>1733</v>
      </c>
      <c r="H217" s="14" t="s">
        <v>1734</v>
      </c>
      <c r="I217" s="14"/>
      <c r="J217" s="14" t="s">
        <v>1735</v>
      </c>
      <c r="K217" s="14" t="s">
        <v>1736</v>
      </c>
      <c r="L217" s="14" t="s">
        <v>54</v>
      </c>
      <c r="M217" s="15"/>
      <c r="N217" s="14" t="s">
        <v>148</v>
      </c>
      <c r="O217" s="15"/>
      <c r="P217" s="14" t="s">
        <v>226</v>
      </c>
      <c r="Q217" t="s">
        <v>305</v>
      </c>
    </row>
    <row r="218" spans="1:17" ht="15.75" customHeight="1">
      <c r="A218" s="14" t="s">
        <v>1737</v>
      </c>
      <c r="B218" s="14" t="s">
        <v>59</v>
      </c>
      <c r="C218" s="14" t="s">
        <v>1738</v>
      </c>
      <c r="D218" s="14" t="s">
        <v>1739</v>
      </c>
      <c r="E218" s="14">
        <v>2025</v>
      </c>
      <c r="F218" s="14" t="s">
        <v>144</v>
      </c>
      <c r="G218" s="14" t="s">
        <v>1740</v>
      </c>
      <c r="H218" s="14" t="s">
        <v>1741</v>
      </c>
      <c r="I218" s="14"/>
      <c r="J218" s="14" t="s">
        <v>1742</v>
      </c>
      <c r="K218" s="15"/>
      <c r="L218" s="14" t="s">
        <v>54</v>
      </c>
      <c r="M218" s="15"/>
      <c r="N218" s="14" t="s">
        <v>148</v>
      </c>
      <c r="O218" s="15"/>
      <c r="P218" s="14" t="s">
        <v>360</v>
      </c>
      <c r="Q218" t="s">
        <v>1743</v>
      </c>
    </row>
    <row r="219" spans="1:17" ht="15.75" customHeight="1">
      <c r="A219" s="14" t="s">
        <v>1744</v>
      </c>
      <c r="B219" s="14" t="s">
        <v>59</v>
      </c>
      <c r="C219" s="14" t="s">
        <v>1745</v>
      </c>
      <c r="D219" s="14" t="s">
        <v>1746</v>
      </c>
      <c r="E219" s="14">
        <v>2026</v>
      </c>
      <c r="F219" s="14" t="s">
        <v>1747</v>
      </c>
      <c r="G219" s="14" t="s">
        <v>1748</v>
      </c>
      <c r="H219" s="14" t="s">
        <v>1749</v>
      </c>
      <c r="I219" s="14"/>
      <c r="J219" s="14" t="s">
        <v>1750</v>
      </c>
      <c r="K219" s="15"/>
      <c r="L219" s="14" t="s">
        <v>54</v>
      </c>
      <c r="M219" s="15"/>
      <c r="N219" s="14" t="s">
        <v>148</v>
      </c>
      <c r="O219" s="15"/>
      <c r="P219" s="14" t="s">
        <v>226</v>
      </c>
      <c r="Q219" t="s">
        <v>305</v>
      </c>
    </row>
    <row r="220" spans="1:17" ht="15.75" customHeight="1">
      <c r="A220" s="14" t="s">
        <v>1751</v>
      </c>
      <c r="B220" s="14" t="s">
        <v>59</v>
      </c>
      <c r="C220" s="14" t="s">
        <v>1752</v>
      </c>
      <c r="D220" s="14" t="s">
        <v>1753</v>
      </c>
      <c r="E220" s="14">
        <v>2025</v>
      </c>
      <c r="F220" s="14" t="s">
        <v>1754</v>
      </c>
      <c r="G220" s="14" t="s">
        <v>1755</v>
      </c>
      <c r="H220" s="14" t="s">
        <v>1756</v>
      </c>
      <c r="I220" s="14"/>
      <c r="J220" s="14" t="s">
        <v>1757</v>
      </c>
      <c r="K220" s="14" t="s">
        <v>1758</v>
      </c>
      <c r="L220" s="14" t="s">
        <v>54</v>
      </c>
      <c r="M220" s="15"/>
      <c r="N220" s="14" t="s">
        <v>148</v>
      </c>
      <c r="O220" s="15"/>
      <c r="P220" s="14" t="s">
        <v>226</v>
      </c>
      <c r="Q220" t="s">
        <v>305</v>
      </c>
    </row>
    <row r="221" spans="1:17" ht="15.75" customHeight="1">
      <c r="A221" s="14" t="s">
        <v>1759</v>
      </c>
      <c r="B221" s="14" t="s">
        <v>59</v>
      </c>
      <c r="C221" s="14" t="s">
        <v>1760</v>
      </c>
      <c r="D221" s="14" t="s">
        <v>1761</v>
      </c>
      <c r="E221" s="14">
        <v>2026</v>
      </c>
      <c r="F221" s="14" t="s">
        <v>1762</v>
      </c>
      <c r="G221" s="14" t="s">
        <v>1763</v>
      </c>
      <c r="H221" s="14" t="s">
        <v>1764</v>
      </c>
      <c r="I221" s="14"/>
      <c r="J221" s="14" t="s">
        <v>1765</v>
      </c>
      <c r="K221" s="14" t="s">
        <v>1766</v>
      </c>
      <c r="L221" s="14" t="s">
        <v>54</v>
      </c>
      <c r="M221" s="15"/>
      <c r="N221" s="14" t="s">
        <v>148</v>
      </c>
      <c r="O221" s="15"/>
      <c r="P221" s="14" t="s">
        <v>226</v>
      </c>
      <c r="Q221" t="s">
        <v>305</v>
      </c>
    </row>
    <row r="222" spans="1:17" ht="15.75" customHeight="1">
      <c r="A222" s="14" t="s">
        <v>1767</v>
      </c>
      <c r="B222" s="14" t="s">
        <v>59</v>
      </c>
      <c r="C222" s="14" t="s">
        <v>1768</v>
      </c>
      <c r="D222" s="14" t="s">
        <v>1769</v>
      </c>
      <c r="E222" s="14">
        <v>2025</v>
      </c>
      <c r="F222" s="14" t="s">
        <v>1770</v>
      </c>
      <c r="G222" s="14" t="s">
        <v>1771</v>
      </c>
      <c r="H222" s="14" t="s">
        <v>1772</v>
      </c>
      <c r="I222" s="14"/>
      <c r="J222" s="15"/>
      <c r="K222" s="14" t="s">
        <v>1773</v>
      </c>
      <c r="L222" s="14" t="s">
        <v>54</v>
      </c>
      <c r="M222" s="15"/>
      <c r="N222" s="14" t="s">
        <v>148</v>
      </c>
      <c r="O222" s="15"/>
      <c r="P222" s="14" t="s">
        <v>226</v>
      </c>
      <c r="Q222" t="s">
        <v>305</v>
      </c>
    </row>
    <row r="223" spans="1:17" ht="15.75" customHeight="1">
      <c r="A223" s="14" t="s">
        <v>1774</v>
      </c>
      <c r="B223" s="14" t="s">
        <v>59</v>
      </c>
      <c r="C223" s="14" t="s">
        <v>1775</v>
      </c>
      <c r="D223" s="14" t="s">
        <v>1776</v>
      </c>
      <c r="E223" s="14">
        <v>2024</v>
      </c>
      <c r="F223" s="14" t="s">
        <v>1602</v>
      </c>
      <c r="G223" s="14" t="s">
        <v>1777</v>
      </c>
      <c r="H223" s="14" t="s">
        <v>1778</v>
      </c>
      <c r="I223" s="14"/>
      <c r="J223" s="14" t="s">
        <v>1779</v>
      </c>
      <c r="K223" s="14" t="s">
        <v>1780</v>
      </c>
      <c r="L223" s="14" t="s">
        <v>54</v>
      </c>
      <c r="M223" s="15"/>
      <c r="N223" s="14" t="s">
        <v>148</v>
      </c>
      <c r="O223" s="15"/>
      <c r="P223" s="14" t="s">
        <v>195</v>
      </c>
    </row>
    <row r="224" spans="1:17" ht="15.75" customHeight="1">
      <c r="A224" s="14" t="s">
        <v>1781</v>
      </c>
      <c r="B224" s="14" t="s">
        <v>59</v>
      </c>
      <c r="C224" s="14" t="s">
        <v>1782</v>
      </c>
      <c r="D224" s="14" t="s">
        <v>1783</v>
      </c>
      <c r="E224" s="14">
        <v>2025</v>
      </c>
      <c r="F224" s="14" t="s">
        <v>517</v>
      </c>
      <c r="G224" s="14" t="s">
        <v>1784</v>
      </c>
      <c r="H224" s="14" t="s">
        <v>1785</v>
      </c>
      <c r="I224" s="14"/>
      <c r="J224" s="14" t="s">
        <v>1786</v>
      </c>
      <c r="K224" s="14" t="s">
        <v>1787</v>
      </c>
      <c r="L224" s="14" t="s">
        <v>54</v>
      </c>
      <c r="M224" s="15"/>
      <c r="N224" s="14" t="s">
        <v>148</v>
      </c>
      <c r="O224" s="15"/>
      <c r="P224" s="14" t="s">
        <v>226</v>
      </c>
      <c r="Q224" t="s">
        <v>305</v>
      </c>
    </row>
    <row r="225" spans="1:17" ht="15.75" customHeight="1">
      <c r="A225" s="14" t="s">
        <v>1788</v>
      </c>
      <c r="B225" s="14" t="s">
        <v>59</v>
      </c>
      <c r="C225" s="14" t="s">
        <v>1789</v>
      </c>
      <c r="D225" s="14" t="s">
        <v>1790</v>
      </c>
      <c r="E225" s="14">
        <v>2023</v>
      </c>
      <c r="F225" s="14" t="s">
        <v>1791</v>
      </c>
      <c r="G225" s="14" t="s">
        <v>1792</v>
      </c>
      <c r="H225" s="14" t="s">
        <v>1793</v>
      </c>
      <c r="I225" s="14"/>
      <c r="J225" s="14" t="s">
        <v>1794</v>
      </c>
      <c r="K225" s="14" t="s">
        <v>1795</v>
      </c>
      <c r="L225" s="14" t="s">
        <v>54</v>
      </c>
      <c r="M225" s="15"/>
      <c r="N225" s="14" t="s">
        <v>148</v>
      </c>
      <c r="O225" s="15"/>
      <c r="P225" s="14" t="s">
        <v>226</v>
      </c>
      <c r="Q225" t="s">
        <v>305</v>
      </c>
    </row>
    <row r="226" spans="1:17" ht="15.75" customHeight="1">
      <c r="A226" s="14" t="s">
        <v>1796</v>
      </c>
      <c r="B226" s="14" t="s">
        <v>59</v>
      </c>
      <c r="C226" s="14" t="s">
        <v>1797</v>
      </c>
      <c r="D226" s="14" t="s">
        <v>1798</v>
      </c>
      <c r="E226" s="14">
        <v>2025</v>
      </c>
      <c r="F226" s="14" t="s">
        <v>153</v>
      </c>
      <c r="G226" s="14" t="s">
        <v>1799</v>
      </c>
      <c r="H226" s="14" t="s">
        <v>1800</v>
      </c>
      <c r="I226" s="14"/>
      <c r="J226" s="14" t="s">
        <v>1801</v>
      </c>
      <c r="K226" s="14" t="s">
        <v>1802</v>
      </c>
      <c r="L226" s="14" t="s">
        <v>54</v>
      </c>
      <c r="M226" s="15"/>
      <c r="N226" s="14" t="s">
        <v>148</v>
      </c>
      <c r="O226" s="15"/>
      <c r="P226" s="14" t="s">
        <v>226</v>
      </c>
      <c r="Q226" t="s">
        <v>305</v>
      </c>
    </row>
    <row r="227" spans="1:17" ht="15.75" customHeight="1">
      <c r="A227" s="14" t="s">
        <v>1803</v>
      </c>
      <c r="B227" s="14" t="s">
        <v>59</v>
      </c>
      <c r="C227" s="14" t="s">
        <v>1804</v>
      </c>
      <c r="D227" s="14" t="s">
        <v>1805</v>
      </c>
      <c r="E227" s="14">
        <v>2024</v>
      </c>
      <c r="F227" s="14" t="s">
        <v>1806</v>
      </c>
      <c r="G227" s="14" t="s">
        <v>1807</v>
      </c>
      <c r="H227" s="14" t="s">
        <v>1808</v>
      </c>
      <c r="I227" s="14"/>
      <c r="J227" s="14" t="s">
        <v>1809</v>
      </c>
      <c r="K227" s="14" t="s">
        <v>1810</v>
      </c>
      <c r="L227" s="14" t="s">
        <v>54</v>
      </c>
      <c r="M227" s="15"/>
      <c r="N227" s="14" t="s">
        <v>148</v>
      </c>
      <c r="O227" s="15"/>
      <c r="P227" s="14" t="s">
        <v>226</v>
      </c>
      <c r="Q227" t="s">
        <v>305</v>
      </c>
    </row>
    <row r="228" spans="1:17" ht="15.75" customHeight="1">
      <c r="A228" s="14" t="s">
        <v>1811</v>
      </c>
      <c r="B228" s="14" t="s">
        <v>59</v>
      </c>
      <c r="C228" s="14" t="s">
        <v>1812</v>
      </c>
      <c r="D228" s="14" t="s">
        <v>1813</v>
      </c>
      <c r="E228" s="14">
        <v>2021</v>
      </c>
      <c r="F228" s="14" t="s">
        <v>1814</v>
      </c>
      <c r="G228" s="14" t="s">
        <v>1815</v>
      </c>
      <c r="H228" s="14" t="s">
        <v>1816</v>
      </c>
      <c r="I228" s="14"/>
      <c r="J228" s="14" t="s">
        <v>1817</v>
      </c>
      <c r="K228" s="14" t="s">
        <v>1818</v>
      </c>
      <c r="L228" s="14" t="s">
        <v>54</v>
      </c>
      <c r="M228" s="15"/>
      <c r="N228" s="14" t="s">
        <v>148</v>
      </c>
      <c r="O228" s="15"/>
      <c r="P228" s="14" t="s">
        <v>226</v>
      </c>
      <c r="Q228" t="s">
        <v>305</v>
      </c>
    </row>
    <row r="229" spans="1:17" ht="15.75" customHeight="1">
      <c r="A229" s="14" t="s">
        <v>1819</v>
      </c>
      <c r="B229" s="14" t="s">
        <v>59</v>
      </c>
      <c r="C229" s="14" t="s">
        <v>1820</v>
      </c>
      <c r="D229" s="14" t="s">
        <v>1821</v>
      </c>
      <c r="E229" s="14">
        <v>2026</v>
      </c>
      <c r="F229" s="14" t="s">
        <v>501</v>
      </c>
      <c r="G229" s="14" t="s">
        <v>1822</v>
      </c>
      <c r="H229" s="14" t="s">
        <v>1823</v>
      </c>
      <c r="I229" s="14"/>
      <c r="J229" s="14" t="s">
        <v>1824</v>
      </c>
      <c r="K229" s="14" t="s">
        <v>1825</v>
      </c>
      <c r="L229" s="14" t="s">
        <v>54</v>
      </c>
      <c r="M229" s="15"/>
      <c r="N229" s="14" t="s">
        <v>148</v>
      </c>
      <c r="O229" s="15"/>
      <c r="P229" s="14" t="s">
        <v>149</v>
      </c>
    </row>
    <row r="230" spans="1:17" ht="15.75" customHeight="1">
      <c r="A230" s="14" t="s">
        <v>1826</v>
      </c>
      <c r="B230" s="14" t="s">
        <v>59</v>
      </c>
      <c r="C230" s="14" t="s">
        <v>1827</v>
      </c>
      <c r="D230" s="14" t="s">
        <v>1828</v>
      </c>
      <c r="E230" s="14">
        <v>2023</v>
      </c>
      <c r="F230" s="14" t="s">
        <v>1676</v>
      </c>
      <c r="G230" s="14" t="s">
        <v>1829</v>
      </c>
      <c r="H230" s="14" t="s">
        <v>1830</v>
      </c>
      <c r="I230" s="14"/>
      <c r="J230" s="14" t="s">
        <v>1831</v>
      </c>
      <c r="K230" s="14" t="s">
        <v>1832</v>
      </c>
      <c r="L230" s="14" t="s">
        <v>54</v>
      </c>
      <c r="M230" s="15"/>
      <c r="N230" s="14" t="s">
        <v>148</v>
      </c>
      <c r="O230" s="15"/>
      <c r="P230" s="14" t="s">
        <v>226</v>
      </c>
      <c r="Q230" t="s">
        <v>305</v>
      </c>
    </row>
    <row r="231" spans="1:17" ht="15.75" customHeight="1">
      <c r="A231" s="14" t="s">
        <v>1833</v>
      </c>
      <c r="B231" s="14" t="s">
        <v>59</v>
      </c>
      <c r="C231" s="14" t="s">
        <v>1834</v>
      </c>
      <c r="D231" s="14" t="s">
        <v>1835</v>
      </c>
      <c r="E231" s="14">
        <v>2026</v>
      </c>
      <c r="F231" s="14" t="s">
        <v>1836</v>
      </c>
      <c r="G231" s="14" t="s">
        <v>1837</v>
      </c>
      <c r="H231" s="14" t="s">
        <v>1838</v>
      </c>
      <c r="I231" s="14"/>
      <c r="J231" s="14" t="s">
        <v>1839</v>
      </c>
      <c r="K231" s="15"/>
      <c r="L231" s="14" t="s">
        <v>54</v>
      </c>
      <c r="M231" s="15"/>
      <c r="N231" s="14" t="s">
        <v>148</v>
      </c>
      <c r="O231" s="15"/>
      <c r="P231" s="14" t="s">
        <v>226</v>
      </c>
      <c r="Q231" t="s">
        <v>305</v>
      </c>
    </row>
    <row r="232" spans="1:17" ht="15.75" customHeight="1">
      <c r="A232" s="14" t="s">
        <v>1840</v>
      </c>
      <c r="B232" s="14" t="s">
        <v>59</v>
      </c>
      <c r="C232" s="14" t="s">
        <v>1841</v>
      </c>
      <c r="D232" s="14" t="s">
        <v>1842</v>
      </c>
      <c r="E232" s="14">
        <v>2026</v>
      </c>
      <c r="F232" s="14" t="s">
        <v>1843</v>
      </c>
      <c r="G232" s="14" t="s">
        <v>1844</v>
      </c>
      <c r="H232" s="14" t="s">
        <v>1845</v>
      </c>
      <c r="I232" s="14"/>
      <c r="J232" s="14" t="s">
        <v>1846</v>
      </c>
      <c r="K232" s="15"/>
      <c r="L232" s="14" t="s">
        <v>54</v>
      </c>
      <c r="M232" s="15"/>
      <c r="N232" s="14" t="s">
        <v>148</v>
      </c>
      <c r="O232" s="15"/>
      <c r="P232" s="14" t="s">
        <v>226</v>
      </c>
      <c r="Q232" t="s">
        <v>305</v>
      </c>
    </row>
    <row r="233" spans="1:17" ht="15.75" customHeight="1">
      <c r="A233" s="14" t="s">
        <v>1847</v>
      </c>
      <c r="B233" s="14" t="s">
        <v>59</v>
      </c>
      <c r="C233" s="14" t="s">
        <v>1848</v>
      </c>
      <c r="D233" s="14" t="s">
        <v>1849</v>
      </c>
      <c r="E233" s="14">
        <v>2005</v>
      </c>
      <c r="F233" s="14" t="s">
        <v>1850</v>
      </c>
      <c r="G233" s="15"/>
      <c r="H233" s="14" t="s">
        <v>1851</v>
      </c>
      <c r="I233" s="14"/>
      <c r="J233" s="14" t="s">
        <v>1852</v>
      </c>
      <c r="K233" s="15"/>
      <c r="L233" s="14" t="s">
        <v>54</v>
      </c>
      <c r="M233" s="15"/>
      <c r="N233" s="14" t="s">
        <v>148</v>
      </c>
      <c r="O233" s="15"/>
      <c r="P233" s="14" t="s">
        <v>226</v>
      </c>
      <c r="Q233" t="s">
        <v>305</v>
      </c>
    </row>
    <row r="234" spans="1:17" ht="15.75" customHeight="1">
      <c r="A234" s="14" t="s">
        <v>1853</v>
      </c>
      <c r="B234" s="14" t="s">
        <v>59</v>
      </c>
      <c r="C234" s="14" t="s">
        <v>1854</v>
      </c>
      <c r="D234" s="14" t="s">
        <v>1855</v>
      </c>
      <c r="E234" s="14">
        <v>2025</v>
      </c>
      <c r="F234" s="14" t="s">
        <v>1856</v>
      </c>
      <c r="G234" s="14" t="s">
        <v>1857</v>
      </c>
      <c r="H234" s="14" t="s">
        <v>1858</v>
      </c>
      <c r="I234" s="14"/>
      <c r="J234" s="14" t="s">
        <v>1859</v>
      </c>
      <c r="K234" s="15"/>
      <c r="L234" s="14" t="s">
        <v>54</v>
      </c>
      <c r="M234" s="15"/>
      <c r="N234" s="14" t="s">
        <v>148</v>
      </c>
      <c r="O234" s="15"/>
      <c r="P234" s="14" t="s">
        <v>226</v>
      </c>
      <c r="Q234" t="s">
        <v>305</v>
      </c>
    </row>
    <row r="235" spans="1:17" ht="15.75" customHeight="1">
      <c r="A235" s="14" t="s">
        <v>1860</v>
      </c>
      <c r="B235" s="14" t="s">
        <v>59</v>
      </c>
      <c r="C235" s="14" t="s">
        <v>1861</v>
      </c>
      <c r="D235" s="14" t="s">
        <v>1862</v>
      </c>
      <c r="E235" s="14">
        <v>2026</v>
      </c>
      <c r="F235" s="14" t="s">
        <v>1863</v>
      </c>
      <c r="G235" s="14" t="s">
        <v>1864</v>
      </c>
      <c r="H235" s="14" t="s">
        <v>1865</v>
      </c>
      <c r="I235" s="14"/>
      <c r="J235" s="14" t="s">
        <v>1866</v>
      </c>
      <c r="K235" s="14" t="s">
        <v>1867</v>
      </c>
      <c r="L235" s="14" t="s">
        <v>54</v>
      </c>
      <c r="M235" s="15"/>
      <c r="N235" s="14" t="s">
        <v>148</v>
      </c>
      <c r="O235" s="15"/>
      <c r="P235" s="14" t="s">
        <v>226</v>
      </c>
      <c r="Q235" t="s">
        <v>305</v>
      </c>
    </row>
    <row r="236" spans="1:17" ht="15.75" customHeight="1">
      <c r="A236" s="14" t="s">
        <v>1868</v>
      </c>
      <c r="B236" s="14" t="s">
        <v>59</v>
      </c>
      <c r="C236" s="14" t="s">
        <v>1869</v>
      </c>
      <c r="D236" s="14" t="s">
        <v>1870</v>
      </c>
      <c r="E236" s="14">
        <v>2026</v>
      </c>
      <c r="F236" s="14" t="s">
        <v>1871</v>
      </c>
      <c r="G236" s="14" t="s">
        <v>1872</v>
      </c>
      <c r="H236" s="14" t="s">
        <v>1873</v>
      </c>
      <c r="I236" s="14"/>
      <c r="J236" s="14" t="s">
        <v>1874</v>
      </c>
      <c r="K236" s="14" t="s">
        <v>1875</v>
      </c>
      <c r="L236" s="14" t="s">
        <v>54</v>
      </c>
      <c r="M236" s="15"/>
      <c r="N236" s="14" t="s">
        <v>148</v>
      </c>
      <c r="O236" s="15"/>
      <c r="P236" s="14" t="s">
        <v>226</v>
      </c>
      <c r="Q236" t="s">
        <v>305</v>
      </c>
    </row>
    <row r="237" spans="1:17" ht="15.75" customHeight="1">
      <c r="A237" s="14" t="s">
        <v>1876</v>
      </c>
      <c r="B237" s="14" t="s">
        <v>59</v>
      </c>
      <c r="C237" s="14" t="s">
        <v>1877</v>
      </c>
      <c r="D237" s="14" t="s">
        <v>1878</v>
      </c>
      <c r="E237" s="14">
        <v>2024</v>
      </c>
      <c r="F237" s="14" t="s">
        <v>1879</v>
      </c>
      <c r="G237" s="14" t="s">
        <v>1880</v>
      </c>
      <c r="H237" s="14" t="s">
        <v>1881</v>
      </c>
      <c r="I237" s="14"/>
      <c r="J237" s="14" t="s">
        <v>1882</v>
      </c>
      <c r="K237" s="14" t="s">
        <v>1883</v>
      </c>
      <c r="L237" s="14" t="s">
        <v>54</v>
      </c>
      <c r="M237" s="15"/>
      <c r="N237" s="14" t="s">
        <v>148</v>
      </c>
      <c r="O237" s="15"/>
      <c r="P237" s="14" t="s">
        <v>226</v>
      </c>
      <c r="Q237" t="s">
        <v>305</v>
      </c>
    </row>
    <row r="238" spans="1:17" ht="15.75" customHeight="1">
      <c r="A238" s="14" t="s">
        <v>1884</v>
      </c>
      <c r="B238" s="14" t="s">
        <v>59</v>
      </c>
      <c r="C238" s="14" t="s">
        <v>1885</v>
      </c>
      <c r="D238" s="14" t="s">
        <v>1886</v>
      </c>
      <c r="E238" s="14">
        <v>2015</v>
      </c>
      <c r="F238" s="14" t="s">
        <v>1887</v>
      </c>
      <c r="G238" s="14" t="s">
        <v>1888</v>
      </c>
      <c r="H238" s="14" t="s">
        <v>1889</v>
      </c>
      <c r="I238" s="14"/>
      <c r="J238" s="14" t="s">
        <v>1890</v>
      </c>
      <c r="K238" s="14" t="s">
        <v>1891</v>
      </c>
      <c r="L238" s="14" t="s">
        <v>54</v>
      </c>
      <c r="M238" s="15"/>
      <c r="N238" s="14" t="s">
        <v>148</v>
      </c>
      <c r="O238" s="15"/>
      <c r="P238" s="14" t="s">
        <v>226</v>
      </c>
      <c r="Q238" t="s">
        <v>305</v>
      </c>
    </row>
    <row r="239" spans="1:17" ht="15.75" customHeight="1">
      <c r="A239" s="14" t="s">
        <v>1892</v>
      </c>
      <c r="B239" s="14" t="s">
        <v>59</v>
      </c>
      <c r="C239" s="14" t="s">
        <v>1893</v>
      </c>
      <c r="D239" s="14" t="s">
        <v>1894</v>
      </c>
      <c r="E239" s="14">
        <v>2018</v>
      </c>
      <c r="F239" s="14" t="s">
        <v>1895</v>
      </c>
      <c r="G239" s="14" t="s">
        <v>1896</v>
      </c>
      <c r="H239" s="14" t="s">
        <v>1897</v>
      </c>
      <c r="I239" s="14"/>
      <c r="J239" s="14" t="s">
        <v>1898</v>
      </c>
      <c r="K239" s="14" t="s">
        <v>1899</v>
      </c>
      <c r="L239" s="14" t="s">
        <v>54</v>
      </c>
      <c r="M239" s="15"/>
      <c r="N239" s="14" t="s">
        <v>148</v>
      </c>
      <c r="O239" s="15"/>
      <c r="P239" s="14" t="s">
        <v>226</v>
      </c>
      <c r="Q239" t="s">
        <v>305</v>
      </c>
    </row>
    <row r="240" spans="1:17" ht="15.75" customHeight="1">
      <c r="A240" s="14" t="s">
        <v>1900</v>
      </c>
      <c r="B240" s="14" t="s">
        <v>59</v>
      </c>
      <c r="C240" s="14" t="s">
        <v>1901</v>
      </c>
      <c r="D240" s="14" t="s">
        <v>1902</v>
      </c>
      <c r="E240" s="14">
        <v>2025</v>
      </c>
      <c r="F240" s="14" t="s">
        <v>1903</v>
      </c>
      <c r="G240" s="14" t="s">
        <v>1904</v>
      </c>
      <c r="H240" s="14" t="s">
        <v>1905</v>
      </c>
      <c r="I240" s="14"/>
      <c r="J240" s="14" t="s">
        <v>1906</v>
      </c>
      <c r="K240" s="15"/>
      <c r="L240" s="14" t="s">
        <v>54</v>
      </c>
      <c r="M240" s="15"/>
      <c r="N240" s="14" t="s">
        <v>148</v>
      </c>
      <c r="O240" s="15"/>
      <c r="P240" s="14" t="s">
        <v>226</v>
      </c>
      <c r="Q240" t="s">
        <v>305</v>
      </c>
    </row>
    <row r="241" spans="1:17" ht="15.75" customHeight="1">
      <c r="A241" s="14" t="s">
        <v>1907</v>
      </c>
      <c r="B241" s="14" t="s">
        <v>59</v>
      </c>
      <c r="C241" s="14" t="s">
        <v>1908</v>
      </c>
      <c r="D241" s="14" t="s">
        <v>1909</v>
      </c>
      <c r="E241" s="14">
        <v>2023</v>
      </c>
      <c r="F241" s="14" t="s">
        <v>1910</v>
      </c>
      <c r="G241" s="14" t="s">
        <v>1911</v>
      </c>
      <c r="H241" s="14" t="s">
        <v>1912</v>
      </c>
      <c r="I241" s="14"/>
      <c r="J241" s="14" t="s">
        <v>1913</v>
      </c>
      <c r="K241" s="14" t="s">
        <v>1914</v>
      </c>
      <c r="L241" s="14" t="s">
        <v>54</v>
      </c>
      <c r="M241" s="15"/>
      <c r="N241" s="14" t="s">
        <v>148</v>
      </c>
      <c r="O241" s="15"/>
      <c r="P241" s="14" t="s">
        <v>226</v>
      </c>
      <c r="Q241" t="s">
        <v>305</v>
      </c>
    </row>
    <row r="242" spans="1:17" ht="15.75" customHeight="1">
      <c r="A242" s="14" t="s">
        <v>1915</v>
      </c>
      <c r="B242" s="14" t="s">
        <v>59</v>
      </c>
      <c r="C242" s="14" t="s">
        <v>1916</v>
      </c>
      <c r="D242" s="14" t="s">
        <v>1917</v>
      </c>
      <c r="E242" s="14">
        <v>2026</v>
      </c>
      <c r="F242" s="14" t="s">
        <v>1918</v>
      </c>
      <c r="G242" s="14" t="s">
        <v>1919</v>
      </c>
      <c r="H242" s="14" t="s">
        <v>1920</v>
      </c>
      <c r="I242" s="14"/>
      <c r="J242" s="14" t="s">
        <v>1921</v>
      </c>
      <c r="K242" s="14" t="s">
        <v>1922</v>
      </c>
      <c r="L242" s="14" t="s">
        <v>54</v>
      </c>
      <c r="M242" s="15"/>
      <c r="N242" s="14" t="s">
        <v>148</v>
      </c>
      <c r="O242" s="15"/>
      <c r="P242" s="14" t="s">
        <v>226</v>
      </c>
      <c r="Q242" t="s">
        <v>305</v>
      </c>
    </row>
    <row r="243" spans="1:17" ht="15.75" customHeight="1">
      <c r="A243" s="14" t="s">
        <v>1923</v>
      </c>
      <c r="B243" s="14" t="s">
        <v>59</v>
      </c>
      <c r="C243" s="14" t="s">
        <v>1924</v>
      </c>
      <c r="D243" s="14" t="s">
        <v>1925</v>
      </c>
      <c r="E243" s="14">
        <v>2026</v>
      </c>
      <c r="F243" s="14" t="s">
        <v>501</v>
      </c>
      <c r="G243" s="14" t="s">
        <v>1926</v>
      </c>
      <c r="H243" s="14" t="s">
        <v>1927</v>
      </c>
      <c r="I243" s="14"/>
      <c r="J243" s="14" t="s">
        <v>1928</v>
      </c>
      <c r="K243" s="14" t="s">
        <v>1929</v>
      </c>
      <c r="L243" s="14" t="s">
        <v>54</v>
      </c>
      <c r="M243" s="15"/>
      <c r="N243" s="14" t="s">
        <v>148</v>
      </c>
      <c r="O243" s="15"/>
      <c r="P243" s="14" t="s">
        <v>149</v>
      </c>
    </row>
    <row r="244" spans="1:17" ht="15.75" customHeight="1">
      <c r="A244" s="14" t="s">
        <v>1930</v>
      </c>
      <c r="B244" s="14" t="s">
        <v>59</v>
      </c>
      <c r="C244" s="14" t="s">
        <v>1931</v>
      </c>
      <c r="D244" s="14" t="s">
        <v>1932</v>
      </c>
      <c r="E244" s="14">
        <v>2025</v>
      </c>
      <c r="F244" s="14" t="s">
        <v>534</v>
      </c>
      <c r="G244" s="14" t="s">
        <v>1933</v>
      </c>
      <c r="H244" s="14" t="s">
        <v>1934</v>
      </c>
      <c r="I244" s="14"/>
      <c r="J244" s="14" t="s">
        <v>1935</v>
      </c>
      <c r="K244" s="14" t="s">
        <v>1936</v>
      </c>
      <c r="L244" s="14" t="s">
        <v>54</v>
      </c>
      <c r="M244" s="15"/>
      <c r="N244" s="14" t="s">
        <v>148</v>
      </c>
      <c r="O244" s="15"/>
      <c r="P244" s="14" t="s">
        <v>226</v>
      </c>
      <c r="Q244" t="s">
        <v>305</v>
      </c>
    </row>
    <row r="245" spans="1:17" ht="15.75" customHeight="1">
      <c r="A245" s="14" t="s">
        <v>1937</v>
      </c>
      <c r="B245" s="14" t="s">
        <v>59</v>
      </c>
      <c r="C245" s="14" t="s">
        <v>1938</v>
      </c>
      <c r="D245" s="14" t="s">
        <v>1939</v>
      </c>
      <c r="E245" s="14">
        <v>2018</v>
      </c>
      <c r="F245" s="14" t="s">
        <v>1940</v>
      </c>
      <c r="G245" s="14" t="s">
        <v>1941</v>
      </c>
      <c r="H245" s="14" t="s">
        <v>1942</v>
      </c>
      <c r="I245" s="14"/>
      <c r="J245" s="14" t="s">
        <v>1943</v>
      </c>
      <c r="K245" s="14" t="s">
        <v>1944</v>
      </c>
      <c r="L245" s="14" t="s">
        <v>54</v>
      </c>
      <c r="M245" s="15"/>
      <c r="N245" s="14" t="s">
        <v>148</v>
      </c>
      <c r="O245" s="15"/>
      <c r="P245" s="14" t="s">
        <v>226</v>
      </c>
      <c r="Q245" t="s">
        <v>305</v>
      </c>
    </row>
    <row r="246" spans="1:17" ht="15.75" customHeight="1">
      <c r="A246" s="14" t="s">
        <v>1945</v>
      </c>
      <c r="B246" s="14" t="s">
        <v>59</v>
      </c>
      <c r="C246" s="14" t="s">
        <v>1946</v>
      </c>
      <c r="D246" s="14" t="s">
        <v>1947</v>
      </c>
      <c r="E246" s="14">
        <v>1989</v>
      </c>
      <c r="F246" s="14" t="s">
        <v>1948</v>
      </c>
      <c r="G246" s="14" t="s">
        <v>1949</v>
      </c>
      <c r="H246" s="14" t="s">
        <v>1950</v>
      </c>
      <c r="I246" s="14"/>
      <c r="J246" s="15"/>
      <c r="K246" s="14" t="s">
        <v>1951</v>
      </c>
      <c r="L246" s="14" t="s">
        <v>54</v>
      </c>
      <c r="M246" s="15"/>
      <c r="N246" s="14" t="s">
        <v>148</v>
      </c>
      <c r="O246" s="15"/>
      <c r="P246" s="14" t="s">
        <v>226</v>
      </c>
      <c r="Q246" t="s">
        <v>305</v>
      </c>
    </row>
    <row r="247" spans="1:17" ht="15.75" customHeight="1">
      <c r="A247" s="14" t="s">
        <v>1952</v>
      </c>
      <c r="B247" s="14" t="s">
        <v>59</v>
      </c>
      <c r="C247" s="14" t="s">
        <v>1953</v>
      </c>
      <c r="D247" s="14" t="s">
        <v>1954</v>
      </c>
      <c r="E247" s="14">
        <v>2026</v>
      </c>
      <c r="F247" s="14" t="s">
        <v>1918</v>
      </c>
      <c r="G247" s="14" t="s">
        <v>1955</v>
      </c>
      <c r="H247" s="14" t="s">
        <v>1956</v>
      </c>
      <c r="I247" s="14"/>
      <c r="J247" s="14" t="s">
        <v>1957</v>
      </c>
      <c r="K247" s="14" t="s">
        <v>1958</v>
      </c>
      <c r="L247" s="14" t="s">
        <v>54</v>
      </c>
      <c r="M247" s="15"/>
      <c r="N247" s="14" t="s">
        <v>148</v>
      </c>
      <c r="O247" s="15"/>
      <c r="P247" s="14" t="s">
        <v>226</v>
      </c>
      <c r="Q247" t="s">
        <v>305</v>
      </c>
    </row>
    <row r="248" spans="1:17" ht="15.75" customHeight="1">
      <c r="A248" s="14" t="s">
        <v>1959</v>
      </c>
      <c r="B248" s="14" t="s">
        <v>59</v>
      </c>
      <c r="C248" s="14" t="s">
        <v>1960</v>
      </c>
      <c r="D248" s="14" t="s">
        <v>1961</v>
      </c>
      <c r="E248" s="14">
        <v>2026</v>
      </c>
      <c r="F248" s="14" t="s">
        <v>292</v>
      </c>
      <c r="G248" s="14" t="s">
        <v>1962</v>
      </c>
      <c r="H248" s="14" t="s">
        <v>1963</v>
      </c>
      <c r="I248" s="14"/>
      <c r="J248" s="14" t="s">
        <v>1964</v>
      </c>
      <c r="K248" s="14" t="s">
        <v>1965</v>
      </c>
      <c r="L248" s="14" t="s">
        <v>54</v>
      </c>
      <c r="M248" s="15"/>
      <c r="N248" s="14" t="s">
        <v>148</v>
      </c>
      <c r="O248" s="15"/>
      <c r="P248" s="14" t="s">
        <v>226</v>
      </c>
      <c r="Q248" t="s">
        <v>305</v>
      </c>
    </row>
    <row r="249" spans="1:17" ht="15.75" customHeight="1">
      <c r="A249" s="14" t="s">
        <v>1966</v>
      </c>
      <c r="B249" s="14" t="s">
        <v>59</v>
      </c>
      <c r="C249" s="14" t="s">
        <v>1967</v>
      </c>
      <c r="D249" s="14" t="s">
        <v>1968</v>
      </c>
      <c r="E249" s="14">
        <v>2025</v>
      </c>
      <c r="F249" s="14" t="s">
        <v>1969</v>
      </c>
      <c r="G249" s="14" t="s">
        <v>1970</v>
      </c>
      <c r="H249" s="14" t="s">
        <v>1971</v>
      </c>
      <c r="I249" s="14"/>
      <c r="J249" s="14" t="s">
        <v>1972</v>
      </c>
      <c r="K249" s="14" t="s">
        <v>1973</v>
      </c>
      <c r="L249" s="14" t="s">
        <v>54</v>
      </c>
      <c r="M249" s="15"/>
      <c r="N249" s="14" t="s">
        <v>148</v>
      </c>
      <c r="O249" s="15"/>
      <c r="P249" s="14" t="s">
        <v>226</v>
      </c>
      <c r="Q249" t="s">
        <v>305</v>
      </c>
    </row>
    <row r="250" spans="1:17" ht="15.75" customHeight="1">
      <c r="A250" s="14" t="s">
        <v>1974</v>
      </c>
      <c r="B250" s="14" t="s">
        <v>59</v>
      </c>
      <c r="C250" s="14" t="s">
        <v>1975</v>
      </c>
      <c r="D250" s="14" t="s">
        <v>1976</v>
      </c>
      <c r="E250" s="14">
        <v>2025</v>
      </c>
      <c r="F250" s="14" t="s">
        <v>269</v>
      </c>
      <c r="G250" s="14" t="s">
        <v>1977</v>
      </c>
      <c r="H250" s="14" t="s">
        <v>1978</v>
      </c>
      <c r="I250" s="14"/>
      <c r="J250" s="15"/>
      <c r="K250" s="14" t="s">
        <v>1979</v>
      </c>
      <c r="L250" s="14" t="s">
        <v>54</v>
      </c>
      <c r="M250" s="15"/>
      <c r="N250" s="14" t="s">
        <v>148</v>
      </c>
      <c r="O250" s="15"/>
      <c r="P250" s="14" t="s">
        <v>226</v>
      </c>
      <c r="Q250" t="s">
        <v>305</v>
      </c>
    </row>
    <row r="251" spans="1:17" ht="15.75" customHeight="1">
      <c r="A251" s="14" t="s">
        <v>1980</v>
      </c>
      <c r="B251" s="14" t="s">
        <v>59</v>
      </c>
      <c r="C251" s="14" t="s">
        <v>1981</v>
      </c>
      <c r="D251" s="14" t="s">
        <v>1982</v>
      </c>
      <c r="E251" s="14">
        <v>2026</v>
      </c>
      <c r="F251" s="14" t="s">
        <v>1983</v>
      </c>
      <c r="G251" s="14" t="s">
        <v>1984</v>
      </c>
      <c r="H251" s="14" t="s">
        <v>1985</v>
      </c>
      <c r="I251" s="14"/>
      <c r="J251" s="14" t="s">
        <v>1986</v>
      </c>
      <c r="K251" s="14" t="s">
        <v>1987</v>
      </c>
      <c r="L251" s="14" t="s">
        <v>54</v>
      </c>
      <c r="M251" s="15"/>
      <c r="N251" s="14" t="s">
        <v>148</v>
      </c>
      <c r="O251" s="15"/>
      <c r="P251" s="14" t="s">
        <v>226</v>
      </c>
      <c r="Q251" t="s">
        <v>305</v>
      </c>
    </row>
    <row r="252" spans="1:17" ht="15.75" customHeight="1">
      <c r="A252" s="14" t="s">
        <v>1988</v>
      </c>
      <c r="B252" s="14" t="s">
        <v>59</v>
      </c>
      <c r="C252" s="14" t="s">
        <v>1989</v>
      </c>
      <c r="D252" s="14" t="s">
        <v>1990</v>
      </c>
      <c r="E252" s="14">
        <v>2026</v>
      </c>
      <c r="F252" s="14" t="s">
        <v>893</v>
      </c>
      <c r="G252" s="14" t="s">
        <v>1991</v>
      </c>
      <c r="H252" s="14" t="s">
        <v>1992</v>
      </c>
      <c r="I252" s="14"/>
      <c r="J252" s="14" t="s">
        <v>1993</v>
      </c>
      <c r="K252" s="14" t="s">
        <v>1994</v>
      </c>
      <c r="L252" s="14" t="s">
        <v>54</v>
      </c>
      <c r="M252" s="15"/>
      <c r="N252" s="14" t="s">
        <v>148</v>
      </c>
      <c r="O252" s="15"/>
      <c r="P252" s="14" t="s">
        <v>226</v>
      </c>
      <c r="Q252" t="s">
        <v>305</v>
      </c>
    </row>
    <row r="253" spans="1:17" ht="15.75" customHeight="1">
      <c r="A253" s="14" t="s">
        <v>1995</v>
      </c>
      <c r="B253" s="14" t="s">
        <v>59</v>
      </c>
      <c r="C253" s="14" t="s">
        <v>1996</v>
      </c>
      <c r="D253" s="14" t="s">
        <v>1997</v>
      </c>
      <c r="E253" s="14">
        <v>2025</v>
      </c>
      <c r="F253" s="14" t="s">
        <v>1998</v>
      </c>
      <c r="G253" s="14" t="s">
        <v>1999</v>
      </c>
      <c r="H253" s="14" t="s">
        <v>2000</v>
      </c>
      <c r="I253" s="14"/>
      <c r="J253" s="14" t="s">
        <v>2001</v>
      </c>
      <c r="K253" s="15"/>
      <c r="L253" s="14" t="s">
        <v>54</v>
      </c>
      <c r="M253" s="15"/>
      <c r="N253" s="14" t="s">
        <v>148</v>
      </c>
      <c r="O253" s="15"/>
      <c r="P253" s="14" t="s">
        <v>195</v>
      </c>
    </row>
    <row r="254" spans="1:17" ht="15.75" customHeight="1">
      <c r="A254" s="14" t="s">
        <v>2002</v>
      </c>
      <c r="B254" s="14" t="s">
        <v>59</v>
      </c>
      <c r="C254" s="14" t="s">
        <v>2003</v>
      </c>
      <c r="D254" s="14" t="s">
        <v>2004</v>
      </c>
      <c r="E254" s="14">
        <v>2024</v>
      </c>
      <c r="F254" s="14" t="s">
        <v>2005</v>
      </c>
      <c r="G254" s="14" t="s">
        <v>2006</v>
      </c>
      <c r="H254" s="14" t="s">
        <v>2007</v>
      </c>
      <c r="I254" s="14"/>
      <c r="J254" s="14" t="s">
        <v>2008</v>
      </c>
      <c r="K254" s="15"/>
      <c r="L254" s="14" t="s">
        <v>54</v>
      </c>
      <c r="M254" s="15"/>
      <c r="N254" s="14" t="s">
        <v>148</v>
      </c>
      <c r="O254" s="15"/>
      <c r="P254" s="14" t="s">
        <v>226</v>
      </c>
      <c r="Q254" t="s">
        <v>305</v>
      </c>
    </row>
    <row r="255" spans="1:17" ht="15.75" customHeight="1">
      <c r="A255" s="14" t="s">
        <v>2009</v>
      </c>
      <c r="B255" s="14" t="s">
        <v>59</v>
      </c>
      <c r="C255" s="14" t="s">
        <v>2010</v>
      </c>
      <c r="D255" s="14" t="s">
        <v>2011</v>
      </c>
      <c r="E255" s="14">
        <v>2022</v>
      </c>
      <c r="F255" s="14" t="s">
        <v>501</v>
      </c>
      <c r="G255" s="14" t="s">
        <v>2012</v>
      </c>
      <c r="H255" s="14" t="s">
        <v>2013</v>
      </c>
      <c r="I255" s="14"/>
      <c r="J255" s="14" t="s">
        <v>2014</v>
      </c>
      <c r="K255" s="14" t="s">
        <v>2015</v>
      </c>
      <c r="L255" s="14" t="s">
        <v>54</v>
      </c>
      <c r="M255" s="15"/>
      <c r="N255" s="14" t="s">
        <v>148</v>
      </c>
      <c r="O255" s="15"/>
      <c r="P255" s="14" t="s">
        <v>226</v>
      </c>
      <c r="Q255" t="s">
        <v>305</v>
      </c>
    </row>
    <row r="256" spans="1:17" ht="15.75" customHeight="1">
      <c r="A256" s="14" t="s">
        <v>2016</v>
      </c>
      <c r="B256" s="14" t="s">
        <v>59</v>
      </c>
      <c r="C256" s="14" t="s">
        <v>2017</v>
      </c>
      <c r="D256" s="14" t="s">
        <v>2018</v>
      </c>
      <c r="E256" s="14">
        <v>2026</v>
      </c>
      <c r="F256" s="14" t="s">
        <v>2019</v>
      </c>
      <c r="G256" s="14" t="s">
        <v>2020</v>
      </c>
      <c r="H256" s="14" t="s">
        <v>2021</v>
      </c>
      <c r="I256" s="14"/>
      <c r="J256" s="14" t="s">
        <v>2022</v>
      </c>
      <c r="K256" s="14" t="s">
        <v>2023</v>
      </c>
      <c r="L256" s="14" t="s">
        <v>54</v>
      </c>
      <c r="M256" s="15"/>
      <c r="N256" s="14" t="s">
        <v>148</v>
      </c>
      <c r="O256" s="15"/>
      <c r="P256" s="14" t="s">
        <v>226</v>
      </c>
      <c r="Q256" t="s">
        <v>305</v>
      </c>
    </row>
    <row r="257" spans="1:17" ht="15.75" customHeight="1">
      <c r="A257" s="14" t="s">
        <v>2024</v>
      </c>
      <c r="B257" s="14" t="s">
        <v>59</v>
      </c>
      <c r="C257" s="14" t="s">
        <v>2025</v>
      </c>
      <c r="D257" s="14" t="s">
        <v>2026</v>
      </c>
      <c r="E257" s="14">
        <v>2026</v>
      </c>
      <c r="F257" s="14" t="s">
        <v>2027</v>
      </c>
      <c r="G257" s="14" t="s">
        <v>2028</v>
      </c>
      <c r="H257" s="14" t="s">
        <v>2029</v>
      </c>
      <c r="I257" s="14"/>
      <c r="J257" s="14" t="s">
        <v>2030</v>
      </c>
      <c r="K257" s="14" t="s">
        <v>2031</v>
      </c>
      <c r="L257" s="14" t="s">
        <v>54</v>
      </c>
      <c r="M257" s="15"/>
      <c r="N257" s="14" t="s">
        <v>148</v>
      </c>
      <c r="O257" s="15"/>
      <c r="P257" s="14" t="s">
        <v>226</v>
      </c>
      <c r="Q257" t="s">
        <v>305</v>
      </c>
    </row>
    <row r="258" spans="1:17" ht="15.75" customHeight="1">
      <c r="A258" s="14" t="s">
        <v>2032</v>
      </c>
      <c r="B258" s="14" t="s">
        <v>59</v>
      </c>
      <c r="C258" s="14" t="s">
        <v>2033</v>
      </c>
      <c r="D258" s="14" t="s">
        <v>2034</v>
      </c>
      <c r="E258" s="14">
        <v>2025</v>
      </c>
      <c r="F258" s="14" t="s">
        <v>2035</v>
      </c>
      <c r="G258" s="14" t="s">
        <v>2036</v>
      </c>
      <c r="H258" s="14" t="s">
        <v>2037</v>
      </c>
      <c r="I258" s="14"/>
      <c r="J258" s="14" t="s">
        <v>2038</v>
      </c>
      <c r="K258" s="14" t="s">
        <v>2039</v>
      </c>
      <c r="L258" s="14" t="s">
        <v>54</v>
      </c>
      <c r="M258" s="15"/>
      <c r="N258" s="14" t="s">
        <v>148</v>
      </c>
      <c r="O258" s="15"/>
      <c r="P258" s="14" t="s">
        <v>226</v>
      </c>
      <c r="Q258" t="s">
        <v>305</v>
      </c>
    </row>
    <row r="259" spans="1:17" ht="15.75" customHeight="1">
      <c r="A259" s="14" t="s">
        <v>2040</v>
      </c>
      <c r="B259" s="14" t="s">
        <v>59</v>
      </c>
      <c r="C259" s="14" t="s">
        <v>2041</v>
      </c>
      <c r="D259" s="14" t="s">
        <v>2042</v>
      </c>
      <c r="E259" s="14">
        <v>2026</v>
      </c>
      <c r="F259" s="14" t="s">
        <v>2043</v>
      </c>
      <c r="G259" s="14" t="s">
        <v>2044</v>
      </c>
      <c r="H259" s="14" t="s">
        <v>2045</v>
      </c>
      <c r="I259" s="14"/>
      <c r="J259" s="14" t="s">
        <v>2046</v>
      </c>
      <c r="K259" s="15"/>
      <c r="L259" s="14" t="s">
        <v>54</v>
      </c>
      <c r="M259" s="15"/>
      <c r="N259" s="14" t="s">
        <v>148</v>
      </c>
      <c r="O259" s="15"/>
      <c r="P259" s="14" t="s">
        <v>226</v>
      </c>
      <c r="Q259" t="s">
        <v>305</v>
      </c>
    </row>
    <row r="260" spans="1:17" ht="15.75" customHeight="1">
      <c r="A260" s="14" t="s">
        <v>2047</v>
      </c>
      <c r="B260" s="14" t="s">
        <v>59</v>
      </c>
      <c r="C260" s="14" t="s">
        <v>2048</v>
      </c>
      <c r="D260" s="14" t="s">
        <v>2049</v>
      </c>
      <c r="E260" s="14">
        <v>2025</v>
      </c>
      <c r="F260" s="14" t="s">
        <v>393</v>
      </c>
      <c r="G260" s="14" t="s">
        <v>2050</v>
      </c>
      <c r="H260" s="14" t="s">
        <v>2051</v>
      </c>
      <c r="I260" s="14"/>
      <c r="J260" s="14" t="s">
        <v>2052</v>
      </c>
      <c r="K260" s="14" t="s">
        <v>2053</v>
      </c>
      <c r="L260" s="14" t="s">
        <v>54</v>
      </c>
      <c r="M260" s="15"/>
      <c r="N260" s="14" t="s">
        <v>148</v>
      </c>
      <c r="O260" s="15"/>
      <c r="P260" s="14" t="s">
        <v>149</v>
      </c>
    </row>
    <row r="261" spans="1:17" ht="15.75" customHeight="1">
      <c r="A261" s="14" t="s">
        <v>2054</v>
      </c>
      <c r="B261" s="14" t="s">
        <v>59</v>
      </c>
      <c r="C261" s="14" t="s">
        <v>2055</v>
      </c>
      <c r="D261" s="14" t="s">
        <v>2056</v>
      </c>
      <c r="E261" s="14">
        <v>2022</v>
      </c>
      <c r="F261" s="14" t="s">
        <v>285</v>
      </c>
      <c r="G261" s="14" t="s">
        <v>2057</v>
      </c>
      <c r="H261" s="14" t="s">
        <v>2058</v>
      </c>
      <c r="I261" s="14"/>
      <c r="J261" s="14" t="s">
        <v>2059</v>
      </c>
      <c r="K261" s="15"/>
      <c r="L261" s="14" t="s">
        <v>54</v>
      </c>
      <c r="M261" s="15"/>
      <c r="N261" s="14" t="s">
        <v>148</v>
      </c>
      <c r="O261" s="15"/>
      <c r="P261" s="14" t="s">
        <v>226</v>
      </c>
      <c r="Q261" t="s">
        <v>305</v>
      </c>
    </row>
    <row r="262" spans="1:17" ht="15.75" customHeight="1">
      <c r="A262" s="14" t="s">
        <v>2060</v>
      </c>
      <c r="B262" s="14" t="s">
        <v>59</v>
      </c>
      <c r="C262" s="14" t="s">
        <v>2061</v>
      </c>
      <c r="D262" s="14" t="s">
        <v>2062</v>
      </c>
      <c r="E262" s="14">
        <v>2022</v>
      </c>
      <c r="F262" s="14" t="s">
        <v>2063</v>
      </c>
      <c r="G262" s="14" t="s">
        <v>2064</v>
      </c>
      <c r="H262" s="14" t="s">
        <v>2065</v>
      </c>
      <c r="I262" s="14"/>
      <c r="J262" s="14" t="s">
        <v>2066</v>
      </c>
      <c r="K262" s="14" t="s">
        <v>2067</v>
      </c>
      <c r="L262" s="14" t="s">
        <v>54</v>
      </c>
      <c r="M262" s="15"/>
      <c r="N262" s="14" t="s">
        <v>148</v>
      </c>
      <c r="O262" s="15"/>
      <c r="P262" s="14" t="s">
        <v>226</v>
      </c>
      <c r="Q262" t="s">
        <v>305</v>
      </c>
    </row>
    <row r="263" spans="1:17" ht="15.75" customHeight="1">
      <c r="A263" s="14" t="s">
        <v>2068</v>
      </c>
      <c r="B263" s="14" t="s">
        <v>59</v>
      </c>
      <c r="C263" s="14" t="s">
        <v>2069</v>
      </c>
      <c r="D263" s="14" t="s">
        <v>2070</v>
      </c>
      <c r="E263" s="14">
        <v>2026</v>
      </c>
      <c r="F263" s="14" t="s">
        <v>198</v>
      </c>
      <c r="G263" s="14" t="s">
        <v>2071</v>
      </c>
      <c r="H263" s="14" t="s">
        <v>2072</v>
      </c>
      <c r="I263" s="14"/>
      <c r="J263" s="14" t="s">
        <v>2073</v>
      </c>
      <c r="K263" s="14" t="s">
        <v>2074</v>
      </c>
      <c r="L263" s="14" t="s">
        <v>54</v>
      </c>
      <c r="M263" s="15"/>
      <c r="N263" s="14" t="s">
        <v>148</v>
      </c>
      <c r="O263" s="15"/>
      <c r="P263" s="14" t="s">
        <v>226</v>
      </c>
      <c r="Q263" t="s">
        <v>971</v>
      </c>
    </row>
    <row r="264" spans="1:17" ht="15.75" customHeight="1">
      <c r="A264" s="14" t="s">
        <v>2075</v>
      </c>
      <c r="B264" s="14" t="s">
        <v>59</v>
      </c>
      <c r="C264" s="14" t="s">
        <v>2076</v>
      </c>
      <c r="D264" s="14" t="s">
        <v>2077</v>
      </c>
      <c r="E264" s="14">
        <v>2025</v>
      </c>
      <c r="F264" s="14" t="s">
        <v>2078</v>
      </c>
      <c r="G264" s="14" t="s">
        <v>2079</v>
      </c>
      <c r="H264" s="14" t="s">
        <v>2080</v>
      </c>
      <c r="I264" s="14"/>
      <c r="J264" s="14" t="s">
        <v>2081</v>
      </c>
      <c r="K264" s="15"/>
      <c r="L264" s="14" t="s">
        <v>54</v>
      </c>
      <c r="M264" s="15"/>
      <c r="N264" s="14" t="s">
        <v>148</v>
      </c>
      <c r="O264" s="15"/>
      <c r="P264" s="14" t="s">
        <v>226</v>
      </c>
      <c r="Q264" t="s">
        <v>305</v>
      </c>
    </row>
    <row r="265" spans="1:17" ht="15.75" customHeight="1">
      <c r="A265" s="14" t="s">
        <v>2082</v>
      </c>
      <c r="B265" s="14" t="s">
        <v>59</v>
      </c>
      <c r="C265" s="14" t="s">
        <v>2083</v>
      </c>
      <c r="D265" s="14" t="s">
        <v>2084</v>
      </c>
      <c r="E265" s="14">
        <v>2025</v>
      </c>
      <c r="F265" s="14" t="s">
        <v>2085</v>
      </c>
      <c r="G265" s="14" t="s">
        <v>2086</v>
      </c>
      <c r="H265" s="14" t="s">
        <v>2087</v>
      </c>
      <c r="I265" s="14"/>
      <c r="J265" s="14" t="s">
        <v>2088</v>
      </c>
      <c r="K265" s="15"/>
      <c r="L265" s="14" t="s">
        <v>54</v>
      </c>
      <c r="M265" s="15"/>
      <c r="N265" s="14" t="s">
        <v>148</v>
      </c>
      <c r="O265" s="15"/>
      <c r="P265" s="14" t="s">
        <v>226</v>
      </c>
      <c r="Q265" t="s">
        <v>305</v>
      </c>
    </row>
    <row r="266" spans="1:17" ht="15.75" customHeight="1">
      <c r="A266" s="14" t="s">
        <v>2089</v>
      </c>
      <c r="B266" s="14" t="s">
        <v>59</v>
      </c>
      <c r="C266" s="14" t="s">
        <v>2090</v>
      </c>
      <c r="D266" s="14" t="s">
        <v>2091</v>
      </c>
      <c r="E266" s="14">
        <v>2025</v>
      </c>
      <c r="F266" s="14" t="s">
        <v>1602</v>
      </c>
      <c r="G266" s="14" t="s">
        <v>2092</v>
      </c>
      <c r="H266" s="14" t="s">
        <v>2093</v>
      </c>
      <c r="I266" s="14"/>
      <c r="J266" s="14" t="s">
        <v>2094</v>
      </c>
      <c r="K266" s="14" t="s">
        <v>2095</v>
      </c>
      <c r="L266" s="14" t="s">
        <v>54</v>
      </c>
      <c r="M266" s="15"/>
      <c r="N266" s="14" t="s">
        <v>148</v>
      </c>
      <c r="O266" s="15"/>
      <c r="P266" s="14" t="s">
        <v>195</v>
      </c>
    </row>
    <row r="267" spans="1:17" ht="15.75" customHeight="1">
      <c r="A267" s="14" t="s">
        <v>2096</v>
      </c>
      <c r="B267" s="14" t="s">
        <v>59</v>
      </c>
      <c r="C267" s="14" t="s">
        <v>2097</v>
      </c>
      <c r="D267" s="14" t="s">
        <v>2098</v>
      </c>
      <c r="E267" s="14">
        <v>2024</v>
      </c>
      <c r="F267" s="14" t="s">
        <v>2099</v>
      </c>
      <c r="G267" s="14" t="s">
        <v>2100</v>
      </c>
      <c r="H267" s="14" t="s">
        <v>2101</v>
      </c>
      <c r="I267" s="14"/>
      <c r="J267" s="14" t="s">
        <v>2102</v>
      </c>
      <c r="K267" s="15"/>
      <c r="L267" s="14" t="s">
        <v>54</v>
      </c>
      <c r="M267" s="15"/>
      <c r="N267" s="14" t="s">
        <v>148</v>
      </c>
      <c r="O267" s="15"/>
      <c r="P267" s="14" t="s">
        <v>226</v>
      </c>
      <c r="Q267" t="s">
        <v>305</v>
      </c>
    </row>
    <row r="268" spans="1:17" ht="15.75" customHeight="1">
      <c r="A268" s="14" t="s">
        <v>2103</v>
      </c>
      <c r="B268" s="14" t="s">
        <v>59</v>
      </c>
      <c r="C268" s="14" t="s">
        <v>2104</v>
      </c>
      <c r="D268" s="14" t="s">
        <v>2105</v>
      </c>
      <c r="E268" s="14">
        <v>2026</v>
      </c>
      <c r="F268" s="14" t="s">
        <v>2106</v>
      </c>
      <c r="G268" s="14" t="s">
        <v>2107</v>
      </c>
      <c r="H268" s="14" t="s">
        <v>2108</v>
      </c>
      <c r="I268" s="14"/>
      <c r="J268" s="14" t="s">
        <v>2109</v>
      </c>
      <c r="K268" s="14" t="s">
        <v>2110</v>
      </c>
      <c r="L268" s="14" t="s">
        <v>54</v>
      </c>
      <c r="M268" s="15"/>
      <c r="N268" s="14" t="s">
        <v>148</v>
      </c>
      <c r="O268" s="15"/>
      <c r="P268" s="14" t="s">
        <v>226</v>
      </c>
      <c r="Q268" t="s">
        <v>305</v>
      </c>
    </row>
    <row r="269" spans="1:17" ht="15.75" customHeight="1">
      <c r="A269" s="14" t="s">
        <v>2111</v>
      </c>
      <c r="B269" s="14" t="s">
        <v>59</v>
      </c>
      <c r="C269" s="14" t="s">
        <v>2112</v>
      </c>
      <c r="D269" s="14" t="s">
        <v>2113</v>
      </c>
      <c r="E269" s="14">
        <v>2026</v>
      </c>
      <c r="F269" s="14" t="s">
        <v>593</v>
      </c>
      <c r="G269" s="14" t="s">
        <v>2114</v>
      </c>
      <c r="H269" s="14" t="s">
        <v>2115</v>
      </c>
      <c r="I269" s="14"/>
      <c r="J269" s="14" t="s">
        <v>2116</v>
      </c>
      <c r="K269" s="14" t="s">
        <v>2117</v>
      </c>
      <c r="L269" s="14" t="s">
        <v>54</v>
      </c>
      <c r="M269" s="15"/>
      <c r="N269" s="14" t="s">
        <v>148</v>
      </c>
      <c r="O269" s="15"/>
      <c r="P269" s="14" t="s">
        <v>226</v>
      </c>
      <c r="Q269" t="s">
        <v>305</v>
      </c>
    </row>
    <row r="270" spans="1:17" ht="15.75" customHeight="1">
      <c r="A270" s="14" t="s">
        <v>2118</v>
      </c>
      <c r="B270" s="14" t="s">
        <v>59</v>
      </c>
      <c r="C270" s="14" t="s">
        <v>2119</v>
      </c>
      <c r="D270" s="14" t="s">
        <v>2120</v>
      </c>
      <c r="E270" s="14">
        <v>2024</v>
      </c>
      <c r="F270" s="14" t="s">
        <v>2121</v>
      </c>
      <c r="G270" s="14" t="s">
        <v>2122</v>
      </c>
      <c r="H270" s="14" t="s">
        <v>2123</v>
      </c>
      <c r="I270" s="14"/>
      <c r="J270" s="14" t="s">
        <v>2124</v>
      </c>
      <c r="K270" s="14" t="s">
        <v>2125</v>
      </c>
      <c r="L270" s="14" t="s">
        <v>54</v>
      </c>
      <c r="M270" s="15"/>
      <c r="N270" s="14" t="s">
        <v>148</v>
      </c>
      <c r="O270" s="15"/>
      <c r="P270" s="14" t="s">
        <v>226</v>
      </c>
      <c r="Q270" t="s">
        <v>305</v>
      </c>
    </row>
    <row r="271" spans="1:17" ht="15.75" customHeight="1">
      <c r="A271" s="14" t="s">
        <v>2126</v>
      </c>
      <c r="B271" s="14" t="s">
        <v>59</v>
      </c>
      <c r="C271" s="14" t="s">
        <v>2127</v>
      </c>
      <c r="D271" s="14" t="s">
        <v>2128</v>
      </c>
      <c r="E271" s="14">
        <v>2023</v>
      </c>
      <c r="F271" s="14" t="s">
        <v>2129</v>
      </c>
      <c r="G271" s="14" t="s">
        <v>2130</v>
      </c>
      <c r="H271" s="14" t="s">
        <v>2131</v>
      </c>
      <c r="I271" s="14"/>
      <c r="J271" s="14" t="s">
        <v>2132</v>
      </c>
      <c r="K271" s="15"/>
      <c r="L271" s="14" t="s">
        <v>54</v>
      </c>
      <c r="M271" s="15"/>
      <c r="N271" s="14" t="s">
        <v>148</v>
      </c>
      <c r="O271" s="15"/>
      <c r="P271" s="14" t="s">
        <v>226</v>
      </c>
      <c r="Q271" t="s">
        <v>305</v>
      </c>
    </row>
    <row r="272" spans="1:17" ht="15.75" customHeight="1">
      <c r="A272" s="14" t="s">
        <v>2133</v>
      </c>
      <c r="B272" s="14" t="s">
        <v>59</v>
      </c>
      <c r="C272" s="14" t="s">
        <v>2134</v>
      </c>
      <c r="D272" s="14" t="s">
        <v>2135</v>
      </c>
      <c r="E272" s="14">
        <v>2025</v>
      </c>
      <c r="F272" s="14" t="s">
        <v>2136</v>
      </c>
      <c r="G272" s="14" t="s">
        <v>2137</v>
      </c>
      <c r="H272" s="14" t="s">
        <v>2138</v>
      </c>
      <c r="I272" s="14"/>
      <c r="J272" s="14" t="s">
        <v>2139</v>
      </c>
      <c r="K272" s="14" t="s">
        <v>2140</v>
      </c>
      <c r="L272" s="14" t="s">
        <v>54</v>
      </c>
      <c r="M272" s="15"/>
      <c r="N272" s="14" t="s">
        <v>148</v>
      </c>
      <c r="O272" s="15"/>
      <c r="P272" s="14" t="s">
        <v>226</v>
      </c>
      <c r="Q272" t="s">
        <v>305</v>
      </c>
    </row>
    <row r="273" spans="1:17" ht="15.75" customHeight="1">
      <c r="A273" s="14" t="s">
        <v>2141</v>
      </c>
      <c r="B273" s="14" t="s">
        <v>59</v>
      </c>
      <c r="C273" s="14" t="s">
        <v>2142</v>
      </c>
      <c r="D273" s="14" t="s">
        <v>2143</v>
      </c>
      <c r="E273" s="14">
        <v>2023</v>
      </c>
      <c r="F273" s="14" t="s">
        <v>2144</v>
      </c>
      <c r="G273" s="14" t="s">
        <v>2145</v>
      </c>
      <c r="H273" s="14" t="s">
        <v>2146</v>
      </c>
      <c r="I273" s="14"/>
      <c r="J273" s="14" t="s">
        <v>2147</v>
      </c>
      <c r="K273" s="15"/>
      <c r="L273" s="14" t="s">
        <v>54</v>
      </c>
      <c r="M273" s="15"/>
      <c r="N273" s="14" t="s">
        <v>148</v>
      </c>
      <c r="O273" s="15"/>
      <c r="P273" s="14" t="s">
        <v>226</v>
      </c>
      <c r="Q273" t="s">
        <v>305</v>
      </c>
    </row>
    <row r="274" spans="1:17" ht="15.75" customHeight="1">
      <c r="A274" s="14" t="s">
        <v>2148</v>
      </c>
      <c r="B274" s="14" t="s">
        <v>59</v>
      </c>
      <c r="C274" s="14" t="s">
        <v>2149</v>
      </c>
      <c r="D274" s="14" t="s">
        <v>2150</v>
      </c>
      <c r="E274" s="14">
        <v>2022</v>
      </c>
      <c r="F274" s="14" t="s">
        <v>578</v>
      </c>
      <c r="G274" s="14" t="s">
        <v>2151</v>
      </c>
      <c r="H274" s="14" t="s">
        <v>2152</v>
      </c>
      <c r="I274" s="14"/>
      <c r="J274" s="14" t="s">
        <v>2153</v>
      </c>
      <c r="K274" s="14" t="s">
        <v>2154</v>
      </c>
      <c r="L274" s="14" t="s">
        <v>54</v>
      </c>
      <c r="M274" s="15"/>
      <c r="N274" s="14" t="s">
        <v>148</v>
      </c>
      <c r="O274" s="15"/>
      <c r="P274" s="14" t="s">
        <v>226</v>
      </c>
      <c r="Q274" t="s">
        <v>305</v>
      </c>
    </row>
    <row r="275" spans="1:17" ht="15.75" customHeight="1">
      <c r="A275" s="14" t="s">
        <v>2155</v>
      </c>
      <c r="B275" s="14" t="s">
        <v>59</v>
      </c>
      <c r="C275" s="14" t="s">
        <v>2156</v>
      </c>
      <c r="D275" s="14" t="s">
        <v>2157</v>
      </c>
      <c r="E275" s="14">
        <v>2021</v>
      </c>
      <c r="F275" s="14" t="s">
        <v>231</v>
      </c>
      <c r="G275" s="14" t="s">
        <v>2158</v>
      </c>
      <c r="H275" s="14" t="s">
        <v>2159</v>
      </c>
      <c r="I275" s="14"/>
      <c r="J275" s="14" t="s">
        <v>2160</v>
      </c>
      <c r="K275" s="14" t="s">
        <v>2161</v>
      </c>
      <c r="L275" s="14" t="s">
        <v>54</v>
      </c>
      <c r="M275" s="15"/>
      <c r="N275" s="14" t="s">
        <v>148</v>
      </c>
      <c r="O275" s="15"/>
      <c r="P275" s="14" t="s">
        <v>226</v>
      </c>
      <c r="Q275" t="s">
        <v>305</v>
      </c>
    </row>
    <row r="276" spans="1:17" ht="15.75" customHeight="1">
      <c r="A276" s="14" t="s">
        <v>2162</v>
      </c>
      <c r="B276" s="14" t="s">
        <v>59</v>
      </c>
      <c r="C276" s="14" t="s">
        <v>2163</v>
      </c>
      <c r="D276" s="14" t="s">
        <v>2164</v>
      </c>
      <c r="E276" s="14">
        <v>2022</v>
      </c>
      <c r="F276" s="14" t="s">
        <v>2165</v>
      </c>
      <c r="G276" s="14" t="s">
        <v>2166</v>
      </c>
      <c r="H276" s="14" t="s">
        <v>2167</v>
      </c>
      <c r="I276" s="14"/>
      <c r="J276" s="15"/>
      <c r="K276" s="14" t="s">
        <v>2168</v>
      </c>
      <c r="L276" s="14" t="s">
        <v>54</v>
      </c>
      <c r="M276" s="15"/>
      <c r="N276" s="14" t="s">
        <v>148</v>
      </c>
      <c r="O276" s="15"/>
      <c r="P276" s="14" t="s">
        <v>149</v>
      </c>
    </row>
    <row r="277" spans="1:17" ht="15.75" customHeight="1">
      <c r="A277" s="14" t="s">
        <v>2169</v>
      </c>
      <c r="B277" s="14" t="s">
        <v>59</v>
      </c>
      <c r="C277" s="14" t="s">
        <v>2170</v>
      </c>
      <c r="D277" s="14" t="s">
        <v>2171</v>
      </c>
      <c r="E277" s="14">
        <v>2026</v>
      </c>
      <c r="F277" s="14" t="s">
        <v>2172</v>
      </c>
      <c r="G277" s="14" t="s">
        <v>2173</v>
      </c>
      <c r="H277" s="14" t="s">
        <v>2174</v>
      </c>
      <c r="I277" s="14"/>
      <c r="J277" s="14" t="s">
        <v>2175</v>
      </c>
      <c r="K277" s="14" t="s">
        <v>2176</v>
      </c>
      <c r="L277" s="14" t="s">
        <v>54</v>
      </c>
      <c r="M277" s="15"/>
      <c r="N277" s="14" t="s">
        <v>148</v>
      </c>
      <c r="O277" s="15"/>
      <c r="P277" s="14" t="s">
        <v>226</v>
      </c>
      <c r="Q277" t="s">
        <v>305</v>
      </c>
    </row>
    <row r="278" spans="1:17" ht="15.75" customHeight="1">
      <c r="A278" s="14" t="s">
        <v>2177</v>
      </c>
      <c r="B278" s="14" t="s">
        <v>59</v>
      </c>
      <c r="C278" s="14" t="s">
        <v>2178</v>
      </c>
      <c r="D278" s="14" t="s">
        <v>2179</v>
      </c>
      <c r="E278" s="14">
        <v>2024</v>
      </c>
      <c r="F278" s="14" t="s">
        <v>2180</v>
      </c>
      <c r="G278" s="14" t="s">
        <v>2181</v>
      </c>
      <c r="H278" s="14" t="s">
        <v>2182</v>
      </c>
      <c r="I278" s="14"/>
      <c r="J278" s="14" t="s">
        <v>2183</v>
      </c>
      <c r="K278" s="15"/>
      <c r="L278" s="14" t="s">
        <v>54</v>
      </c>
      <c r="M278" s="15"/>
      <c r="N278" s="14" t="s">
        <v>148</v>
      </c>
      <c r="O278" s="15"/>
      <c r="P278" s="14" t="s">
        <v>226</v>
      </c>
      <c r="Q278" t="s">
        <v>305</v>
      </c>
    </row>
    <row r="279" spans="1:17" ht="15.75" customHeight="1">
      <c r="A279" s="14" t="s">
        <v>2184</v>
      </c>
      <c r="B279" s="14" t="s">
        <v>59</v>
      </c>
      <c r="C279" s="14" t="s">
        <v>2185</v>
      </c>
      <c r="D279" s="14" t="s">
        <v>2186</v>
      </c>
      <c r="E279" s="14">
        <v>2014</v>
      </c>
      <c r="F279" s="14" t="s">
        <v>153</v>
      </c>
      <c r="G279" s="14" t="s">
        <v>2187</v>
      </c>
      <c r="H279" s="14" t="s">
        <v>2188</v>
      </c>
      <c r="I279" s="14"/>
      <c r="J279" s="14" t="s">
        <v>2189</v>
      </c>
      <c r="K279" s="14" t="s">
        <v>2190</v>
      </c>
      <c r="L279" s="14" t="s">
        <v>54</v>
      </c>
      <c r="M279" s="15"/>
      <c r="N279" s="14" t="s">
        <v>148</v>
      </c>
      <c r="O279" s="15"/>
      <c r="P279" s="14" t="s">
        <v>226</v>
      </c>
      <c r="Q279" t="s">
        <v>305</v>
      </c>
    </row>
    <row r="280" spans="1:17" ht="15.75" customHeight="1">
      <c r="A280" s="14" t="s">
        <v>2191</v>
      </c>
      <c r="B280" s="14" t="s">
        <v>59</v>
      </c>
      <c r="C280" s="14" t="s">
        <v>2192</v>
      </c>
      <c r="D280" s="14" t="s">
        <v>2193</v>
      </c>
      <c r="E280" s="14">
        <v>2026</v>
      </c>
      <c r="F280" s="14" t="s">
        <v>2194</v>
      </c>
      <c r="G280" s="14" t="s">
        <v>2195</v>
      </c>
      <c r="H280" s="14" t="s">
        <v>2196</v>
      </c>
      <c r="I280" s="14"/>
      <c r="J280" s="14" t="s">
        <v>2197</v>
      </c>
      <c r="K280" s="15"/>
      <c r="L280" s="14" t="s">
        <v>54</v>
      </c>
      <c r="M280" s="15"/>
      <c r="N280" s="14" t="s">
        <v>148</v>
      </c>
      <c r="O280" s="15"/>
      <c r="P280" s="14" t="s">
        <v>226</v>
      </c>
      <c r="Q280" t="s">
        <v>305</v>
      </c>
    </row>
    <row r="281" spans="1:17" ht="15.75" customHeight="1">
      <c r="A281" s="14" t="s">
        <v>2198</v>
      </c>
      <c r="B281" s="14" t="s">
        <v>59</v>
      </c>
      <c r="C281" s="14" t="s">
        <v>2199</v>
      </c>
      <c r="D281" s="14" t="s">
        <v>2200</v>
      </c>
      <c r="E281" s="14">
        <v>2025</v>
      </c>
      <c r="F281" s="14" t="s">
        <v>2201</v>
      </c>
      <c r="G281" s="14" t="s">
        <v>2202</v>
      </c>
      <c r="H281" s="14" t="s">
        <v>2203</v>
      </c>
      <c r="I281" s="14"/>
      <c r="J281" s="14" t="s">
        <v>2204</v>
      </c>
      <c r="K281" s="14" t="s">
        <v>2205</v>
      </c>
      <c r="L281" s="14" t="s">
        <v>54</v>
      </c>
      <c r="M281" s="15"/>
      <c r="N281" s="14" t="s">
        <v>148</v>
      </c>
      <c r="O281" s="15"/>
      <c r="P281" s="14" t="s">
        <v>226</v>
      </c>
      <c r="Q281" t="s">
        <v>305</v>
      </c>
    </row>
    <row r="282" spans="1:17" ht="15.75" customHeight="1">
      <c r="A282" s="14" t="s">
        <v>2206</v>
      </c>
      <c r="B282" s="14" t="s">
        <v>59</v>
      </c>
      <c r="C282" s="14" t="s">
        <v>2207</v>
      </c>
      <c r="D282" s="14" t="s">
        <v>2208</v>
      </c>
      <c r="E282" s="14">
        <v>2021</v>
      </c>
      <c r="F282" s="14" t="s">
        <v>1544</v>
      </c>
      <c r="G282" s="14" t="s">
        <v>2209</v>
      </c>
      <c r="H282" s="14" t="s">
        <v>2210</v>
      </c>
      <c r="I282" s="14"/>
      <c r="J282" s="14" t="s">
        <v>2211</v>
      </c>
      <c r="K282" s="15"/>
      <c r="L282" s="14" t="s">
        <v>54</v>
      </c>
      <c r="M282" s="15"/>
      <c r="N282" s="14" t="s">
        <v>148</v>
      </c>
      <c r="O282" s="15"/>
      <c r="P282" s="14" t="s">
        <v>226</v>
      </c>
      <c r="Q282" t="s">
        <v>305</v>
      </c>
    </row>
    <row r="283" spans="1:17" ht="15.75" customHeight="1">
      <c r="A283" s="14" t="s">
        <v>2212</v>
      </c>
      <c r="B283" s="14" t="s">
        <v>59</v>
      </c>
      <c r="C283" s="14" t="s">
        <v>2213</v>
      </c>
      <c r="D283" s="14" t="s">
        <v>2214</v>
      </c>
      <c r="E283" s="14">
        <v>2026</v>
      </c>
      <c r="F283" s="14" t="s">
        <v>2215</v>
      </c>
      <c r="G283" s="14" t="s">
        <v>2216</v>
      </c>
      <c r="H283" s="14" t="s">
        <v>2217</v>
      </c>
      <c r="I283" s="14"/>
      <c r="J283" s="14" t="s">
        <v>2218</v>
      </c>
      <c r="K283" s="14" t="s">
        <v>2219</v>
      </c>
      <c r="L283" s="14" t="s">
        <v>54</v>
      </c>
      <c r="M283" s="15"/>
      <c r="N283" s="14" t="s">
        <v>148</v>
      </c>
      <c r="O283" s="15"/>
      <c r="P283" s="14" t="s">
        <v>226</v>
      </c>
      <c r="Q283" t="s">
        <v>305</v>
      </c>
    </row>
    <row r="284" spans="1:17" ht="15.75" customHeight="1">
      <c r="A284" s="14" t="s">
        <v>2220</v>
      </c>
      <c r="B284" s="14" t="s">
        <v>59</v>
      </c>
      <c r="C284" s="14" t="s">
        <v>2221</v>
      </c>
      <c r="D284" s="14" t="s">
        <v>2222</v>
      </c>
      <c r="E284" s="14">
        <v>2026</v>
      </c>
      <c r="F284" s="14" t="s">
        <v>1423</v>
      </c>
      <c r="G284" s="14" t="s">
        <v>2223</v>
      </c>
      <c r="H284" s="14" t="s">
        <v>2224</v>
      </c>
      <c r="I284" s="14"/>
      <c r="J284" s="14" t="s">
        <v>2225</v>
      </c>
      <c r="K284" s="14" t="s">
        <v>2226</v>
      </c>
      <c r="L284" s="14" t="s">
        <v>54</v>
      </c>
      <c r="M284" s="15"/>
      <c r="N284" s="14" t="s">
        <v>148</v>
      </c>
      <c r="O284" s="15"/>
      <c r="P284" s="14" t="s">
        <v>226</v>
      </c>
      <c r="Q284" t="s">
        <v>305</v>
      </c>
    </row>
    <row r="285" spans="1:17" ht="15.75" customHeight="1">
      <c r="A285" s="14" t="s">
        <v>2227</v>
      </c>
      <c r="B285" s="14" t="s">
        <v>59</v>
      </c>
      <c r="C285" s="14" t="s">
        <v>2228</v>
      </c>
      <c r="D285" s="14" t="s">
        <v>2229</v>
      </c>
      <c r="E285" s="14">
        <v>1996</v>
      </c>
      <c r="F285" s="14" t="s">
        <v>2230</v>
      </c>
      <c r="G285" s="15"/>
      <c r="H285" s="14" t="s">
        <v>2231</v>
      </c>
      <c r="I285" s="14"/>
      <c r="J285" s="15"/>
      <c r="K285" s="14" t="s">
        <v>2232</v>
      </c>
      <c r="L285" s="14" t="s">
        <v>54</v>
      </c>
      <c r="M285" s="15"/>
      <c r="N285" s="14" t="s">
        <v>148</v>
      </c>
      <c r="O285" s="15"/>
      <c r="P285" s="14" t="s">
        <v>226</v>
      </c>
      <c r="Q285" t="s">
        <v>305</v>
      </c>
    </row>
    <row r="286" spans="1:17" ht="15.75" customHeight="1">
      <c r="A286" s="14" t="s">
        <v>2233</v>
      </c>
      <c r="B286" s="14" t="s">
        <v>59</v>
      </c>
      <c r="C286" s="14" t="s">
        <v>2234</v>
      </c>
      <c r="D286" s="14" t="s">
        <v>2235</v>
      </c>
      <c r="E286" s="14">
        <v>2024</v>
      </c>
      <c r="F286" s="14" t="s">
        <v>2236</v>
      </c>
      <c r="G286" s="14" t="s">
        <v>2237</v>
      </c>
      <c r="H286" s="14" t="s">
        <v>2238</v>
      </c>
      <c r="I286" s="14"/>
      <c r="J286" s="14" t="s">
        <v>2239</v>
      </c>
      <c r="K286" s="14" t="s">
        <v>2240</v>
      </c>
      <c r="L286" s="14" t="s">
        <v>54</v>
      </c>
      <c r="M286" s="15"/>
      <c r="N286" s="14" t="s">
        <v>148</v>
      </c>
      <c r="O286" s="15"/>
      <c r="P286" s="14" t="s">
        <v>226</v>
      </c>
      <c r="Q286" t="s">
        <v>305</v>
      </c>
    </row>
    <row r="287" spans="1:17" ht="15.75" customHeight="1">
      <c r="A287" s="14" t="s">
        <v>2241</v>
      </c>
      <c r="B287" s="14" t="s">
        <v>59</v>
      </c>
      <c r="C287" s="14" t="s">
        <v>2242</v>
      </c>
      <c r="D287" s="14" t="s">
        <v>2243</v>
      </c>
      <c r="E287" s="14">
        <v>2026</v>
      </c>
      <c r="F287" s="14" t="s">
        <v>438</v>
      </c>
      <c r="G287" s="14" t="s">
        <v>2244</v>
      </c>
      <c r="H287" s="14" t="s">
        <v>2245</v>
      </c>
      <c r="I287" s="14"/>
      <c r="J287" s="14" t="s">
        <v>2246</v>
      </c>
      <c r="K287" s="14" t="s">
        <v>2247</v>
      </c>
      <c r="L287" s="14" t="s">
        <v>54</v>
      </c>
      <c r="M287" s="15"/>
      <c r="N287" s="14" t="s">
        <v>148</v>
      </c>
      <c r="O287" s="15"/>
      <c r="P287" s="14" t="s">
        <v>226</v>
      </c>
      <c r="Q287" t="s">
        <v>305</v>
      </c>
    </row>
    <row r="288" spans="1:17" ht="15.75" customHeight="1">
      <c r="A288" s="14" t="s">
        <v>2248</v>
      </c>
      <c r="B288" s="14" t="s">
        <v>59</v>
      </c>
      <c r="C288" s="14" t="s">
        <v>2249</v>
      </c>
      <c r="D288" s="14" t="s">
        <v>2250</v>
      </c>
      <c r="E288" s="14">
        <v>2025</v>
      </c>
      <c r="F288" s="14" t="s">
        <v>517</v>
      </c>
      <c r="G288" s="14" t="s">
        <v>2251</v>
      </c>
      <c r="H288" s="14" t="s">
        <v>2252</v>
      </c>
      <c r="I288" s="14"/>
      <c r="J288" s="14" t="s">
        <v>2253</v>
      </c>
      <c r="K288" s="14" t="s">
        <v>2254</v>
      </c>
      <c r="L288" s="14" t="s">
        <v>54</v>
      </c>
      <c r="M288" s="15"/>
      <c r="N288" s="14" t="s">
        <v>148</v>
      </c>
      <c r="O288" s="15"/>
      <c r="P288" s="14" t="s">
        <v>226</v>
      </c>
      <c r="Q288" t="s">
        <v>305</v>
      </c>
    </row>
    <row r="289" spans="1:17" ht="15.75" customHeight="1">
      <c r="A289" s="14" t="s">
        <v>2255</v>
      </c>
      <c r="B289" s="14" t="s">
        <v>59</v>
      </c>
      <c r="C289" s="14" t="s">
        <v>2256</v>
      </c>
      <c r="D289" s="14" t="s">
        <v>2257</v>
      </c>
      <c r="E289" s="14">
        <v>2025</v>
      </c>
      <c r="F289" s="14" t="s">
        <v>476</v>
      </c>
      <c r="G289" s="14" t="s">
        <v>2258</v>
      </c>
      <c r="H289" s="14" t="s">
        <v>2259</v>
      </c>
      <c r="I289" s="14"/>
      <c r="J289" s="14" t="s">
        <v>2260</v>
      </c>
      <c r="K289" s="14" t="s">
        <v>2261</v>
      </c>
      <c r="L289" s="14" t="s">
        <v>54</v>
      </c>
      <c r="M289" s="15"/>
      <c r="N289" s="14" t="s">
        <v>148</v>
      </c>
      <c r="O289" s="15"/>
      <c r="P289" s="14" t="s">
        <v>226</v>
      </c>
      <c r="Q289" t="s">
        <v>305</v>
      </c>
    </row>
    <row r="290" spans="1:17" ht="15.75" customHeight="1">
      <c r="A290" s="14" t="s">
        <v>2262</v>
      </c>
      <c r="B290" s="14" t="s">
        <v>59</v>
      </c>
      <c r="C290" s="14" t="s">
        <v>2263</v>
      </c>
      <c r="D290" s="14" t="s">
        <v>2264</v>
      </c>
      <c r="E290" s="14">
        <v>2022</v>
      </c>
      <c r="F290" s="14" t="s">
        <v>1836</v>
      </c>
      <c r="G290" s="14" t="s">
        <v>2265</v>
      </c>
      <c r="H290" s="14" t="s">
        <v>2266</v>
      </c>
      <c r="I290" s="14"/>
      <c r="J290" s="14" t="s">
        <v>2267</v>
      </c>
      <c r="K290" s="14" t="s">
        <v>2268</v>
      </c>
      <c r="L290" s="14" t="s">
        <v>54</v>
      </c>
      <c r="M290" s="15"/>
      <c r="N290" s="14" t="s">
        <v>148</v>
      </c>
      <c r="O290" s="15"/>
      <c r="P290" s="14" t="s">
        <v>226</v>
      </c>
      <c r="Q290" t="s">
        <v>305</v>
      </c>
    </row>
    <row r="291" spans="1:17" ht="15.75" customHeight="1">
      <c r="A291" s="14" t="s">
        <v>2269</v>
      </c>
      <c r="B291" s="14" t="s">
        <v>59</v>
      </c>
      <c r="C291" s="14" t="s">
        <v>2270</v>
      </c>
      <c r="D291" s="14" t="s">
        <v>2271</v>
      </c>
      <c r="E291" s="14">
        <v>2026</v>
      </c>
      <c r="F291" s="14" t="s">
        <v>2272</v>
      </c>
      <c r="G291" s="14" t="s">
        <v>2273</v>
      </c>
      <c r="H291" s="14" t="s">
        <v>2274</v>
      </c>
      <c r="I291" s="14"/>
      <c r="J291" s="14" t="s">
        <v>2275</v>
      </c>
      <c r="K291" s="14" t="s">
        <v>2276</v>
      </c>
      <c r="L291" s="14" t="s">
        <v>54</v>
      </c>
      <c r="M291" s="15"/>
      <c r="N291" s="14" t="s">
        <v>148</v>
      </c>
      <c r="O291" s="15"/>
      <c r="P291" s="14" t="s">
        <v>226</v>
      </c>
      <c r="Q291" t="s">
        <v>305</v>
      </c>
    </row>
    <row r="292" spans="1:17" ht="15.75" customHeight="1">
      <c r="A292" s="14" t="s">
        <v>2277</v>
      </c>
      <c r="B292" s="14" t="s">
        <v>59</v>
      </c>
      <c r="C292" s="14" t="s">
        <v>2278</v>
      </c>
      <c r="D292" s="14" t="s">
        <v>2279</v>
      </c>
      <c r="E292" s="14">
        <v>2024</v>
      </c>
      <c r="F292" s="14" t="s">
        <v>438</v>
      </c>
      <c r="G292" s="14" t="s">
        <v>2280</v>
      </c>
      <c r="H292" s="14" t="s">
        <v>2281</v>
      </c>
      <c r="I292" s="14"/>
      <c r="J292" s="14" t="s">
        <v>2282</v>
      </c>
      <c r="K292" s="14" t="s">
        <v>2283</v>
      </c>
      <c r="L292" s="14" t="s">
        <v>54</v>
      </c>
      <c r="M292" s="15"/>
      <c r="N292" s="14" t="s">
        <v>148</v>
      </c>
      <c r="O292" s="15"/>
      <c r="P292" s="14" t="s">
        <v>226</v>
      </c>
      <c r="Q292" t="s">
        <v>305</v>
      </c>
    </row>
    <row r="293" spans="1:17" ht="15.75" customHeight="1">
      <c r="A293" s="14" t="s">
        <v>2284</v>
      </c>
      <c r="B293" s="14" t="s">
        <v>59</v>
      </c>
      <c r="C293" s="14" t="s">
        <v>2285</v>
      </c>
      <c r="D293" s="14" t="s">
        <v>1805</v>
      </c>
      <c r="E293" s="14">
        <v>2022</v>
      </c>
      <c r="F293" s="14" t="s">
        <v>2286</v>
      </c>
      <c r="G293" s="14" t="s">
        <v>2287</v>
      </c>
      <c r="H293" s="14" t="s">
        <v>2288</v>
      </c>
      <c r="I293" s="14"/>
      <c r="J293" s="14" t="s">
        <v>2289</v>
      </c>
      <c r="K293" s="14" t="s">
        <v>2290</v>
      </c>
      <c r="L293" s="14" t="s">
        <v>54</v>
      </c>
      <c r="M293" s="15"/>
      <c r="N293" s="14" t="s">
        <v>148</v>
      </c>
      <c r="O293" s="15"/>
      <c r="P293" s="14" t="s">
        <v>226</v>
      </c>
      <c r="Q293" t="s">
        <v>305</v>
      </c>
    </row>
    <row r="294" spans="1:17" ht="15.75" customHeight="1">
      <c r="A294" s="14" t="s">
        <v>2291</v>
      </c>
      <c r="B294" s="14" t="s">
        <v>59</v>
      </c>
      <c r="C294" s="14" t="s">
        <v>2292</v>
      </c>
      <c r="D294" s="14" t="s">
        <v>2293</v>
      </c>
      <c r="E294" s="14">
        <v>2026</v>
      </c>
      <c r="F294" s="14" t="s">
        <v>2294</v>
      </c>
      <c r="G294" s="14" t="s">
        <v>2295</v>
      </c>
      <c r="H294" s="14" t="s">
        <v>2296</v>
      </c>
      <c r="I294" s="14"/>
      <c r="J294" s="14" t="s">
        <v>2297</v>
      </c>
      <c r="K294" s="14" t="s">
        <v>2298</v>
      </c>
      <c r="L294" s="14" t="s">
        <v>54</v>
      </c>
      <c r="M294" s="15"/>
      <c r="N294" s="14" t="s">
        <v>148</v>
      </c>
      <c r="O294" s="15"/>
      <c r="P294" s="14" t="s">
        <v>226</v>
      </c>
      <c r="Q294" t="s">
        <v>305</v>
      </c>
    </row>
    <row r="295" spans="1:17" ht="15.75" customHeight="1">
      <c r="A295" s="14" t="s">
        <v>2299</v>
      </c>
      <c r="B295" s="14" t="s">
        <v>59</v>
      </c>
      <c r="C295" s="14" t="s">
        <v>2300</v>
      </c>
      <c r="D295" s="14" t="s">
        <v>2301</v>
      </c>
      <c r="E295" s="14">
        <v>2012</v>
      </c>
      <c r="F295" s="14" t="s">
        <v>2302</v>
      </c>
      <c r="G295" s="14" t="s">
        <v>2303</v>
      </c>
      <c r="H295" s="14" t="s">
        <v>2304</v>
      </c>
      <c r="I295" s="14"/>
      <c r="J295" s="14" t="s">
        <v>2305</v>
      </c>
      <c r="K295" s="15"/>
      <c r="L295" s="14" t="s">
        <v>54</v>
      </c>
      <c r="M295" s="15"/>
      <c r="N295" s="14" t="s">
        <v>148</v>
      </c>
      <c r="O295" s="15"/>
      <c r="P295" s="14" t="s">
        <v>226</v>
      </c>
      <c r="Q295" t="s">
        <v>305</v>
      </c>
    </row>
    <row r="296" spans="1:17" ht="15.75" customHeight="1">
      <c r="A296" s="14" t="s">
        <v>2306</v>
      </c>
      <c r="B296" s="14" t="s">
        <v>59</v>
      </c>
      <c r="C296" s="14" t="s">
        <v>2307</v>
      </c>
      <c r="D296" s="14" t="s">
        <v>2308</v>
      </c>
      <c r="E296" s="14">
        <v>2026</v>
      </c>
      <c r="F296" s="14" t="s">
        <v>2201</v>
      </c>
      <c r="G296" s="14" t="s">
        <v>2309</v>
      </c>
      <c r="H296" s="14" t="s">
        <v>2310</v>
      </c>
      <c r="I296" s="14"/>
      <c r="J296" s="14" t="s">
        <v>2311</v>
      </c>
      <c r="K296" s="14" t="s">
        <v>2312</v>
      </c>
      <c r="L296" s="14" t="s">
        <v>54</v>
      </c>
      <c r="M296" s="15"/>
      <c r="N296" s="14" t="s">
        <v>148</v>
      </c>
      <c r="O296" s="15"/>
      <c r="P296" s="14" t="s">
        <v>226</v>
      </c>
      <c r="Q296" t="s">
        <v>305</v>
      </c>
    </row>
    <row r="297" spans="1:17" ht="15.75" customHeight="1">
      <c r="A297" s="14" t="s">
        <v>2313</v>
      </c>
      <c r="B297" s="14" t="s">
        <v>59</v>
      </c>
      <c r="C297" s="14" t="s">
        <v>2314</v>
      </c>
      <c r="D297" s="14" t="s">
        <v>2315</v>
      </c>
      <c r="E297" s="14">
        <v>2025</v>
      </c>
      <c r="F297" s="14" t="s">
        <v>2316</v>
      </c>
      <c r="G297" s="14" t="s">
        <v>2317</v>
      </c>
      <c r="H297" s="14" t="s">
        <v>2318</v>
      </c>
      <c r="I297" s="14"/>
      <c r="J297" s="15"/>
      <c r="K297" s="14" t="s">
        <v>2319</v>
      </c>
      <c r="L297" s="14" t="s">
        <v>54</v>
      </c>
      <c r="M297" s="15"/>
      <c r="N297" s="14" t="s">
        <v>148</v>
      </c>
      <c r="O297" s="15"/>
      <c r="P297" s="14" t="s">
        <v>226</v>
      </c>
      <c r="Q297" t="s">
        <v>305</v>
      </c>
    </row>
    <row r="298" spans="1:17" ht="15.75" customHeight="1">
      <c r="A298" s="14" t="s">
        <v>2320</v>
      </c>
      <c r="B298" s="14" t="s">
        <v>59</v>
      </c>
      <c r="C298" s="14" t="s">
        <v>2321</v>
      </c>
      <c r="D298" s="14" t="s">
        <v>2322</v>
      </c>
      <c r="E298" s="14">
        <v>2026</v>
      </c>
      <c r="F298" s="14" t="s">
        <v>1322</v>
      </c>
      <c r="G298" s="14" t="s">
        <v>2323</v>
      </c>
      <c r="H298" s="14" t="s">
        <v>2324</v>
      </c>
      <c r="I298" s="14"/>
      <c r="J298" s="14" t="s">
        <v>2325</v>
      </c>
      <c r="K298" s="14" t="s">
        <v>2326</v>
      </c>
      <c r="L298" s="14" t="s">
        <v>54</v>
      </c>
      <c r="M298" s="15"/>
      <c r="N298" s="14" t="s">
        <v>148</v>
      </c>
      <c r="O298" s="15"/>
      <c r="P298" s="14" t="s">
        <v>226</v>
      </c>
      <c r="Q298" t="s">
        <v>305</v>
      </c>
    </row>
    <row r="299" spans="1:17" ht="15.75" customHeight="1">
      <c r="A299" s="14" t="s">
        <v>2327</v>
      </c>
      <c r="B299" s="14" t="s">
        <v>59</v>
      </c>
      <c r="C299" s="14" t="s">
        <v>2328</v>
      </c>
      <c r="D299" s="14" t="s">
        <v>2329</v>
      </c>
      <c r="E299" s="14">
        <v>2025</v>
      </c>
      <c r="F299" s="14" t="s">
        <v>255</v>
      </c>
      <c r="G299" s="14" t="s">
        <v>2330</v>
      </c>
      <c r="H299" s="14" t="s">
        <v>2331</v>
      </c>
      <c r="I299" s="14"/>
      <c r="J299" s="14" t="s">
        <v>2332</v>
      </c>
      <c r="K299" s="14" t="s">
        <v>2333</v>
      </c>
      <c r="L299" s="14" t="s">
        <v>54</v>
      </c>
      <c r="M299" s="15"/>
      <c r="N299" s="14" t="s">
        <v>148</v>
      </c>
      <c r="O299" s="15"/>
      <c r="P299" s="14" t="s">
        <v>226</v>
      </c>
      <c r="Q299" t="s">
        <v>305</v>
      </c>
    </row>
    <row r="300" spans="1:17" ht="15.75" customHeight="1">
      <c r="A300" s="14" t="s">
        <v>2334</v>
      </c>
      <c r="B300" s="14" t="s">
        <v>59</v>
      </c>
      <c r="C300" s="14" t="s">
        <v>2335</v>
      </c>
      <c r="D300" s="14" t="s">
        <v>2336</v>
      </c>
      <c r="E300" s="14">
        <v>2024</v>
      </c>
      <c r="F300" s="14" t="s">
        <v>1747</v>
      </c>
      <c r="G300" s="15"/>
      <c r="H300" s="14" t="s">
        <v>2337</v>
      </c>
      <c r="I300" s="14"/>
      <c r="J300" s="14" t="s">
        <v>2338</v>
      </c>
      <c r="K300" s="15"/>
      <c r="L300" s="14" t="s">
        <v>54</v>
      </c>
      <c r="M300" s="15"/>
      <c r="N300" s="14" t="s">
        <v>148</v>
      </c>
      <c r="O300" s="15"/>
      <c r="P300" s="14" t="s">
        <v>226</v>
      </c>
      <c r="Q300" t="s">
        <v>305</v>
      </c>
    </row>
    <row r="301" spans="1:17" ht="15.75" customHeight="1">
      <c r="A301" s="14" t="s">
        <v>2339</v>
      </c>
      <c r="B301" s="14" t="s">
        <v>59</v>
      </c>
      <c r="C301" s="14" t="s">
        <v>2340</v>
      </c>
      <c r="D301" s="14" t="s">
        <v>2341</v>
      </c>
      <c r="E301" s="14">
        <v>2026</v>
      </c>
      <c r="F301" s="14" t="s">
        <v>2342</v>
      </c>
      <c r="G301" s="14" t="s">
        <v>2343</v>
      </c>
      <c r="H301" s="14" t="s">
        <v>2344</v>
      </c>
      <c r="I301" s="14"/>
      <c r="J301" s="14" t="s">
        <v>2345</v>
      </c>
      <c r="K301" s="15"/>
      <c r="L301" s="14" t="s">
        <v>54</v>
      </c>
      <c r="M301" s="15"/>
      <c r="N301" s="14" t="s">
        <v>148</v>
      </c>
      <c r="O301" s="15"/>
      <c r="P301" s="14" t="s">
        <v>226</v>
      </c>
      <c r="Q301" t="s">
        <v>305</v>
      </c>
    </row>
    <row r="302" spans="1:17" ht="15.75" customHeight="1">
      <c r="A302" s="14" t="s">
        <v>2346</v>
      </c>
      <c r="B302" s="14" t="s">
        <v>59</v>
      </c>
      <c r="C302" s="14" t="s">
        <v>2347</v>
      </c>
      <c r="D302" s="14" t="s">
        <v>2348</v>
      </c>
      <c r="E302" s="14">
        <v>2024</v>
      </c>
      <c r="F302" s="14" t="s">
        <v>540</v>
      </c>
      <c r="G302" s="14" t="s">
        <v>2349</v>
      </c>
      <c r="H302" s="14" t="s">
        <v>2350</v>
      </c>
      <c r="I302" s="14"/>
      <c r="J302" s="14" t="s">
        <v>2351</v>
      </c>
      <c r="K302" s="14" t="s">
        <v>2352</v>
      </c>
      <c r="L302" s="14" t="s">
        <v>54</v>
      </c>
      <c r="M302" s="15"/>
      <c r="N302" s="14" t="s">
        <v>148</v>
      </c>
      <c r="O302" s="15"/>
      <c r="P302" s="14" t="s">
        <v>195</v>
      </c>
    </row>
    <row r="303" spans="1:17" ht="15.75" customHeight="1">
      <c r="A303" s="14" t="s">
        <v>2353</v>
      </c>
      <c r="B303" s="14" t="s">
        <v>59</v>
      </c>
      <c r="C303" s="14" t="s">
        <v>2354</v>
      </c>
      <c r="D303" s="14" t="s">
        <v>2355</v>
      </c>
      <c r="E303" s="14">
        <v>2026</v>
      </c>
      <c r="F303" s="14" t="s">
        <v>153</v>
      </c>
      <c r="G303" s="14" t="s">
        <v>2356</v>
      </c>
      <c r="H303" s="14" t="s">
        <v>2357</v>
      </c>
      <c r="I303" s="14"/>
      <c r="J303" s="14" t="s">
        <v>2358</v>
      </c>
      <c r="K303" s="14" t="s">
        <v>2359</v>
      </c>
      <c r="L303" s="14" t="s">
        <v>54</v>
      </c>
      <c r="M303" s="15"/>
      <c r="N303" s="14" t="s">
        <v>148</v>
      </c>
      <c r="O303" s="15"/>
      <c r="P303" s="14" t="s">
        <v>149</v>
      </c>
    </row>
    <row r="304" spans="1:17" ht="15.75" customHeight="1">
      <c r="A304" s="14" t="s">
        <v>2360</v>
      </c>
      <c r="B304" s="14" t="s">
        <v>59</v>
      </c>
      <c r="C304" s="14" t="s">
        <v>2361</v>
      </c>
      <c r="D304" s="14" t="s">
        <v>2362</v>
      </c>
      <c r="E304" s="14">
        <v>2025</v>
      </c>
      <c r="F304" s="14" t="s">
        <v>2363</v>
      </c>
      <c r="G304" s="14" t="s">
        <v>2364</v>
      </c>
      <c r="H304" s="14" t="s">
        <v>2365</v>
      </c>
      <c r="I304" s="14"/>
      <c r="J304" s="14" t="s">
        <v>2366</v>
      </c>
      <c r="K304" s="14" t="s">
        <v>2367</v>
      </c>
      <c r="L304" s="14" t="s">
        <v>54</v>
      </c>
      <c r="M304" s="15"/>
      <c r="N304" s="14" t="s">
        <v>148</v>
      </c>
      <c r="O304" s="15"/>
      <c r="P304" s="14" t="s">
        <v>226</v>
      </c>
      <c r="Q304" t="s">
        <v>305</v>
      </c>
    </row>
    <row r="305" spans="1:17" ht="15.75" customHeight="1">
      <c r="A305" s="14" t="s">
        <v>2368</v>
      </c>
      <c r="B305" s="14" t="s">
        <v>59</v>
      </c>
      <c r="C305" s="14" t="s">
        <v>2369</v>
      </c>
      <c r="D305" s="14" t="s">
        <v>2370</v>
      </c>
      <c r="E305" s="14">
        <v>2023</v>
      </c>
      <c r="F305" s="14" t="s">
        <v>380</v>
      </c>
      <c r="G305" s="14" t="s">
        <v>2371</v>
      </c>
      <c r="H305" s="14" t="s">
        <v>2372</v>
      </c>
      <c r="I305" s="14"/>
      <c r="J305" s="14" t="s">
        <v>2373</v>
      </c>
      <c r="K305" s="14" t="s">
        <v>2374</v>
      </c>
      <c r="L305" s="14" t="s">
        <v>54</v>
      </c>
      <c r="M305" s="15"/>
      <c r="N305" s="14" t="s">
        <v>148</v>
      </c>
      <c r="O305" s="15"/>
      <c r="P305" s="14" t="s">
        <v>226</v>
      </c>
      <c r="Q305" t="s">
        <v>305</v>
      </c>
    </row>
    <row r="306" spans="1:17" ht="15.75" customHeight="1">
      <c r="A306" s="14" t="s">
        <v>2375</v>
      </c>
      <c r="B306" s="14" t="s">
        <v>59</v>
      </c>
      <c r="C306" s="14" t="s">
        <v>2376</v>
      </c>
      <c r="D306" s="14" t="s">
        <v>2377</v>
      </c>
      <c r="E306" s="14">
        <v>2024</v>
      </c>
      <c r="F306" s="14" t="s">
        <v>2378</v>
      </c>
      <c r="G306" s="14" t="s">
        <v>2379</v>
      </c>
      <c r="H306" s="14" t="s">
        <v>2380</v>
      </c>
      <c r="I306" s="14"/>
      <c r="J306" s="14" t="s">
        <v>2381</v>
      </c>
      <c r="K306" s="14" t="s">
        <v>2382</v>
      </c>
      <c r="L306" s="14" t="s">
        <v>54</v>
      </c>
      <c r="M306" s="15"/>
      <c r="N306" s="14" t="s">
        <v>148</v>
      </c>
      <c r="O306" s="15"/>
      <c r="P306" s="14" t="s">
        <v>226</v>
      </c>
      <c r="Q306" t="s">
        <v>305</v>
      </c>
    </row>
    <row r="307" spans="1:17" ht="15.75" customHeight="1">
      <c r="A307" s="14" t="s">
        <v>2383</v>
      </c>
      <c r="B307" s="14" t="s">
        <v>59</v>
      </c>
      <c r="C307" s="14" t="s">
        <v>2384</v>
      </c>
      <c r="D307" s="14" t="s">
        <v>2385</v>
      </c>
      <c r="E307" s="14">
        <v>2023</v>
      </c>
      <c r="F307" s="14" t="s">
        <v>2386</v>
      </c>
      <c r="G307" s="14" t="s">
        <v>2387</v>
      </c>
      <c r="H307" s="14" t="s">
        <v>2388</v>
      </c>
      <c r="I307" s="14"/>
      <c r="J307" s="14" t="s">
        <v>2389</v>
      </c>
      <c r="K307" s="14" t="s">
        <v>2390</v>
      </c>
      <c r="L307" s="14" t="s">
        <v>54</v>
      </c>
      <c r="M307" s="15"/>
      <c r="N307" s="14" t="s">
        <v>148</v>
      </c>
      <c r="O307" s="15"/>
      <c r="P307" s="14" t="s">
        <v>226</v>
      </c>
      <c r="Q307" t="s">
        <v>305</v>
      </c>
    </row>
    <row r="308" spans="1:17" ht="15.75" customHeight="1">
      <c r="A308" s="14" t="s">
        <v>2391</v>
      </c>
      <c r="B308" s="14" t="s">
        <v>59</v>
      </c>
      <c r="C308" s="14" t="s">
        <v>2392</v>
      </c>
      <c r="D308" s="14" t="s">
        <v>2393</v>
      </c>
      <c r="E308" s="14">
        <v>2025</v>
      </c>
      <c r="F308" s="14" t="s">
        <v>2394</v>
      </c>
      <c r="G308" s="14" t="s">
        <v>2395</v>
      </c>
      <c r="H308" s="14" t="s">
        <v>2396</v>
      </c>
      <c r="I308" s="14"/>
      <c r="J308" s="14" t="s">
        <v>2397</v>
      </c>
      <c r="K308" s="14" t="s">
        <v>2398</v>
      </c>
      <c r="L308" s="14" t="s">
        <v>54</v>
      </c>
      <c r="M308" s="15"/>
      <c r="N308" s="14" t="s">
        <v>148</v>
      </c>
      <c r="O308" s="15"/>
      <c r="P308" s="14" t="s">
        <v>226</v>
      </c>
      <c r="Q308" t="s">
        <v>305</v>
      </c>
    </row>
    <row r="309" spans="1:17" ht="15.75" customHeight="1">
      <c r="A309" s="14" t="s">
        <v>2399</v>
      </c>
      <c r="B309" s="14" t="s">
        <v>59</v>
      </c>
      <c r="C309" s="14" t="s">
        <v>2400</v>
      </c>
      <c r="D309" s="14" t="s">
        <v>2401</v>
      </c>
      <c r="E309" s="14">
        <v>2025</v>
      </c>
      <c r="F309" s="14" t="s">
        <v>356</v>
      </c>
      <c r="G309" s="14" t="s">
        <v>2402</v>
      </c>
      <c r="H309" s="14" t="s">
        <v>2403</v>
      </c>
      <c r="I309" s="14"/>
      <c r="J309" s="14" t="s">
        <v>2404</v>
      </c>
      <c r="K309" s="15"/>
      <c r="L309" s="14" t="s">
        <v>54</v>
      </c>
      <c r="M309" s="15"/>
      <c r="N309" s="14" t="s">
        <v>148</v>
      </c>
      <c r="O309" s="15"/>
      <c r="P309" s="14" t="s">
        <v>226</v>
      </c>
      <c r="Q309" t="s">
        <v>305</v>
      </c>
    </row>
    <row r="310" spans="1:17" ht="15.75" customHeight="1">
      <c r="A310" s="14" t="s">
        <v>2405</v>
      </c>
      <c r="B310" s="14" t="s">
        <v>59</v>
      </c>
      <c r="C310" s="14" t="s">
        <v>2406</v>
      </c>
      <c r="D310" s="14" t="s">
        <v>2407</v>
      </c>
      <c r="E310" s="14">
        <v>2024</v>
      </c>
      <c r="F310" s="14" t="s">
        <v>325</v>
      </c>
      <c r="G310" s="14" t="s">
        <v>2408</v>
      </c>
      <c r="H310" s="14" t="s">
        <v>2409</v>
      </c>
      <c r="I310" s="14"/>
      <c r="J310" s="14" t="s">
        <v>2410</v>
      </c>
      <c r="K310" s="15"/>
      <c r="L310" s="14" t="s">
        <v>54</v>
      </c>
      <c r="M310" s="15"/>
      <c r="N310" s="14" t="s">
        <v>148</v>
      </c>
      <c r="O310" s="15"/>
      <c r="P310" s="14" t="s">
        <v>149</v>
      </c>
    </row>
    <row r="311" spans="1:17" ht="15.75" customHeight="1">
      <c r="A311" s="14" t="s">
        <v>2411</v>
      </c>
      <c r="B311" s="14" t="s">
        <v>59</v>
      </c>
      <c r="C311" s="14" t="s">
        <v>2412</v>
      </c>
      <c r="D311" s="14" t="s">
        <v>2413</v>
      </c>
      <c r="E311" s="14">
        <v>2023</v>
      </c>
      <c r="F311" s="14" t="s">
        <v>438</v>
      </c>
      <c r="G311" s="14" t="s">
        <v>2414</v>
      </c>
      <c r="H311" s="14" t="s">
        <v>2415</v>
      </c>
      <c r="I311" s="14"/>
      <c r="J311" s="14" t="s">
        <v>2416</v>
      </c>
      <c r="K311" s="14" t="s">
        <v>2417</v>
      </c>
      <c r="L311" s="14" t="s">
        <v>54</v>
      </c>
      <c r="M311" s="15"/>
      <c r="N311" s="14" t="s">
        <v>148</v>
      </c>
      <c r="O311" s="15"/>
      <c r="P311" s="14" t="s">
        <v>226</v>
      </c>
      <c r="Q311" t="s">
        <v>305</v>
      </c>
    </row>
    <row r="312" spans="1:17" ht="15.75" customHeight="1">
      <c r="A312" s="14" t="s">
        <v>2418</v>
      </c>
      <c r="B312" s="14" t="s">
        <v>59</v>
      </c>
      <c r="C312" s="14" t="s">
        <v>2419</v>
      </c>
      <c r="D312" s="14" t="s">
        <v>2420</v>
      </c>
      <c r="E312" s="14">
        <v>2022</v>
      </c>
      <c r="F312" s="14" t="s">
        <v>570</v>
      </c>
      <c r="G312" s="14" t="s">
        <v>2421</v>
      </c>
      <c r="H312" s="14" t="s">
        <v>2422</v>
      </c>
      <c r="I312" s="14"/>
      <c r="J312" s="14" t="s">
        <v>2423</v>
      </c>
      <c r="K312" s="14" t="s">
        <v>2424</v>
      </c>
      <c r="L312" s="14" t="s">
        <v>54</v>
      </c>
      <c r="M312" s="15"/>
      <c r="N312" s="14" t="s">
        <v>148</v>
      </c>
      <c r="O312" s="15"/>
      <c r="P312" s="14" t="s">
        <v>226</v>
      </c>
      <c r="Q312" t="s">
        <v>305</v>
      </c>
    </row>
    <row r="313" spans="1:17" ht="15.75" customHeight="1">
      <c r="A313" s="14" t="s">
        <v>2425</v>
      </c>
      <c r="B313" s="14" t="s">
        <v>59</v>
      </c>
      <c r="C313" s="14" t="s">
        <v>2426</v>
      </c>
      <c r="D313" s="14" t="s">
        <v>2427</v>
      </c>
      <c r="E313" s="14">
        <v>2026</v>
      </c>
      <c r="F313" s="14" t="s">
        <v>2428</v>
      </c>
      <c r="G313" s="14" t="s">
        <v>2429</v>
      </c>
      <c r="H313" s="14" t="s">
        <v>2430</v>
      </c>
      <c r="I313" s="14"/>
      <c r="J313" s="14" t="s">
        <v>2431</v>
      </c>
      <c r="K313" s="14" t="s">
        <v>2432</v>
      </c>
      <c r="L313" s="14" t="s">
        <v>54</v>
      </c>
      <c r="M313" s="15"/>
      <c r="N313" s="14" t="s">
        <v>148</v>
      </c>
      <c r="O313" s="15"/>
      <c r="P313" s="14" t="s">
        <v>226</v>
      </c>
      <c r="Q313" t="s">
        <v>305</v>
      </c>
    </row>
    <row r="314" spans="1:17" ht="15.75" customHeight="1">
      <c r="A314" s="14" t="s">
        <v>2433</v>
      </c>
      <c r="B314" s="14" t="s">
        <v>59</v>
      </c>
      <c r="C314" s="14" t="s">
        <v>2434</v>
      </c>
      <c r="D314" s="14" t="s">
        <v>2435</v>
      </c>
      <c r="E314" s="14">
        <v>2021</v>
      </c>
      <c r="F314" s="14" t="s">
        <v>2136</v>
      </c>
      <c r="G314" s="14" t="s">
        <v>2436</v>
      </c>
      <c r="H314" s="14" t="s">
        <v>2437</v>
      </c>
      <c r="I314" s="14"/>
      <c r="J314" s="14" t="s">
        <v>2438</v>
      </c>
      <c r="K314" s="14" t="s">
        <v>2439</v>
      </c>
      <c r="L314" s="14" t="s">
        <v>54</v>
      </c>
      <c r="M314" s="15"/>
      <c r="N314" s="14" t="s">
        <v>148</v>
      </c>
      <c r="O314" s="15"/>
      <c r="P314" s="14" t="s">
        <v>226</v>
      </c>
      <c r="Q314" t="s">
        <v>305</v>
      </c>
    </row>
    <row r="315" spans="1:17" ht="15.75" customHeight="1">
      <c r="A315" s="14" t="s">
        <v>2440</v>
      </c>
      <c r="B315" s="14" t="s">
        <v>59</v>
      </c>
      <c r="C315" s="14" t="s">
        <v>2441</v>
      </c>
      <c r="D315" s="14" t="s">
        <v>2442</v>
      </c>
      <c r="E315" s="14">
        <v>2023</v>
      </c>
      <c r="F315" s="14" t="s">
        <v>2443</v>
      </c>
      <c r="G315" s="14" t="s">
        <v>2444</v>
      </c>
      <c r="H315" s="14" t="s">
        <v>2445</v>
      </c>
      <c r="I315" s="14"/>
      <c r="J315" s="14" t="s">
        <v>2446</v>
      </c>
      <c r="K315" s="14" t="s">
        <v>2447</v>
      </c>
      <c r="L315" s="14" t="s">
        <v>54</v>
      </c>
      <c r="M315" s="15"/>
      <c r="N315" s="14" t="s">
        <v>148</v>
      </c>
      <c r="O315" s="15"/>
      <c r="P315" s="14" t="s">
        <v>226</v>
      </c>
      <c r="Q315" t="s">
        <v>305</v>
      </c>
    </row>
    <row r="316" spans="1:17" ht="15.75" customHeight="1">
      <c r="A316" s="14" t="s">
        <v>2448</v>
      </c>
      <c r="B316" s="14" t="s">
        <v>59</v>
      </c>
      <c r="C316" s="14" t="s">
        <v>2449</v>
      </c>
      <c r="D316" s="14" t="s">
        <v>2450</v>
      </c>
      <c r="E316" s="14">
        <v>2023</v>
      </c>
      <c r="F316" s="14" t="s">
        <v>2451</v>
      </c>
      <c r="G316" s="14" t="s">
        <v>2452</v>
      </c>
      <c r="H316" s="14" t="s">
        <v>2453</v>
      </c>
      <c r="I316" s="14"/>
      <c r="J316" s="15"/>
      <c r="K316" s="15"/>
      <c r="L316" s="14" t="s">
        <v>54</v>
      </c>
      <c r="M316" s="15"/>
      <c r="N316" s="14" t="s">
        <v>148</v>
      </c>
      <c r="O316" s="15"/>
      <c r="P316" s="14" t="s">
        <v>226</v>
      </c>
      <c r="Q316" t="s">
        <v>305</v>
      </c>
    </row>
    <row r="317" spans="1:17" ht="15.75" customHeight="1">
      <c r="A317" s="14" t="s">
        <v>2454</v>
      </c>
      <c r="B317" s="14" t="s">
        <v>59</v>
      </c>
      <c r="C317" s="14" t="s">
        <v>2455</v>
      </c>
      <c r="D317" s="14" t="s">
        <v>2456</v>
      </c>
      <c r="E317" s="14">
        <v>2022</v>
      </c>
      <c r="F317" s="14" t="s">
        <v>1239</v>
      </c>
      <c r="G317" s="14" t="s">
        <v>2457</v>
      </c>
      <c r="H317" s="14" t="s">
        <v>2458</v>
      </c>
      <c r="I317" s="14"/>
      <c r="J317" s="14" t="s">
        <v>2459</v>
      </c>
      <c r="K317" s="14" t="s">
        <v>2460</v>
      </c>
      <c r="L317" s="14" t="s">
        <v>54</v>
      </c>
      <c r="M317" s="15"/>
      <c r="N317" s="14" t="s">
        <v>148</v>
      </c>
      <c r="O317" s="15"/>
      <c r="P317" s="14" t="s">
        <v>226</v>
      </c>
      <c r="Q317" t="s">
        <v>305</v>
      </c>
    </row>
    <row r="318" spans="1:17" ht="15.75" customHeight="1">
      <c r="A318" s="14" t="s">
        <v>2461</v>
      </c>
      <c r="B318" s="14" t="s">
        <v>59</v>
      </c>
      <c r="C318" s="14" t="s">
        <v>2462</v>
      </c>
      <c r="D318" s="14" t="s">
        <v>2463</v>
      </c>
      <c r="E318" s="14">
        <v>2025</v>
      </c>
      <c r="F318" s="14" t="s">
        <v>2464</v>
      </c>
      <c r="G318" s="14" t="s">
        <v>2465</v>
      </c>
      <c r="H318" s="14" t="s">
        <v>2466</v>
      </c>
      <c r="I318" s="14"/>
      <c r="J318" s="14" t="s">
        <v>2467</v>
      </c>
      <c r="K318" s="15"/>
      <c r="L318" s="14" t="s">
        <v>54</v>
      </c>
      <c r="M318" s="15"/>
      <c r="N318" s="14" t="s">
        <v>148</v>
      </c>
      <c r="O318" s="15"/>
      <c r="P318" s="14" t="s">
        <v>226</v>
      </c>
      <c r="Q318" t="s">
        <v>305</v>
      </c>
    </row>
    <row r="319" spans="1:17" ht="15.75" customHeight="1">
      <c r="A319" s="14" t="s">
        <v>2468</v>
      </c>
      <c r="B319" s="14" t="s">
        <v>59</v>
      </c>
      <c r="C319" s="14" t="s">
        <v>2469</v>
      </c>
      <c r="D319" s="14" t="s">
        <v>2470</v>
      </c>
      <c r="E319" s="14">
        <v>2025</v>
      </c>
      <c r="F319" s="14" t="s">
        <v>2471</v>
      </c>
      <c r="G319" s="14" t="s">
        <v>2472</v>
      </c>
      <c r="H319" s="14" t="s">
        <v>2473</v>
      </c>
      <c r="I319" s="14"/>
      <c r="J319" s="14" t="s">
        <v>2474</v>
      </c>
      <c r="K319" s="14" t="s">
        <v>2475</v>
      </c>
      <c r="L319" s="14" t="s">
        <v>54</v>
      </c>
      <c r="M319" s="15"/>
      <c r="N319" s="14" t="s">
        <v>148</v>
      </c>
      <c r="O319" s="15"/>
      <c r="P319" s="14" t="s">
        <v>226</v>
      </c>
      <c r="Q319" t="s">
        <v>305</v>
      </c>
    </row>
    <row r="320" spans="1:17" ht="15.75" customHeight="1">
      <c r="A320" s="14" t="s">
        <v>2476</v>
      </c>
      <c r="B320" s="14" t="s">
        <v>59</v>
      </c>
      <c r="C320" s="14" t="s">
        <v>2477</v>
      </c>
      <c r="D320" s="14" t="s">
        <v>2478</v>
      </c>
      <c r="E320" s="14">
        <v>2024</v>
      </c>
      <c r="F320" s="14" t="s">
        <v>673</v>
      </c>
      <c r="G320" s="14" t="s">
        <v>2479</v>
      </c>
      <c r="H320" s="14" t="s">
        <v>2480</v>
      </c>
      <c r="I320" s="14"/>
      <c r="J320" s="14" t="s">
        <v>2481</v>
      </c>
      <c r="K320" s="14" t="s">
        <v>2482</v>
      </c>
      <c r="L320" s="14" t="s">
        <v>54</v>
      </c>
      <c r="M320" s="15"/>
      <c r="N320" s="14" t="s">
        <v>148</v>
      </c>
      <c r="O320" s="15"/>
      <c r="P320" s="14" t="s">
        <v>226</v>
      </c>
      <c r="Q320" t="s">
        <v>305</v>
      </c>
    </row>
    <row r="321" spans="1:17" ht="15.75" customHeight="1">
      <c r="A321" s="14" t="s">
        <v>2483</v>
      </c>
      <c r="B321" s="14" t="s">
        <v>59</v>
      </c>
      <c r="C321" s="14" t="s">
        <v>2484</v>
      </c>
      <c r="D321" s="14" t="s">
        <v>2485</v>
      </c>
      <c r="E321" s="14">
        <v>2025</v>
      </c>
      <c r="F321" s="14" t="s">
        <v>2486</v>
      </c>
      <c r="G321" s="14" t="s">
        <v>2487</v>
      </c>
      <c r="H321" s="14" t="s">
        <v>2488</v>
      </c>
      <c r="I321" s="14"/>
      <c r="J321" s="14" t="s">
        <v>2489</v>
      </c>
      <c r="K321" s="14" t="s">
        <v>2490</v>
      </c>
      <c r="L321" s="14" t="s">
        <v>54</v>
      </c>
      <c r="M321" s="15"/>
      <c r="N321" s="14" t="s">
        <v>148</v>
      </c>
      <c r="O321" s="15"/>
      <c r="P321" s="14" t="s">
        <v>226</v>
      </c>
      <c r="Q321" t="s">
        <v>305</v>
      </c>
    </row>
    <row r="322" spans="1:17" ht="15.75" customHeight="1">
      <c r="A322" s="14" t="s">
        <v>2491</v>
      </c>
      <c r="B322" s="14" t="s">
        <v>59</v>
      </c>
      <c r="C322" s="14" t="s">
        <v>2492</v>
      </c>
      <c r="D322" s="14" t="s">
        <v>2493</v>
      </c>
      <c r="E322" s="14">
        <v>2025</v>
      </c>
      <c r="F322" s="14" t="s">
        <v>255</v>
      </c>
      <c r="G322" s="14" t="s">
        <v>2494</v>
      </c>
      <c r="H322" s="14" t="s">
        <v>2495</v>
      </c>
      <c r="I322" s="14"/>
      <c r="J322" s="14" t="s">
        <v>2496</v>
      </c>
      <c r="K322" s="14" t="s">
        <v>2497</v>
      </c>
      <c r="L322" s="14" t="s">
        <v>54</v>
      </c>
      <c r="M322" s="15"/>
      <c r="N322" s="14" t="s">
        <v>148</v>
      </c>
      <c r="O322" s="15"/>
      <c r="P322" s="14" t="s">
        <v>149</v>
      </c>
    </row>
    <row r="323" spans="1:17" ht="15.75" customHeight="1">
      <c r="A323" s="14" t="s">
        <v>2498</v>
      </c>
      <c r="B323" s="14" t="s">
        <v>59</v>
      </c>
      <c r="C323" s="14" t="s">
        <v>2499</v>
      </c>
      <c r="D323" s="14" t="s">
        <v>2500</v>
      </c>
      <c r="E323" s="14">
        <v>2025</v>
      </c>
      <c r="F323" s="14" t="s">
        <v>901</v>
      </c>
      <c r="G323" s="14" t="s">
        <v>2501</v>
      </c>
      <c r="H323" s="14" t="s">
        <v>2502</v>
      </c>
      <c r="I323" s="14"/>
      <c r="J323" s="14" t="s">
        <v>2503</v>
      </c>
      <c r="K323" s="14" t="s">
        <v>2504</v>
      </c>
      <c r="L323" s="14" t="s">
        <v>54</v>
      </c>
      <c r="M323" s="15"/>
      <c r="N323" s="14" t="s">
        <v>148</v>
      </c>
      <c r="O323" s="15"/>
      <c r="P323" s="14" t="s">
        <v>226</v>
      </c>
      <c r="Q323" t="s">
        <v>305</v>
      </c>
    </row>
    <row r="324" spans="1:17" ht="15.75" customHeight="1">
      <c r="A324" s="14" t="s">
        <v>2505</v>
      </c>
      <c r="B324" s="14" t="s">
        <v>59</v>
      </c>
      <c r="C324" s="14" t="s">
        <v>2506</v>
      </c>
      <c r="D324" s="14" t="s">
        <v>2507</v>
      </c>
      <c r="E324" s="14">
        <v>2023</v>
      </c>
      <c r="F324" s="14" t="s">
        <v>2508</v>
      </c>
      <c r="G324" s="14" t="s">
        <v>2509</v>
      </c>
      <c r="H324" s="14" t="s">
        <v>2510</v>
      </c>
      <c r="I324" s="14"/>
      <c r="J324" s="14" t="s">
        <v>2511</v>
      </c>
      <c r="K324" s="14" t="s">
        <v>2512</v>
      </c>
      <c r="L324" s="14" t="s">
        <v>54</v>
      </c>
      <c r="M324" s="15"/>
      <c r="N324" s="14" t="s">
        <v>148</v>
      </c>
      <c r="O324" s="15"/>
      <c r="P324" s="14" t="s">
        <v>226</v>
      </c>
      <c r="Q324" t="s">
        <v>305</v>
      </c>
    </row>
    <row r="325" spans="1:17" ht="15.75" customHeight="1">
      <c r="A325" s="14" t="s">
        <v>2513</v>
      </c>
      <c r="B325" s="14" t="s">
        <v>59</v>
      </c>
      <c r="C325" s="14" t="s">
        <v>2514</v>
      </c>
      <c r="D325" s="14" t="s">
        <v>2515</v>
      </c>
      <c r="E325" s="14">
        <v>2021</v>
      </c>
      <c r="F325" s="14" t="s">
        <v>2486</v>
      </c>
      <c r="G325" s="14" t="s">
        <v>2516</v>
      </c>
      <c r="H325" s="14" t="s">
        <v>2517</v>
      </c>
      <c r="I325" s="14"/>
      <c r="J325" s="14" t="s">
        <v>2518</v>
      </c>
      <c r="K325" s="14" t="s">
        <v>2519</v>
      </c>
      <c r="L325" s="14" t="s">
        <v>54</v>
      </c>
      <c r="M325" s="15"/>
      <c r="N325" s="14" t="s">
        <v>148</v>
      </c>
      <c r="O325" s="15"/>
      <c r="P325" s="14" t="s">
        <v>226</v>
      </c>
      <c r="Q325" t="s">
        <v>305</v>
      </c>
    </row>
    <row r="326" spans="1:17" ht="15.75" customHeight="1">
      <c r="A326" s="14" t="s">
        <v>2520</v>
      </c>
      <c r="B326" s="14" t="s">
        <v>59</v>
      </c>
      <c r="C326" s="14" t="s">
        <v>2521</v>
      </c>
      <c r="D326" s="14" t="s">
        <v>2522</v>
      </c>
      <c r="E326" s="14">
        <v>2025</v>
      </c>
      <c r="F326" s="14" t="s">
        <v>198</v>
      </c>
      <c r="G326" s="14" t="s">
        <v>2523</v>
      </c>
      <c r="H326" s="14" t="s">
        <v>2524</v>
      </c>
      <c r="I326" s="14"/>
      <c r="J326" s="14" t="s">
        <v>2525</v>
      </c>
      <c r="K326" s="14" t="s">
        <v>2526</v>
      </c>
      <c r="L326" s="14" t="s">
        <v>54</v>
      </c>
      <c r="M326" s="15"/>
      <c r="N326" s="14" t="s">
        <v>148</v>
      </c>
      <c r="O326" s="15"/>
      <c r="P326" s="14" t="s">
        <v>149</v>
      </c>
    </row>
    <row r="327" spans="1:17" ht="15.75" customHeight="1">
      <c r="A327" s="14" t="s">
        <v>2527</v>
      </c>
      <c r="B327" s="14" t="s">
        <v>59</v>
      </c>
      <c r="C327" s="14" t="s">
        <v>2528</v>
      </c>
      <c r="D327" s="14" t="s">
        <v>2529</v>
      </c>
      <c r="E327" s="14">
        <v>2025</v>
      </c>
      <c r="F327" s="14" t="s">
        <v>2530</v>
      </c>
      <c r="G327" s="14" t="s">
        <v>2531</v>
      </c>
      <c r="H327" s="14" t="s">
        <v>2532</v>
      </c>
      <c r="I327" s="14"/>
      <c r="J327" s="14" t="s">
        <v>2533</v>
      </c>
      <c r="K327" s="15"/>
      <c r="L327" s="14" t="s">
        <v>54</v>
      </c>
      <c r="M327" s="15"/>
      <c r="N327" s="14" t="s">
        <v>148</v>
      </c>
      <c r="O327" s="15"/>
      <c r="P327" s="14" t="s">
        <v>226</v>
      </c>
      <c r="Q327" t="s">
        <v>305</v>
      </c>
    </row>
    <row r="328" spans="1:17" ht="15.75" customHeight="1">
      <c r="A328" s="14" t="s">
        <v>2534</v>
      </c>
      <c r="B328" s="14" t="s">
        <v>59</v>
      </c>
      <c r="C328" s="14" t="s">
        <v>2535</v>
      </c>
      <c r="D328" s="14" t="s">
        <v>2536</v>
      </c>
      <c r="E328" s="14">
        <v>2024</v>
      </c>
      <c r="F328" s="14" t="s">
        <v>2508</v>
      </c>
      <c r="G328" s="14" t="s">
        <v>2537</v>
      </c>
      <c r="H328" s="14" t="s">
        <v>2538</v>
      </c>
      <c r="I328" s="14"/>
      <c r="J328" s="14" t="s">
        <v>2539</v>
      </c>
      <c r="K328" s="14" t="s">
        <v>2540</v>
      </c>
      <c r="L328" s="14" t="s">
        <v>54</v>
      </c>
      <c r="M328" s="15"/>
      <c r="N328" s="14" t="s">
        <v>148</v>
      </c>
      <c r="O328" s="15"/>
      <c r="P328" s="14" t="s">
        <v>226</v>
      </c>
      <c r="Q328" t="s">
        <v>305</v>
      </c>
    </row>
    <row r="329" spans="1:17" ht="15.75" customHeight="1">
      <c r="A329" s="14" t="s">
        <v>2541</v>
      </c>
      <c r="B329" s="14" t="s">
        <v>59</v>
      </c>
      <c r="C329" s="14" t="s">
        <v>2542</v>
      </c>
      <c r="D329" s="14" t="s">
        <v>2543</v>
      </c>
      <c r="E329" s="14">
        <v>1998</v>
      </c>
      <c r="F329" s="14" t="s">
        <v>2544</v>
      </c>
      <c r="G329" s="15"/>
      <c r="H329" s="14" t="s">
        <v>2545</v>
      </c>
      <c r="I329" s="14"/>
      <c r="J329" s="14" t="s">
        <v>2546</v>
      </c>
      <c r="K329" s="14" t="s">
        <v>2547</v>
      </c>
      <c r="L329" s="14" t="s">
        <v>54</v>
      </c>
      <c r="M329" s="15"/>
      <c r="N329" s="14" t="s">
        <v>148</v>
      </c>
      <c r="O329" s="15"/>
      <c r="P329" s="14" t="s">
        <v>226</v>
      </c>
      <c r="Q329" t="s">
        <v>305</v>
      </c>
    </row>
    <row r="330" spans="1:17" ht="15.75" customHeight="1">
      <c r="A330" s="14" t="s">
        <v>2548</v>
      </c>
      <c r="B330" s="14" t="s">
        <v>59</v>
      </c>
      <c r="C330" s="14" t="s">
        <v>2549</v>
      </c>
      <c r="D330" s="14" t="s">
        <v>2550</v>
      </c>
      <c r="E330" s="14">
        <v>2024</v>
      </c>
      <c r="F330" s="14" t="s">
        <v>325</v>
      </c>
      <c r="G330" s="14" t="s">
        <v>2551</v>
      </c>
      <c r="H330" s="14" t="s">
        <v>2552</v>
      </c>
      <c r="I330" s="14"/>
      <c r="J330" s="14" t="s">
        <v>2553</v>
      </c>
      <c r="K330" s="15"/>
      <c r="L330" s="14" t="s">
        <v>54</v>
      </c>
      <c r="M330" s="15"/>
      <c r="N330" s="14" t="s">
        <v>148</v>
      </c>
      <c r="O330" s="15"/>
      <c r="P330" s="14" t="s">
        <v>360</v>
      </c>
      <c r="Q330" t="s">
        <v>1743</v>
      </c>
    </row>
    <row r="331" spans="1:17" ht="15.75" customHeight="1">
      <c r="A331" s="14" t="s">
        <v>2554</v>
      </c>
      <c r="B331" s="14" t="s">
        <v>59</v>
      </c>
      <c r="C331" s="14" t="s">
        <v>2555</v>
      </c>
      <c r="D331" s="14" t="s">
        <v>2556</v>
      </c>
      <c r="E331" s="14">
        <v>2026</v>
      </c>
      <c r="F331" s="14" t="s">
        <v>2557</v>
      </c>
      <c r="G331" s="14" t="s">
        <v>2558</v>
      </c>
      <c r="H331" s="14" t="s">
        <v>2559</v>
      </c>
      <c r="I331" s="14"/>
      <c r="J331" s="14" t="s">
        <v>2560</v>
      </c>
      <c r="K331" s="14" t="s">
        <v>2561</v>
      </c>
      <c r="L331" s="14" t="s">
        <v>54</v>
      </c>
      <c r="M331" s="15"/>
      <c r="N331" s="14" t="s">
        <v>148</v>
      </c>
      <c r="O331" s="15"/>
      <c r="P331" s="14" t="s">
        <v>226</v>
      </c>
      <c r="Q331" t="s">
        <v>305</v>
      </c>
    </row>
    <row r="332" spans="1:17" ht="15.75" customHeight="1">
      <c r="A332" s="14" t="s">
        <v>2562</v>
      </c>
      <c r="B332" s="14" t="s">
        <v>59</v>
      </c>
      <c r="C332" s="14" t="s">
        <v>2563</v>
      </c>
      <c r="D332" s="14" t="s">
        <v>2564</v>
      </c>
      <c r="E332" s="14">
        <v>2025</v>
      </c>
      <c r="F332" s="14" t="s">
        <v>2565</v>
      </c>
      <c r="G332" s="14" t="s">
        <v>2566</v>
      </c>
      <c r="H332" s="14" t="s">
        <v>2567</v>
      </c>
      <c r="I332" s="14"/>
      <c r="J332" s="14" t="s">
        <v>2568</v>
      </c>
      <c r="K332" s="14" t="s">
        <v>2569</v>
      </c>
      <c r="L332" s="14" t="s">
        <v>54</v>
      </c>
      <c r="M332" s="15"/>
      <c r="N332" s="14" t="s">
        <v>148</v>
      </c>
      <c r="O332" s="15"/>
      <c r="P332" s="14" t="s">
        <v>226</v>
      </c>
      <c r="Q332" t="s">
        <v>305</v>
      </c>
    </row>
    <row r="333" spans="1:17" ht="15.75" customHeight="1">
      <c r="A333" s="14" t="s">
        <v>2570</v>
      </c>
      <c r="B333" s="14" t="s">
        <v>59</v>
      </c>
      <c r="C333" s="14" t="s">
        <v>2571</v>
      </c>
      <c r="D333" s="14" t="s">
        <v>2572</v>
      </c>
      <c r="E333" s="14">
        <v>2025</v>
      </c>
      <c r="F333" s="14" t="s">
        <v>255</v>
      </c>
      <c r="G333" s="14" t="s">
        <v>2573</v>
      </c>
      <c r="H333" s="14" t="s">
        <v>2574</v>
      </c>
      <c r="I333" s="14"/>
      <c r="J333" s="14" t="s">
        <v>2575</v>
      </c>
      <c r="K333" s="14" t="s">
        <v>2576</v>
      </c>
      <c r="L333" s="14" t="s">
        <v>54</v>
      </c>
      <c r="M333" s="15"/>
      <c r="N333" s="14" t="s">
        <v>148</v>
      </c>
      <c r="O333" s="15"/>
      <c r="P333" s="14" t="s">
        <v>226</v>
      </c>
      <c r="Q333" t="s">
        <v>305</v>
      </c>
    </row>
    <row r="334" spans="1:17" ht="15.75" customHeight="1">
      <c r="A334" s="14" t="s">
        <v>2577</v>
      </c>
      <c r="B334" s="14" t="s">
        <v>59</v>
      </c>
      <c r="C334" s="14" t="s">
        <v>2578</v>
      </c>
      <c r="D334" s="14" t="s">
        <v>2579</v>
      </c>
      <c r="E334" s="14">
        <v>2026</v>
      </c>
      <c r="F334" s="14" t="s">
        <v>2580</v>
      </c>
      <c r="G334" s="14" t="s">
        <v>2581</v>
      </c>
      <c r="H334" s="14" t="s">
        <v>2582</v>
      </c>
      <c r="I334" s="14"/>
      <c r="J334" s="14" t="s">
        <v>2583</v>
      </c>
      <c r="K334" s="15"/>
      <c r="L334" s="14" t="s">
        <v>54</v>
      </c>
      <c r="M334" s="15"/>
      <c r="N334" s="14" t="s">
        <v>148</v>
      </c>
      <c r="O334" s="15"/>
      <c r="P334" s="14" t="s">
        <v>226</v>
      </c>
      <c r="Q334" t="s">
        <v>305</v>
      </c>
    </row>
    <row r="335" spans="1:17" ht="15.75" customHeight="1">
      <c r="A335" s="14" t="s">
        <v>2584</v>
      </c>
      <c r="B335" s="14" t="s">
        <v>59</v>
      </c>
      <c r="C335" s="14" t="s">
        <v>2585</v>
      </c>
      <c r="D335" s="14" t="s">
        <v>2586</v>
      </c>
      <c r="E335" s="14">
        <v>2026</v>
      </c>
      <c r="F335" s="14" t="s">
        <v>808</v>
      </c>
      <c r="G335" s="14" t="s">
        <v>2587</v>
      </c>
      <c r="H335" s="14" t="s">
        <v>2588</v>
      </c>
      <c r="I335" s="14"/>
      <c r="J335" s="14" t="s">
        <v>2589</v>
      </c>
      <c r="K335" s="15"/>
      <c r="L335" s="14" t="s">
        <v>54</v>
      </c>
      <c r="M335" s="15"/>
      <c r="N335" s="14" t="s">
        <v>148</v>
      </c>
      <c r="O335" s="15"/>
      <c r="P335" s="14" t="s">
        <v>226</v>
      </c>
      <c r="Q335" t="s">
        <v>305</v>
      </c>
    </row>
    <row r="336" spans="1:17" ht="15.75" customHeight="1">
      <c r="A336" s="14" t="s">
        <v>2590</v>
      </c>
      <c r="B336" s="14" t="s">
        <v>59</v>
      </c>
      <c r="C336" s="14" t="s">
        <v>2591</v>
      </c>
      <c r="D336" s="14" t="s">
        <v>2592</v>
      </c>
      <c r="E336" s="14">
        <v>2023</v>
      </c>
      <c r="F336" s="14" t="s">
        <v>1158</v>
      </c>
      <c r="G336" s="14" t="s">
        <v>2593</v>
      </c>
      <c r="H336" s="14" t="s">
        <v>2594</v>
      </c>
      <c r="I336" s="14"/>
      <c r="J336" s="14" t="s">
        <v>2595</v>
      </c>
      <c r="K336" s="14" t="s">
        <v>2596</v>
      </c>
      <c r="L336" s="14" t="s">
        <v>54</v>
      </c>
      <c r="M336" s="15"/>
      <c r="N336" s="14" t="s">
        <v>148</v>
      </c>
      <c r="O336" s="15"/>
      <c r="P336" s="14" t="s">
        <v>226</v>
      </c>
      <c r="Q336" t="s">
        <v>305</v>
      </c>
    </row>
    <row r="337" spans="1:17" ht="15.75" customHeight="1">
      <c r="A337" s="14" t="s">
        <v>2597</v>
      </c>
      <c r="B337" s="14" t="s">
        <v>59</v>
      </c>
      <c r="C337" s="14" t="s">
        <v>2598</v>
      </c>
      <c r="D337" s="14" t="s">
        <v>2599</v>
      </c>
      <c r="E337" s="14">
        <v>2026</v>
      </c>
      <c r="F337" s="14" t="s">
        <v>2600</v>
      </c>
      <c r="G337" s="14" t="s">
        <v>2601</v>
      </c>
      <c r="H337" s="14" t="s">
        <v>2602</v>
      </c>
      <c r="I337" s="14"/>
      <c r="J337" s="14" t="s">
        <v>2603</v>
      </c>
      <c r="K337" s="15"/>
      <c r="L337" s="14" t="s">
        <v>54</v>
      </c>
      <c r="M337" s="15"/>
      <c r="N337" s="14" t="s">
        <v>148</v>
      </c>
      <c r="O337" s="15"/>
      <c r="P337" s="14" t="s">
        <v>226</v>
      </c>
      <c r="Q337" t="s">
        <v>305</v>
      </c>
    </row>
    <row r="338" spans="1:17" ht="15.75" customHeight="1">
      <c r="A338" s="14" t="s">
        <v>2604</v>
      </c>
      <c r="B338" s="14" t="s">
        <v>59</v>
      </c>
      <c r="C338" s="14" t="s">
        <v>2605</v>
      </c>
      <c r="D338" s="14" t="s">
        <v>2606</v>
      </c>
      <c r="E338" s="14">
        <v>2023</v>
      </c>
      <c r="F338" s="14" t="s">
        <v>2607</v>
      </c>
      <c r="G338" s="14" t="s">
        <v>2608</v>
      </c>
      <c r="H338" s="14" t="s">
        <v>2609</v>
      </c>
      <c r="I338" s="14"/>
      <c r="J338" s="14" t="s">
        <v>2610</v>
      </c>
      <c r="K338" s="14" t="s">
        <v>2611</v>
      </c>
      <c r="L338" s="14" t="s">
        <v>54</v>
      </c>
      <c r="M338" s="15"/>
      <c r="N338" s="14" t="s">
        <v>148</v>
      </c>
      <c r="O338" s="15"/>
      <c r="P338" s="14" t="s">
        <v>226</v>
      </c>
      <c r="Q338" t="s">
        <v>305</v>
      </c>
    </row>
    <row r="339" spans="1:17" ht="15.75" customHeight="1">
      <c r="A339" s="14" t="s">
        <v>2612</v>
      </c>
      <c r="B339" s="14" t="s">
        <v>59</v>
      </c>
      <c r="C339" s="14" t="s">
        <v>2613</v>
      </c>
      <c r="D339" s="14" t="s">
        <v>2614</v>
      </c>
      <c r="E339" s="14">
        <v>2014</v>
      </c>
      <c r="F339" s="14" t="s">
        <v>2615</v>
      </c>
      <c r="G339" s="14" t="s">
        <v>2616</v>
      </c>
      <c r="H339" s="14" t="s">
        <v>2617</v>
      </c>
      <c r="I339" s="14"/>
      <c r="J339" s="14" t="s">
        <v>2618</v>
      </c>
      <c r="K339" s="14" t="s">
        <v>2619</v>
      </c>
      <c r="L339" s="14" t="s">
        <v>54</v>
      </c>
      <c r="M339" s="15"/>
      <c r="N339" s="14" t="s">
        <v>148</v>
      </c>
      <c r="O339" s="15"/>
      <c r="P339" s="14" t="s">
        <v>226</v>
      </c>
      <c r="Q339" t="s">
        <v>305</v>
      </c>
    </row>
    <row r="340" spans="1:17" ht="15.75" customHeight="1">
      <c r="A340" s="14" t="s">
        <v>2620</v>
      </c>
      <c r="B340" s="14" t="s">
        <v>59</v>
      </c>
      <c r="C340" s="14" t="s">
        <v>2621</v>
      </c>
      <c r="D340" s="14" t="s">
        <v>2622</v>
      </c>
      <c r="E340" s="14">
        <v>2026</v>
      </c>
      <c r="F340" s="14" t="s">
        <v>438</v>
      </c>
      <c r="G340" s="14" t="s">
        <v>2623</v>
      </c>
      <c r="H340" s="14" t="s">
        <v>2624</v>
      </c>
      <c r="I340" s="14"/>
      <c r="J340" s="14" t="s">
        <v>2625</v>
      </c>
      <c r="K340" s="14" t="s">
        <v>2626</v>
      </c>
      <c r="L340" s="14" t="s">
        <v>54</v>
      </c>
      <c r="M340" s="15"/>
      <c r="N340" s="14" t="s">
        <v>148</v>
      </c>
      <c r="O340" s="15"/>
      <c r="P340" s="14" t="s">
        <v>195</v>
      </c>
    </row>
    <row r="341" spans="1:17" ht="15.75" customHeight="1">
      <c r="A341" s="14" t="s">
        <v>2627</v>
      </c>
      <c r="B341" s="14" t="s">
        <v>59</v>
      </c>
      <c r="C341" s="14" t="s">
        <v>2628</v>
      </c>
      <c r="D341" s="14" t="s">
        <v>2629</v>
      </c>
      <c r="E341" s="14">
        <v>2025</v>
      </c>
      <c r="F341" s="14" t="s">
        <v>2630</v>
      </c>
      <c r="G341" s="14" t="s">
        <v>2631</v>
      </c>
      <c r="H341" s="14" t="s">
        <v>2632</v>
      </c>
      <c r="I341" s="14"/>
      <c r="J341" s="14" t="s">
        <v>2633</v>
      </c>
      <c r="K341" s="14" t="s">
        <v>2634</v>
      </c>
      <c r="L341" s="14" t="s">
        <v>54</v>
      </c>
      <c r="M341" s="15"/>
      <c r="N341" s="14" t="s">
        <v>148</v>
      </c>
      <c r="O341" s="15"/>
      <c r="P341" s="14" t="s">
        <v>226</v>
      </c>
      <c r="Q341" t="s">
        <v>305</v>
      </c>
    </row>
    <row r="342" spans="1:17" ht="15.75" customHeight="1">
      <c r="A342" s="14" t="s">
        <v>2635</v>
      </c>
      <c r="B342" s="14" t="s">
        <v>59</v>
      </c>
      <c r="C342" s="14" t="s">
        <v>2636</v>
      </c>
      <c r="D342" s="14" t="s">
        <v>2637</v>
      </c>
      <c r="E342" s="14">
        <v>2019</v>
      </c>
      <c r="F342" s="14" t="s">
        <v>540</v>
      </c>
      <c r="G342" s="14" t="s">
        <v>2638</v>
      </c>
      <c r="H342" s="14" t="s">
        <v>2639</v>
      </c>
      <c r="I342" s="14"/>
      <c r="J342" s="14" t="s">
        <v>2640</v>
      </c>
      <c r="K342" s="14" t="s">
        <v>2641</v>
      </c>
      <c r="L342" s="14" t="s">
        <v>54</v>
      </c>
      <c r="M342" s="15"/>
      <c r="N342" s="14" t="s">
        <v>148</v>
      </c>
      <c r="O342" s="15"/>
      <c r="P342" s="14" t="s">
        <v>226</v>
      </c>
      <c r="Q342" t="s">
        <v>481</v>
      </c>
    </row>
    <row r="343" spans="1:17" ht="15.75" customHeight="1">
      <c r="A343" s="14" t="s">
        <v>2642</v>
      </c>
      <c r="B343" s="14" t="s">
        <v>59</v>
      </c>
      <c r="C343" s="14" t="s">
        <v>2643</v>
      </c>
      <c r="D343" s="14" t="s">
        <v>2644</v>
      </c>
      <c r="E343" s="14">
        <v>2024</v>
      </c>
      <c r="F343" s="14" t="s">
        <v>2645</v>
      </c>
      <c r="G343" s="14" t="s">
        <v>2646</v>
      </c>
      <c r="H343" s="14" t="s">
        <v>2647</v>
      </c>
      <c r="I343" s="14"/>
      <c r="J343" s="14" t="s">
        <v>2648</v>
      </c>
      <c r="K343" s="14" t="s">
        <v>2649</v>
      </c>
      <c r="L343" s="14" t="s">
        <v>54</v>
      </c>
      <c r="M343" s="15"/>
      <c r="N343" s="14" t="s">
        <v>148</v>
      </c>
      <c r="O343" s="15"/>
      <c r="P343" s="14" t="s">
        <v>226</v>
      </c>
      <c r="Q343" t="s">
        <v>305</v>
      </c>
    </row>
    <row r="344" spans="1:17" ht="15.75" customHeight="1">
      <c r="A344" s="14" t="s">
        <v>2650</v>
      </c>
      <c r="B344" s="14" t="s">
        <v>59</v>
      </c>
      <c r="C344" s="14" t="s">
        <v>2651</v>
      </c>
      <c r="D344" s="14" t="s">
        <v>2652</v>
      </c>
      <c r="E344" s="14">
        <v>2016</v>
      </c>
      <c r="F344" s="14" t="s">
        <v>2653</v>
      </c>
      <c r="G344" s="14" t="s">
        <v>2654</v>
      </c>
      <c r="H344" s="14" t="s">
        <v>2655</v>
      </c>
      <c r="I344" s="14"/>
      <c r="J344" s="14" t="s">
        <v>2656</v>
      </c>
      <c r="K344" s="14" t="s">
        <v>2657</v>
      </c>
      <c r="L344" s="14" t="s">
        <v>54</v>
      </c>
      <c r="M344" s="15"/>
      <c r="N344" s="14" t="s">
        <v>148</v>
      </c>
      <c r="O344" s="15"/>
      <c r="P344" s="14" t="s">
        <v>226</v>
      </c>
      <c r="Q344" t="s">
        <v>305</v>
      </c>
    </row>
    <row r="345" spans="1:17" ht="15.75" customHeight="1">
      <c r="A345" s="14" t="s">
        <v>2658</v>
      </c>
      <c r="B345" s="14" t="s">
        <v>59</v>
      </c>
      <c r="C345" s="14" t="s">
        <v>2659</v>
      </c>
      <c r="D345" s="14" t="s">
        <v>2660</v>
      </c>
      <c r="E345" s="14">
        <v>2025</v>
      </c>
      <c r="F345" s="14" t="s">
        <v>438</v>
      </c>
      <c r="G345" s="14" t="s">
        <v>2661</v>
      </c>
      <c r="H345" s="14" t="s">
        <v>2662</v>
      </c>
      <c r="I345" s="14"/>
      <c r="J345" s="14" t="s">
        <v>2663</v>
      </c>
      <c r="K345" s="14" t="s">
        <v>2664</v>
      </c>
      <c r="L345" s="14" t="s">
        <v>54</v>
      </c>
      <c r="M345" s="15"/>
      <c r="N345" s="14" t="s">
        <v>148</v>
      </c>
      <c r="O345" s="15"/>
      <c r="P345" s="14" t="s">
        <v>226</v>
      </c>
      <c r="Q345" t="s">
        <v>305</v>
      </c>
    </row>
    <row r="346" spans="1:17" ht="15.75" customHeight="1">
      <c r="A346" s="14" t="s">
        <v>2665</v>
      </c>
      <c r="B346" s="14" t="s">
        <v>59</v>
      </c>
      <c r="C346" s="14" t="s">
        <v>2666</v>
      </c>
      <c r="D346" s="14" t="s">
        <v>2667</v>
      </c>
      <c r="E346" s="14">
        <v>2023</v>
      </c>
      <c r="F346" s="14" t="s">
        <v>2668</v>
      </c>
      <c r="G346" s="14" t="s">
        <v>2669</v>
      </c>
      <c r="H346" s="14" t="s">
        <v>2670</v>
      </c>
      <c r="I346" s="14"/>
      <c r="J346" s="14" t="s">
        <v>2671</v>
      </c>
      <c r="K346" s="14" t="s">
        <v>2672</v>
      </c>
      <c r="L346" s="14" t="s">
        <v>54</v>
      </c>
      <c r="M346" s="15"/>
      <c r="N346" s="14" t="s">
        <v>148</v>
      </c>
      <c r="O346" s="15"/>
      <c r="P346" s="14" t="s">
        <v>149</v>
      </c>
    </row>
    <row r="347" spans="1:17" ht="15.75" customHeight="1">
      <c r="A347" s="14" t="s">
        <v>2673</v>
      </c>
      <c r="B347" s="14" t="s">
        <v>59</v>
      </c>
      <c r="C347" s="14" t="s">
        <v>2674</v>
      </c>
      <c r="D347" s="14" t="s">
        <v>2675</v>
      </c>
      <c r="E347" s="14">
        <v>2025</v>
      </c>
      <c r="F347" s="14" t="s">
        <v>438</v>
      </c>
      <c r="G347" s="14" t="s">
        <v>2676</v>
      </c>
      <c r="H347" s="14" t="s">
        <v>2677</v>
      </c>
      <c r="I347" s="14"/>
      <c r="J347" s="14" t="s">
        <v>2678</v>
      </c>
      <c r="K347" s="14" t="s">
        <v>2679</v>
      </c>
      <c r="L347" s="14" t="s">
        <v>54</v>
      </c>
      <c r="M347" s="15"/>
      <c r="N347" s="14" t="s">
        <v>148</v>
      </c>
      <c r="O347" s="15"/>
      <c r="P347" s="14" t="s">
        <v>226</v>
      </c>
      <c r="Q347" t="s">
        <v>305</v>
      </c>
    </row>
    <row r="348" spans="1:17" ht="15.75" customHeight="1">
      <c r="A348" s="14" t="s">
        <v>2680</v>
      </c>
      <c r="B348" s="14" t="s">
        <v>59</v>
      </c>
      <c r="C348" s="14" t="s">
        <v>2681</v>
      </c>
      <c r="D348" s="14" t="s">
        <v>2682</v>
      </c>
      <c r="E348" s="14">
        <v>2025</v>
      </c>
      <c r="F348" s="14" t="s">
        <v>1035</v>
      </c>
      <c r="G348" s="14" t="s">
        <v>2683</v>
      </c>
      <c r="H348" s="14" t="s">
        <v>2684</v>
      </c>
      <c r="I348" s="14"/>
      <c r="J348" s="14" t="s">
        <v>2685</v>
      </c>
      <c r="K348" s="14" t="s">
        <v>2686</v>
      </c>
      <c r="L348" s="14" t="s">
        <v>54</v>
      </c>
      <c r="M348" s="15"/>
      <c r="N348" s="14" t="s">
        <v>148</v>
      </c>
      <c r="O348" s="15"/>
      <c r="P348" s="14" t="s">
        <v>226</v>
      </c>
      <c r="Q348" t="s">
        <v>305</v>
      </c>
    </row>
    <row r="349" spans="1:17" ht="15.75" customHeight="1">
      <c r="A349" s="14" t="s">
        <v>2687</v>
      </c>
      <c r="B349" s="14" t="s">
        <v>59</v>
      </c>
      <c r="C349" s="14" t="s">
        <v>2688</v>
      </c>
      <c r="D349" s="14" t="s">
        <v>2689</v>
      </c>
      <c r="E349" s="14">
        <v>2024</v>
      </c>
      <c r="F349" s="14" t="s">
        <v>2690</v>
      </c>
      <c r="G349" s="14" t="s">
        <v>2691</v>
      </c>
      <c r="H349" s="14" t="s">
        <v>2692</v>
      </c>
      <c r="I349" s="14"/>
      <c r="J349" s="14" t="s">
        <v>2693</v>
      </c>
      <c r="K349" s="14" t="s">
        <v>2694</v>
      </c>
      <c r="L349" s="14" t="s">
        <v>54</v>
      </c>
      <c r="M349" s="15"/>
      <c r="N349" s="14" t="s">
        <v>148</v>
      </c>
      <c r="O349" s="15"/>
      <c r="P349" s="14" t="s">
        <v>226</v>
      </c>
      <c r="Q349" t="s">
        <v>305</v>
      </c>
    </row>
    <row r="350" spans="1:17" ht="15.75" customHeight="1">
      <c r="A350" s="14" t="s">
        <v>2695</v>
      </c>
      <c r="B350" s="14" t="s">
        <v>59</v>
      </c>
      <c r="C350" s="14" t="s">
        <v>2696</v>
      </c>
      <c r="D350" s="14" t="s">
        <v>2697</v>
      </c>
      <c r="E350" s="14">
        <v>2026</v>
      </c>
      <c r="F350" s="14" t="s">
        <v>2698</v>
      </c>
      <c r="G350" s="14" t="s">
        <v>2699</v>
      </c>
      <c r="H350" s="14" t="s">
        <v>2700</v>
      </c>
      <c r="I350" s="14"/>
      <c r="J350" s="14" t="s">
        <v>2701</v>
      </c>
      <c r="K350" s="14" t="s">
        <v>2702</v>
      </c>
      <c r="L350" s="14" t="s">
        <v>54</v>
      </c>
      <c r="M350" s="15"/>
      <c r="N350" s="14" t="s">
        <v>148</v>
      </c>
      <c r="O350" s="15"/>
      <c r="P350" s="14" t="s">
        <v>226</v>
      </c>
      <c r="Q350" t="s">
        <v>305</v>
      </c>
    </row>
    <row r="351" spans="1:17" ht="15.75" customHeight="1">
      <c r="A351" s="14" t="s">
        <v>2703</v>
      </c>
      <c r="B351" s="14" t="s">
        <v>59</v>
      </c>
      <c r="C351" s="14" t="s">
        <v>2704</v>
      </c>
      <c r="D351" s="14" t="s">
        <v>2705</v>
      </c>
      <c r="E351" s="14">
        <v>2026</v>
      </c>
      <c r="F351" s="14" t="s">
        <v>2706</v>
      </c>
      <c r="G351" s="14" t="s">
        <v>2707</v>
      </c>
      <c r="H351" s="14" t="s">
        <v>2708</v>
      </c>
      <c r="I351" s="14"/>
      <c r="J351" s="15"/>
      <c r="K351" s="14" t="s">
        <v>2709</v>
      </c>
      <c r="L351" s="14" t="s">
        <v>54</v>
      </c>
      <c r="M351" s="15"/>
      <c r="N351" s="14" t="s">
        <v>148</v>
      </c>
      <c r="O351" s="15"/>
      <c r="P351" s="14" t="s">
        <v>226</v>
      </c>
      <c r="Q351" t="s">
        <v>305</v>
      </c>
    </row>
    <row r="352" spans="1:17" ht="15.75" customHeight="1">
      <c r="A352" s="14" t="s">
        <v>2710</v>
      </c>
      <c r="B352" s="14" t="s">
        <v>59</v>
      </c>
      <c r="C352" s="14" t="s">
        <v>2711</v>
      </c>
      <c r="D352" s="14" t="s">
        <v>2712</v>
      </c>
      <c r="E352" s="14">
        <v>2008</v>
      </c>
      <c r="F352" s="14" t="s">
        <v>2713</v>
      </c>
      <c r="G352" s="14" t="s">
        <v>2714</v>
      </c>
      <c r="H352" s="14" t="s">
        <v>2715</v>
      </c>
      <c r="I352" s="14"/>
      <c r="J352" s="14" t="s">
        <v>2716</v>
      </c>
      <c r="K352" s="15"/>
      <c r="L352" s="14" t="s">
        <v>54</v>
      </c>
      <c r="M352" s="15"/>
      <c r="N352" s="14" t="s">
        <v>148</v>
      </c>
      <c r="O352" s="15"/>
      <c r="P352" s="14" t="s">
        <v>226</v>
      </c>
      <c r="Q352" t="s">
        <v>305</v>
      </c>
    </row>
    <row r="353" spans="1:17" ht="15.75" customHeight="1">
      <c r="A353" s="14" t="s">
        <v>2717</v>
      </c>
      <c r="B353" s="14" t="s">
        <v>59</v>
      </c>
      <c r="C353" s="14" t="s">
        <v>2718</v>
      </c>
      <c r="D353" s="14" t="s">
        <v>2719</v>
      </c>
      <c r="E353" s="14">
        <v>2025</v>
      </c>
      <c r="F353" s="14" t="s">
        <v>2720</v>
      </c>
      <c r="G353" s="14" t="s">
        <v>2721</v>
      </c>
      <c r="H353" s="14" t="s">
        <v>2722</v>
      </c>
      <c r="I353" s="14"/>
      <c r="J353" s="14" t="s">
        <v>2723</v>
      </c>
      <c r="K353" s="15"/>
      <c r="L353" s="14" t="s">
        <v>54</v>
      </c>
      <c r="M353" s="15"/>
      <c r="N353" s="14" t="s">
        <v>148</v>
      </c>
      <c r="O353" s="15"/>
      <c r="P353" s="14" t="s">
        <v>226</v>
      </c>
      <c r="Q353" t="s">
        <v>305</v>
      </c>
    </row>
    <row r="354" spans="1:17" ht="15.75" customHeight="1">
      <c r="A354" s="14" t="s">
        <v>2724</v>
      </c>
      <c r="B354" s="14" t="s">
        <v>59</v>
      </c>
      <c r="C354" s="14" t="s">
        <v>2725</v>
      </c>
      <c r="D354" s="14" t="s">
        <v>2726</v>
      </c>
      <c r="E354" s="14">
        <v>2025</v>
      </c>
      <c r="F354" s="14" t="s">
        <v>2005</v>
      </c>
      <c r="G354" s="14" t="s">
        <v>2727</v>
      </c>
      <c r="H354" s="14" t="s">
        <v>2728</v>
      </c>
      <c r="I354" s="14"/>
      <c r="J354" s="14" t="s">
        <v>2729</v>
      </c>
      <c r="K354" s="15"/>
      <c r="L354" s="14" t="s">
        <v>54</v>
      </c>
      <c r="M354" s="15"/>
      <c r="N354" s="14" t="s">
        <v>148</v>
      </c>
      <c r="O354" s="15"/>
      <c r="P354" s="14" t="s">
        <v>226</v>
      </c>
      <c r="Q354" t="s">
        <v>305</v>
      </c>
    </row>
    <row r="355" spans="1:17" ht="15.75" customHeight="1">
      <c r="A355" s="14" t="s">
        <v>2730</v>
      </c>
      <c r="B355" s="14" t="s">
        <v>59</v>
      </c>
      <c r="C355" s="14" t="s">
        <v>2731</v>
      </c>
      <c r="D355" s="14" t="s">
        <v>2732</v>
      </c>
      <c r="E355" s="14">
        <v>2024</v>
      </c>
      <c r="F355" s="14" t="s">
        <v>1747</v>
      </c>
      <c r="G355" s="15"/>
      <c r="H355" s="14" t="s">
        <v>2733</v>
      </c>
      <c r="I355" s="14"/>
      <c r="J355" s="14" t="s">
        <v>2734</v>
      </c>
      <c r="K355" s="15"/>
      <c r="L355" s="14" t="s">
        <v>54</v>
      </c>
      <c r="M355" s="15"/>
      <c r="N355" s="14" t="s">
        <v>148</v>
      </c>
      <c r="O355" s="15"/>
      <c r="P355" s="14" t="s">
        <v>226</v>
      </c>
      <c r="Q355" t="s">
        <v>305</v>
      </c>
    </row>
    <row r="356" spans="1:17" ht="15.75" customHeight="1">
      <c r="A356" s="14" t="s">
        <v>2735</v>
      </c>
      <c r="B356" s="14" t="s">
        <v>59</v>
      </c>
      <c r="C356" s="14" t="s">
        <v>2736</v>
      </c>
      <c r="D356" s="14" t="s">
        <v>2737</v>
      </c>
      <c r="E356" s="14">
        <v>2026</v>
      </c>
      <c r="F356" s="14" t="s">
        <v>1662</v>
      </c>
      <c r="G356" s="14" t="s">
        <v>2738</v>
      </c>
      <c r="H356" s="14" t="s">
        <v>2739</v>
      </c>
      <c r="I356" s="14"/>
      <c r="J356" s="15"/>
      <c r="K356" s="14" t="s">
        <v>2740</v>
      </c>
      <c r="L356" s="14" t="s">
        <v>54</v>
      </c>
      <c r="M356" s="15"/>
      <c r="N356" s="14" t="s">
        <v>148</v>
      </c>
      <c r="O356" s="15"/>
      <c r="P356" s="14" t="s">
        <v>226</v>
      </c>
      <c r="Q356" t="s">
        <v>305</v>
      </c>
    </row>
    <row r="357" spans="1:17" ht="15.75" customHeight="1">
      <c r="A357" s="14" t="s">
        <v>2741</v>
      </c>
      <c r="B357" s="14" t="s">
        <v>59</v>
      </c>
      <c r="C357" s="14" t="s">
        <v>2742</v>
      </c>
      <c r="D357" s="14" t="s">
        <v>2743</v>
      </c>
      <c r="E357" s="14">
        <v>2024</v>
      </c>
      <c r="F357" s="14" t="s">
        <v>2744</v>
      </c>
      <c r="G357" s="14" t="s">
        <v>2745</v>
      </c>
      <c r="H357" s="14" t="s">
        <v>2746</v>
      </c>
      <c r="I357" s="14"/>
      <c r="J357" s="14" t="s">
        <v>2747</v>
      </c>
      <c r="K357" s="15"/>
      <c r="L357" s="14" t="s">
        <v>54</v>
      </c>
      <c r="M357" s="15"/>
      <c r="N357" s="14" t="s">
        <v>148</v>
      </c>
      <c r="O357" s="15"/>
      <c r="P357" s="14" t="s">
        <v>226</v>
      </c>
      <c r="Q357" t="s">
        <v>305</v>
      </c>
    </row>
    <row r="358" spans="1:17" ht="15.75" customHeight="1">
      <c r="A358" s="14" t="s">
        <v>2748</v>
      </c>
      <c r="B358" s="14" t="s">
        <v>59</v>
      </c>
      <c r="C358" s="14" t="s">
        <v>2749</v>
      </c>
      <c r="D358" s="14" t="s">
        <v>2750</v>
      </c>
      <c r="E358" s="14">
        <v>2024</v>
      </c>
      <c r="F358" s="14" t="s">
        <v>2751</v>
      </c>
      <c r="G358" s="14" t="s">
        <v>2752</v>
      </c>
      <c r="H358" s="14" t="s">
        <v>2753</v>
      </c>
      <c r="I358" s="14"/>
      <c r="J358" s="14" t="s">
        <v>2754</v>
      </c>
      <c r="K358" s="15"/>
      <c r="L358" s="14" t="s">
        <v>54</v>
      </c>
      <c r="M358" s="15"/>
      <c r="N358" s="14" t="s">
        <v>148</v>
      </c>
      <c r="O358" s="15"/>
      <c r="P358" s="14" t="s">
        <v>226</v>
      </c>
      <c r="Q358" t="s">
        <v>376</v>
      </c>
    </row>
    <row r="359" spans="1:17" ht="15.75" customHeight="1">
      <c r="A359" s="14" t="s">
        <v>2755</v>
      </c>
      <c r="B359" s="14" t="s">
        <v>59</v>
      </c>
      <c r="C359" s="14" t="s">
        <v>2756</v>
      </c>
      <c r="D359" s="14" t="s">
        <v>2757</v>
      </c>
      <c r="E359" s="14">
        <v>2025</v>
      </c>
      <c r="F359" s="14" t="s">
        <v>2428</v>
      </c>
      <c r="G359" s="14" t="s">
        <v>2758</v>
      </c>
      <c r="H359" s="14" t="s">
        <v>2759</v>
      </c>
      <c r="I359" s="14"/>
      <c r="J359" s="14" t="s">
        <v>2760</v>
      </c>
      <c r="K359" s="14" t="s">
        <v>2761</v>
      </c>
      <c r="L359" s="14" t="s">
        <v>54</v>
      </c>
      <c r="M359" s="15"/>
      <c r="N359" s="14" t="s">
        <v>148</v>
      </c>
      <c r="O359" s="15"/>
      <c r="P359" s="14" t="s">
        <v>226</v>
      </c>
      <c r="Q359" t="s">
        <v>305</v>
      </c>
    </row>
    <row r="360" spans="1:17" ht="15.75" customHeight="1">
      <c r="A360" s="14" t="s">
        <v>2762</v>
      </c>
      <c r="B360" s="14" t="s">
        <v>59</v>
      </c>
      <c r="C360" s="14" t="s">
        <v>2763</v>
      </c>
      <c r="D360" s="14" t="s">
        <v>2764</v>
      </c>
      <c r="E360" s="14">
        <v>2022</v>
      </c>
      <c r="F360" s="14" t="s">
        <v>2063</v>
      </c>
      <c r="G360" s="14" t="s">
        <v>2765</v>
      </c>
      <c r="H360" s="14" t="s">
        <v>2766</v>
      </c>
      <c r="I360" s="14"/>
      <c r="J360" s="14" t="s">
        <v>2767</v>
      </c>
      <c r="K360" s="14" t="s">
        <v>2768</v>
      </c>
      <c r="L360" s="14" t="s">
        <v>54</v>
      </c>
      <c r="M360" s="15"/>
      <c r="N360" s="14" t="s">
        <v>148</v>
      </c>
      <c r="O360" s="15"/>
      <c r="P360" s="14" t="s">
        <v>226</v>
      </c>
      <c r="Q360" t="s">
        <v>305</v>
      </c>
    </row>
    <row r="361" spans="1:17" ht="15.75" customHeight="1">
      <c r="A361" s="14" t="s">
        <v>2769</v>
      </c>
      <c r="B361" s="14" t="s">
        <v>59</v>
      </c>
      <c r="C361" s="14" t="s">
        <v>2770</v>
      </c>
      <c r="D361" s="14" t="s">
        <v>2771</v>
      </c>
      <c r="E361" s="14">
        <v>2017</v>
      </c>
      <c r="F361" s="14" t="s">
        <v>2772</v>
      </c>
      <c r="G361" s="14" t="s">
        <v>2773</v>
      </c>
      <c r="H361" s="14" t="s">
        <v>2774</v>
      </c>
      <c r="I361" s="14"/>
      <c r="J361" s="15"/>
      <c r="K361" s="14" t="s">
        <v>2775</v>
      </c>
      <c r="L361" s="14" t="s">
        <v>54</v>
      </c>
      <c r="M361" s="15"/>
      <c r="N361" s="14" t="s">
        <v>148</v>
      </c>
      <c r="O361" s="15"/>
      <c r="P361" s="14" t="s">
        <v>226</v>
      </c>
      <c r="Q361" t="s">
        <v>481</v>
      </c>
    </row>
    <row r="362" spans="1:17" ht="15.75" customHeight="1">
      <c r="A362" s="14" t="s">
        <v>2776</v>
      </c>
      <c r="B362" s="14" t="s">
        <v>59</v>
      </c>
      <c r="C362" s="14" t="s">
        <v>2777</v>
      </c>
      <c r="D362" s="14" t="s">
        <v>2778</v>
      </c>
      <c r="E362" s="14">
        <v>2023</v>
      </c>
      <c r="F362" s="14" t="s">
        <v>2779</v>
      </c>
      <c r="G362" s="14" t="s">
        <v>2780</v>
      </c>
      <c r="H362" s="14" t="s">
        <v>2781</v>
      </c>
      <c r="I362" s="14"/>
      <c r="J362" s="14" t="s">
        <v>2782</v>
      </c>
      <c r="K362" s="14" t="s">
        <v>2783</v>
      </c>
      <c r="L362" s="14" t="s">
        <v>54</v>
      </c>
      <c r="M362" s="15"/>
      <c r="N362" s="14" t="s">
        <v>148</v>
      </c>
      <c r="O362" s="15"/>
      <c r="P362" s="14" t="s">
        <v>226</v>
      </c>
      <c r="Q362" t="s">
        <v>305</v>
      </c>
    </row>
    <row r="363" spans="1:17" ht="15.75" customHeight="1">
      <c r="A363" s="14" t="s">
        <v>2784</v>
      </c>
      <c r="B363" s="14" t="s">
        <v>59</v>
      </c>
      <c r="C363" s="14" t="s">
        <v>2785</v>
      </c>
      <c r="D363" s="14" t="s">
        <v>2786</v>
      </c>
      <c r="E363" s="14">
        <v>2021</v>
      </c>
      <c r="F363" s="14" t="s">
        <v>277</v>
      </c>
      <c r="G363" s="14" t="s">
        <v>2787</v>
      </c>
      <c r="H363" s="14" t="s">
        <v>2788</v>
      </c>
      <c r="I363" s="14"/>
      <c r="J363" s="14" t="s">
        <v>2789</v>
      </c>
      <c r="K363" s="14" t="s">
        <v>2790</v>
      </c>
      <c r="L363" s="14" t="s">
        <v>54</v>
      </c>
      <c r="M363" s="15"/>
      <c r="N363" s="14" t="s">
        <v>148</v>
      </c>
      <c r="O363" s="15"/>
      <c r="P363" s="14" t="s">
        <v>226</v>
      </c>
      <c r="Q363" t="s">
        <v>305</v>
      </c>
    </row>
    <row r="364" spans="1:17" ht="15.75" customHeight="1">
      <c r="A364" s="14" t="s">
        <v>2791</v>
      </c>
      <c r="B364" s="14" t="s">
        <v>59</v>
      </c>
      <c r="C364" s="14" t="s">
        <v>2792</v>
      </c>
      <c r="D364" s="14" t="s">
        <v>2793</v>
      </c>
      <c r="E364" s="14">
        <v>2025</v>
      </c>
      <c r="F364" s="14" t="s">
        <v>2794</v>
      </c>
      <c r="G364" s="14" t="s">
        <v>2795</v>
      </c>
      <c r="H364" s="14" t="s">
        <v>2796</v>
      </c>
      <c r="I364" s="14"/>
      <c r="J364" s="14" t="s">
        <v>2797</v>
      </c>
      <c r="K364" s="15"/>
      <c r="L364" s="14" t="s">
        <v>54</v>
      </c>
      <c r="M364" s="15"/>
      <c r="N364" s="14" t="s">
        <v>148</v>
      </c>
      <c r="O364" s="15"/>
      <c r="P364" s="14" t="s">
        <v>226</v>
      </c>
      <c r="Q364" t="s">
        <v>305</v>
      </c>
    </row>
    <row r="365" spans="1:17" ht="15.75" customHeight="1">
      <c r="A365" s="14" t="s">
        <v>2798</v>
      </c>
      <c r="B365" s="14" t="s">
        <v>59</v>
      </c>
      <c r="C365" s="14" t="s">
        <v>2799</v>
      </c>
      <c r="D365" s="14" t="s">
        <v>2800</v>
      </c>
      <c r="E365" s="14">
        <v>2026</v>
      </c>
      <c r="F365" s="14" t="s">
        <v>1762</v>
      </c>
      <c r="G365" s="14" t="s">
        <v>2801</v>
      </c>
      <c r="H365" s="14" t="s">
        <v>2802</v>
      </c>
      <c r="I365" s="14"/>
      <c r="J365" s="14" t="s">
        <v>2803</v>
      </c>
      <c r="K365" s="14" t="s">
        <v>2804</v>
      </c>
      <c r="L365" s="14" t="s">
        <v>54</v>
      </c>
      <c r="M365" s="15"/>
      <c r="N365" s="14" t="s">
        <v>148</v>
      </c>
      <c r="O365" s="15"/>
      <c r="P365" s="14" t="s">
        <v>226</v>
      </c>
      <c r="Q365" t="s">
        <v>305</v>
      </c>
    </row>
    <row r="366" spans="1:17" ht="15.75" customHeight="1">
      <c r="A366" s="14" t="s">
        <v>2805</v>
      </c>
      <c r="B366" s="14" t="s">
        <v>59</v>
      </c>
      <c r="C366" s="14" t="s">
        <v>2806</v>
      </c>
      <c r="D366" s="14" t="s">
        <v>2807</v>
      </c>
      <c r="E366" s="14">
        <v>2025</v>
      </c>
      <c r="F366" s="14" t="s">
        <v>2808</v>
      </c>
      <c r="G366" s="14" t="s">
        <v>2809</v>
      </c>
      <c r="H366" s="14" t="s">
        <v>2810</v>
      </c>
      <c r="I366" s="14"/>
      <c r="J366" s="15"/>
      <c r="K366" s="14" t="s">
        <v>2811</v>
      </c>
      <c r="L366" s="14" t="s">
        <v>54</v>
      </c>
      <c r="M366" s="15"/>
      <c r="N366" s="14" t="s">
        <v>148</v>
      </c>
      <c r="O366" s="15"/>
      <c r="P366" s="14" t="s">
        <v>226</v>
      </c>
      <c r="Q366" t="s">
        <v>305</v>
      </c>
    </row>
    <row r="367" spans="1:17" ht="15.75" customHeight="1">
      <c r="A367" s="14" t="s">
        <v>2812</v>
      </c>
      <c r="B367" s="14" t="s">
        <v>59</v>
      </c>
      <c r="C367" s="14" t="s">
        <v>2813</v>
      </c>
      <c r="D367" s="14" t="s">
        <v>2814</v>
      </c>
      <c r="E367" s="14">
        <v>2019</v>
      </c>
      <c r="F367" s="14" t="s">
        <v>1770</v>
      </c>
      <c r="G367" s="14" t="s">
        <v>2815</v>
      </c>
      <c r="H367" s="14" t="s">
        <v>2816</v>
      </c>
      <c r="I367" s="14"/>
      <c r="J367" s="15"/>
      <c r="K367" s="14" t="s">
        <v>2817</v>
      </c>
      <c r="L367" s="14" t="s">
        <v>54</v>
      </c>
      <c r="M367" s="15"/>
      <c r="N367" s="14" t="s">
        <v>148</v>
      </c>
      <c r="O367" s="15"/>
      <c r="P367" s="14" t="s">
        <v>226</v>
      </c>
      <c r="Q367" t="s">
        <v>481</v>
      </c>
    </row>
    <row r="368" spans="1:17" ht="15.75" customHeight="1">
      <c r="A368" s="14" t="s">
        <v>2818</v>
      </c>
      <c r="B368" s="14" t="s">
        <v>59</v>
      </c>
      <c r="C368" s="14" t="s">
        <v>2819</v>
      </c>
      <c r="D368" s="14" t="s">
        <v>2820</v>
      </c>
      <c r="E368" s="14">
        <v>2024</v>
      </c>
      <c r="F368" s="14" t="s">
        <v>2821</v>
      </c>
      <c r="G368" s="14" t="s">
        <v>2822</v>
      </c>
      <c r="H368" s="14" t="s">
        <v>2823</v>
      </c>
      <c r="I368" s="14"/>
      <c r="J368" s="14" t="s">
        <v>2824</v>
      </c>
      <c r="K368" s="14" t="s">
        <v>2825</v>
      </c>
      <c r="L368" s="14" t="s">
        <v>54</v>
      </c>
      <c r="M368" s="15"/>
      <c r="N368" s="14" t="s">
        <v>148</v>
      </c>
      <c r="O368" s="15"/>
      <c r="P368" s="14" t="s">
        <v>226</v>
      </c>
      <c r="Q368" t="s">
        <v>305</v>
      </c>
    </row>
    <row r="369" spans="1:17" ht="15.75" customHeight="1">
      <c r="A369" s="14" t="s">
        <v>2826</v>
      </c>
      <c r="B369" s="14" t="s">
        <v>59</v>
      </c>
      <c r="C369" s="14" t="s">
        <v>2827</v>
      </c>
      <c r="D369" s="14" t="s">
        <v>2828</v>
      </c>
      <c r="E369" s="14">
        <v>2022</v>
      </c>
      <c r="F369" s="14" t="s">
        <v>2829</v>
      </c>
      <c r="G369" s="14" t="s">
        <v>2830</v>
      </c>
      <c r="H369" s="14" t="s">
        <v>2831</v>
      </c>
      <c r="I369" s="14"/>
      <c r="J369" s="14" t="s">
        <v>2832</v>
      </c>
      <c r="K369" s="14" t="s">
        <v>2833</v>
      </c>
      <c r="L369" s="14" t="s">
        <v>54</v>
      </c>
      <c r="M369" s="15"/>
      <c r="N369" s="14" t="s">
        <v>148</v>
      </c>
      <c r="O369" s="15"/>
      <c r="P369" s="14" t="s">
        <v>226</v>
      </c>
      <c r="Q369" t="s">
        <v>305</v>
      </c>
    </row>
    <row r="370" spans="1:17" ht="15.75" customHeight="1">
      <c r="A370" s="14" t="s">
        <v>2834</v>
      </c>
      <c r="B370" s="14" t="s">
        <v>59</v>
      </c>
      <c r="C370" s="14" t="s">
        <v>2835</v>
      </c>
      <c r="D370" s="14" t="s">
        <v>2836</v>
      </c>
      <c r="E370" s="14">
        <v>2025</v>
      </c>
      <c r="F370" s="14" t="s">
        <v>430</v>
      </c>
      <c r="G370" s="14" t="s">
        <v>2837</v>
      </c>
      <c r="H370" s="14" t="s">
        <v>2838</v>
      </c>
      <c r="I370" s="14"/>
      <c r="J370" s="14" t="s">
        <v>2839</v>
      </c>
      <c r="K370" s="15"/>
      <c r="L370" s="14" t="s">
        <v>54</v>
      </c>
      <c r="M370" s="15"/>
      <c r="N370" s="14" t="s">
        <v>148</v>
      </c>
      <c r="O370" s="15"/>
      <c r="P370" s="14" t="s">
        <v>226</v>
      </c>
      <c r="Q370" t="s">
        <v>305</v>
      </c>
    </row>
    <row r="371" spans="1:17" ht="15.75" customHeight="1">
      <c r="A371" s="14" t="s">
        <v>2840</v>
      </c>
      <c r="B371" s="14" t="s">
        <v>59</v>
      </c>
      <c r="C371" s="14" t="s">
        <v>2841</v>
      </c>
      <c r="D371" s="14" t="s">
        <v>2842</v>
      </c>
      <c r="E371" s="14">
        <v>2022</v>
      </c>
      <c r="F371" s="14" t="s">
        <v>2843</v>
      </c>
      <c r="G371" s="14" t="s">
        <v>2844</v>
      </c>
      <c r="H371" s="14" t="s">
        <v>2845</v>
      </c>
      <c r="I371" s="14"/>
      <c r="J371" s="14" t="s">
        <v>2846</v>
      </c>
      <c r="K371" s="14" t="s">
        <v>2847</v>
      </c>
      <c r="L371" s="14" t="s">
        <v>54</v>
      </c>
      <c r="M371" s="15"/>
      <c r="N371" s="14" t="s">
        <v>148</v>
      </c>
      <c r="O371" s="15"/>
      <c r="P371" s="14" t="s">
        <v>226</v>
      </c>
      <c r="Q371" t="s">
        <v>305</v>
      </c>
    </row>
    <row r="372" spans="1:17" ht="15.75" customHeight="1">
      <c r="A372" s="14" t="s">
        <v>2848</v>
      </c>
      <c r="B372" s="14" t="s">
        <v>59</v>
      </c>
      <c r="C372" s="14" t="s">
        <v>2849</v>
      </c>
      <c r="D372" s="14" t="s">
        <v>2850</v>
      </c>
      <c r="E372" s="14">
        <v>2020</v>
      </c>
      <c r="F372" s="14" t="s">
        <v>182</v>
      </c>
      <c r="G372" s="14" t="s">
        <v>2851</v>
      </c>
      <c r="H372" s="14" t="s">
        <v>2852</v>
      </c>
      <c r="I372" s="14"/>
      <c r="J372" s="14" t="s">
        <v>2853</v>
      </c>
      <c r="K372" s="14" t="s">
        <v>2854</v>
      </c>
      <c r="L372" s="14" t="s">
        <v>54</v>
      </c>
      <c r="M372" s="15"/>
      <c r="N372" s="14" t="s">
        <v>148</v>
      </c>
      <c r="O372" s="15"/>
      <c r="P372" s="14" t="s">
        <v>226</v>
      </c>
      <c r="Q372" t="s">
        <v>305</v>
      </c>
    </row>
    <row r="373" spans="1:17" ht="15.75" customHeight="1">
      <c r="A373" s="14" t="s">
        <v>2855</v>
      </c>
      <c r="B373" s="14" t="s">
        <v>59</v>
      </c>
      <c r="C373" s="14" t="s">
        <v>2856</v>
      </c>
      <c r="D373" s="14" t="s">
        <v>2857</v>
      </c>
      <c r="E373" s="14">
        <v>2025</v>
      </c>
      <c r="F373" s="14" t="s">
        <v>2451</v>
      </c>
      <c r="G373" s="14" t="s">
        <v>2858</v>
      </c>
      <c r="H373" s="14" t="s">
        <v>2859</v>
      </c>
      <c r="I373" s="14"/>
      <c r="J373" s="15"/>
      <c r="K373" s="15"/>
      <c r="L373" s="14" t="s">
        <v>54</v>
      </c>
      <c r="M373" s="15"/>
      <c r="N373" s="14" t="s">
        <v>148</v>
      </c>
      <c r="O373" s="15"/>
      <c r="P373" s="14" t="s">
        <v>226</v>
      </c>
      <c r="Q373" t="s">
        <v>305</v>
      </c>
    </row>
    <row r="374" spans="1:17" ht="15.75" customHeight="1">
      <c r="A374" s="14" t="s">
        <v>2860</v>
      </c>
      <c r="B374" s="14" t="s">
        <v>59</v>
      </c>
      <c r="C374" s="14" t="s">
        <v>2861</v>
      </c>
      <c r="D374" s="14" t="s">
        <v>2862</v>
      </c>
      <c r="E374" s="14">
        <v>2024</v>
      </c>
      <c r="F374" s="14" t="s">
        <v>2863</v>
      </c>
      <c r="G374" s="15"/>
      <c r="H374" s="14" t="s">
        <v>2864</v>
      </c>
      <c r="I374" s="14"/>
      <c r="J374" s="14" t="s">
        <v>2865</v>
      </c>
      <c r="K374" s="15"/>
      <c r="L374" s="14" t="s">
        <v>54</v>
      </c>
      <c r="M374" s="15"/>
      <c r="N374" s="14" t="s">
        <v>148</v>
      </c>
      <c r="O374" s="15"/>
      <c r="P374" s="14" t="s">
        <v>226</v>
      </c>
      <c r="Q374" t="s">
        <v>305</v>
      </c>
    </row>
    <row r="375" spans="1:17" ht="15.75" customHeight="1">
      <c r="A375" s="14" t="s">
        <v>2866</v>
      </c>
      <c r="B375" s="14" t="s">
        <v>59</v>
      </c>
      <c r="C375" s="14" t="s">
        <v>2867</v>
      </c>
      <c r="D375" s="14" t="s">
        <v>2868</v>
      </c>
      <c r="E375" s="14">
        <v>2025</v>
      </c>
      <c r="F375" s="14" t="s">
        <v>578</v>
      </c>
      <c r="G375" s="14" t="s">
        <v>2869</v>
      </c>
      <c r="H375" s="14" t="s">
        <v>2870</v>
      </c>
      <c r="I375" s="14"/>
      <c r="J375" s="14" t="s">
        <v>2871</v>
      </c>
      <c r="K375" s="14" t="s">
        <v>2872</v>
      </c>
      <c r="L375" s="14" t="s">
        <v>54</v>
      </c>
      <c r="M375" s="15"/>
      <c r="N375" s="14" t="s">
        <v>148</v>
      </c>
      <c r="O375" s="15"/>
      <c r="P375" s="14" t="s">
        <v>226</v>
      </c>
      <c r="Q375" t="s">
        <v>305</v>
      </c>
    </row>
    <row r="376" spans="1:17" ht="15.75" customHeight="1">
      <c r="A376" s="14" t="s">
        <v>2873</v>
      </c>
      <c r="B376" s="14" t="s">
        <v>59</v>
      </c>
      <c r="C376" s="14" t="s">
        <v>2874</v>
      </c>
      <c r="D376" s="14" t="s">
        <v>2875</v>
      </c>
      <c r="E376" s="14">
        <v>2025</v>
      </c>
      <c r="F376" s="14" t="s">
        <v>1459</v>
      </c>
      <c r="G376" s="14" t="s">
        <v>2876</v>
      </c>
      <c r="H376" s="14" t="s">
        <v>2877</v>
      </c>
      <c r="I376" s="14"/>
      <c r="J376" s="14" t="s">
        <v>2878</v>
      </c>
      <c r="K376" s="14" t="s">
        <v>2879</v>
      </c>
      <c r="L376" s="14" t="s">
        <v>54</v>
      </c>
      <c r="M376" s="15"/>
      <c r="N376" s="14" t="s">
        <v>148</v>
      </c>
      <c r="O376" s="15"/>
      <c r="P376" s="14" t="s">
        <v>226</v>
      </c>
      <c r="Q376" t="s">
        <v>305</v>
      </c>
    </row>
    <row r="377" spans="1:17" ht="15.75" customHeight="1">
      <c r="A377" s="14" t="s">
        <v>2880</v>
      </c>
      <c r="B377" s="14" t="s">
        <v>59</v>
      </c>
      <c r="C377" s="14" t="s">
        <v>2881</v>
      </c>
      <c r="D377" s="14" t="s">
        <v>2882</v>
      </c>
      <c r="E377" s="14">
        <v>2023</v>
      </c>
      <c r="F377" s="14" t="s">
        <v>2883</v>
      </c>
      <c r="G377" s="14" t="s">
        <v>2884</v>
      </c>
      <c r="H377" s="14" t="s">
        <v>2885</v>
      </c>
      <c r="I377" s="14"/>
      <c r="J377" s="14" t="s">
        <v>2886</v>
      </c>
      <c r="K377" s="15"/>
      <c r="L377" s="14" t="s">
        <v>54</v>
      </c>
      <c r="M377" s="15"/>
      <c r="N377" s="14" t="s">
        <v>148</v>
      </c>
      <c r="O377" s="15"/>
      <c r="P377" s="14" t="s">
        <v>226</v>
      </c>
      <c r="Q377" t="s">
        <v>305</v>
      </c>
    </row>
    <row r="378" spans="1:17" ht="15.75" customHeight="1">
      <c r="A378" s="14" t="s">
        <v>2887</v>
      </c>
      <c r="B378" s="14" t="s">
        <v>59</v>
      </c>
      <c r="C378" s="14" t="s">
        <v>2888</v>
      </c>
      <c r="D378" s="14" t="s">
        <v>2889</v>
      </c>
      <c r="E378" s="14">
        <v>2026</v>
      </c>
      <c r="F378" s="14" t="s">
        <v>2890</v>
      </c>
      <c r="G378" s="14" t="s">
        <v>2891</v>
      </c>
      <c r="H378" s="14" t="s">
        <v>2892</v>
      </c>
      <c r="I378" s="14"/>
      <c r="J378" s="14" t="s">
        <v>2893</v>
      </c>
      <c r="K378" s="14" t="s">
        <v>2894</v>
      </c>
      <c r="L378" s="14" t="s">
        <v>54</v>
      </c>
      <c r="M378" s="15"/>
      <c r="N378" s="14" t="s">
        <v>148</v>
      </c>
      <c r="O378" s="15"/>
      <c r="P378" s="14" t="s">
        <v>226</v>
      </c>
      <c r="Q378" t="s">
        <v>305</v>
      </c>
    </row>
    <row r="379" spans="1:17" ht="15.75" customHeight="1">
      <c r="A379" s="14" t="s">
        <v>2895</v>
      </c>
      <c r="B379" s="14" t="s">
        <v>59</v>
      </c>
      <c r="C379" s="14" t="s">
        <v>2896</v>
      </c>
      <c r="D379" s="14" t="s">
        <v>2897</v>
      </c>
      <c r="E379" s="14">
        <v>2022</v>
      </c>
      <c r="F379" s="14" t="s">
        <v>2898</v>
      </c>
      <c r="G379" s="14" t="s">
        <v>2899</v>
      </c>
      <c r="H379" s="14" t="s">
        <v>2900</v>
      </c>
      <c r="I379" s="14"/>
      <c r="J379" s="14" t="s">
        <v>2901</v>
      </c>
      <c r="K379" s="14" t="s">
        <v>2902</v>
      </c>
      <c r="L379" s="14" t="s">
        <v>54</v>
      </c>
      <c r="M379" s="15"/>
      <c r="N379" s="14" t="s">
        <v>148</v>
      </c>
      <c r="O379" s="15"/>
      <c r="P379" s="14" t="s">
        <v>226</v>
      </c>
      <c r="Q379" t="s">
        <v>305</v>
      </c>
    </row>
    <row r="380" spans="1:17" ht="15.75" customHeight="1">
      <c r="A380" s="14" t="s">
        <v>2903</v>
      </c>
      <c r="B380" s="14" t="s">
        <v>59</v>
      </c>
      <c r="C380" s="14" t="s">
        <v>2904</v>
      </c>
      <c r="D380" s="14" t="s">
        <v>2905</v>
      </c>
      <c r="E380" s="14">
        <v>2025</v>
      </c>
      <c r="F380" s="14" t="s">
        <v>2906</v>
      </c>
      <c r="G380" s="14" t="s">
        <v>2907</v>
      </c>
      <c r="H380" s="14" t="s">
        <v>2908</v>
      </c>
      <c r="I380" s="14"/>
      <c r="J380" s="14" t="s">
        <v>2909</v>
      </c>
      <c r="K380" s="14" t="s">
        <v>2910</v>
      </c>
      <c r="L380" s="14" t="s">
        <v>54</v>
      </c>
      <c r="M380" s="15"/>
      <c r="N380" s="14" t="s">
        <v>148</v>
      </c>
      <c r="O380" s="15"/>
      <c r="P380" s="14" t="s">
        <v>226</v>
      </c>
      <c r="Q380" t="s">
        <v>305</v>
      </c>
    </row>
    <row r="381" spans="1:17" ht="15.75" customHeight="1">
      <c r="A381" s="14" t="s">
        <v>2911</v>
      </c>
      <c r="B381" s="14" t="s">
        <v>59</v>
      </c>
      <c r="C381" s="14" t="s">
        <v>2912</v>
      </c>
      <c r="D381" s="14" t="s">
        <v>2913</v>
      </c>
      <c r="E381" s="14">
        <v>2024</v>
      </c>
      <c r="F381" s="14" t="s">
        <v>438</v>
      </c>
      <c r="G381" s="14" t="s">
        <v>2914</v>
      </c>
      <c r="H381" s="14" t="s">
        <v>2915</v>
      </c>
      <c r="I381" s="14"/>
      <c r="J381" s="14" t="s">
        <v>2916</v>
      </c>
      <c r="K381" s="14" t="s">
        <v>2917</v>
      </c>
      <c r="L381" s="14" t="s">
        <v>54</v>
      </c>
      <c r="M381" s="15"/>
      <c r="N381" s="14" t="s">
        <v>148</v>
      </c>
      <c r="O381" s="15"/>
      <c r="P381" s="14" t="s">
        <v>226</v>
      </c>
      <c r="Q381" t="s">
        <v>305</v>
      </c>
    </row>
    <row r="382" spans="1:17" ht="15.75" customHeight="1">
      <c r="A382" s="14" t="s">
        <v>2918</v>
      </c>
      <c r="B382" s="14" t="s">
        <v>59</v>
      </c>
      <c r="C382" s="14" t="s">
        <v>2919</v>
      </c>
      <c r="D382" s="14" t="s">
        <v>2920</v>
      </c>
      <c r="E382" s="14">
        <v>2023</v>
      </c>
      <c r="F382" s="14" t="s">
        <v>1239</v>
      </c>
      <c r="G382" s="14" t="s">
        <v>2921</v>
      </c>
      <c r="H382" s="14" t="s">
        <v>2922</v>
      </c>
      <c r="I382" s="14"/>
      <c r="J382" s="14" t="s">
        <v>2923</v>
      </c>
      <c r="K382" s="14" t="s">
        <v>2924</v>
      </c>
      <c r="L382" s="14" t="s">
        <v>54</v>
      </c>
      <c r="M382" s="15"/>
      <c r="N382" s="14" t="s">
        <v>148</v>
      </c>
      <c r="O382" s="15"/>
      <c r="P382" s="14" t="s">
        <v>226</v>
      </c>
      <c r="Q382" t="s">
        <v>305</v>
      </c>
    </row>
    <row r="383" spans="1:17" ht="15.75" customHeight="1">
      <c r="A383" s="14" t="s">
        <v>2925</v>
      </c>
      <c r="B383" s="14" t="s">
        <v>59</v>
      </c>
      <c r="C383" s="14" t="s">
        <v>2926</v>
      </c>
      <c r="D383" s="14" t="s">
        <v>2927</v>
      </c>
      <c r="E383" s="14">
        <v>2023</v>
      </c>
      <c r="F383" s="14" t="s">
        <v>1314</v>
      </c>
      <c r="G383" s="14" t="s">
        <v>2928</v>
      </c>
      <c r="H383" s="14" t="s">
        <v>2929</v>
      </c>
      <c r="I383" s="14"/>
      <c r="J383" s="14" t="s">
        <v>2930</v>
      </c>
      <c r="K383" s="14" t="s">
        <v>2931</v>
      </c>
      <c r="L383" s="14" t="s">
        <v>54</v>
      </c>
      <c r="M383" s="15"/>
      <c r="N383" s="14" t="s">
        <v>148</v>
      </c>
      <c r="O383" s="15"/>
      <c r="P383" s="14" t="s">
        <v>226</v>
      </c>
      <c r="Q383" t="s">
        <v>305</v>
      </c>
    </row>
    <row r="384" spans="1:17"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workbookViewId="0">
      <pane xSplit="2" ySplit="1" topLeftCell="C2" activePane="bottomRight" state="frozen"/>
      <selection pane="topRight"/>
      <selection pane="bottomLeft"/>
      <selection pane="bottomRight"/>
    </sheetView>
  </sheetViews>
  <sheetFormatPr baseColWidth="10" defaultColWidth="12.6640625" defaultRowHeight="15" customHeight="1"/>
  <cols>
    <col min="1" max="1" width="12.6640625" customWidth="1"/>
    <col min="2" max="2" width="72.83203125" customWidth="1"/>
    <col min="3" max="3" width="9.5" customWidth="1"/>
    <col min="4" max="5" width="12.6640625" customWidth="1"/>
    <col min="6" max="7" width="18.83203125" customWidth="1"/>
    <col min="10" max="10" width="25.1640625" customWidth="1"/>
    <col min="11" max="11" width="27.1640625" customWidth="1"/>
    <col min="12" max="12" width="21.6640625" customWidth="1"/>
    <col min="13" max="13" width="18.5" customWidth="1"/>
  </cols>
  <sheetData>
    <row r="1" spans="1:13" ht="15.75" customHeight="1">
      <c r="A1" s="16" t="s">
        <v>124</v>
      </c>
      <c r="B1" s="16" t="s">
        <v>126</v>
      </c>
      <c r="C1" s="17" t="s">
        <v>128</v>
      </c>
      <c r="D1" s="16" t="s">
        <v>129</v>
      </c>
      <c r="E1" s="16" t="s">
        <v>130</v>
      </c>
      <c r="F1" s="16" t="s">
        <v>2932</v>
      </c>
      <c r="G1" s="16" t="s">
        <v>69</v>
      </c>
      <c r="H1" s="16" t="s">
        <v>140</v>
      </c>
      <c r="I1" s="16" t="s">
        <v>2933</v>
      </c>
      <c r="J1" s="16" t="s">
        <v>2934</v>
      </c>
      <c r="K1" s="16" t="s">
        <v>2935</v>
      </c>
      <c r="L1" s="16" t="s">
        <v>2936</v>
      </c>
      <c r="M1" s="16" t="s">
        <v>2937</v>
      </c>
    </row>
    <row r="2" spans="1:13" ht="15.75" customHeight="1">
      <c r="A2" s="19" t="s">
        <v>141</v>
      </c>
      <c r="B2" s="19" t="s">
        <v>142</v>
      </c>
      <c r="C2" s="20">
        <v>2026</v>
      </c>
      <c r="D2" s="19" t="s">
        <v>144</v>
      </c>
      <c r="E2" s="19" t="s">
        <v>145</v>
      </c>
      <c r="F2" s="19" t="s">
        <v>2938</v>
      </c>
      <c r="G2" s="19" t="s">
        <v>2939</v>
      </c>
      <c r="H2" s="19"/>
      <c r="I2" s="19" t="s">
        <v>2940</v>
      </c>
      <c r="J2" s="19" t="s">
        <v>2941</v>
      </c>
      <c r="K2" s="19" t="s">
        <v>2942</v>
      </c>
      <c r="L2" s="19" t="s">
        <v>2943</v>
      </c>
      <c r="M2" s="19"/>
    </row>
    <row r="3" spans="1:13" ht="15.75" customHeight="1">
      <c r="A3" s="19" t="s">
        <v>150</v>
      </c>
      <c r="B3" s="19" t="s">
        <v>151</v>
      </c>
      <c r="C3" s="20">
        <v>2026</v>
      </c>
      <c r="D3" s="19" t="s">
        <v>153</v>
      </c>
      <c r="E3" s="19" t="s">
        <v>154</v>
      </c>
      <c r="F3" s="19" t="s">
        <v>2938</v>
      </c>
      <c r="G3" s="19" t="s">
        <v>2939</v>
      </c>
      <c r="H3" s="19"/>
      <c r="I3" s="19" t="s">
        <v>2944</v>
      </c>
      <c r="J3" s="19" t="s">
        <v>2945</v>
      </c>
      <c r="K3" s="19" t="s">
        <v>2946</v>
      </c>
      <c r="L3" s="19" t="s">
        <v>2943</v>
      </c>
      <c r="M3" s="19"/>
    </row>
    <row r="4" spans="1:13" ht="15.75" customHeight="1">
      <c r="A4" s="19" t="s">
        <v>158</v>
      </c>
      <c r="B4" s="19" t="s">
        <v>159</v>
      </c>
      <c r="C4" s="20">
        <v>2024</v>
      </c>
      <c r="D4" s="19" t="s">
        <v>161</v>
      </c>
      <c r="E4" s="19" t="s">
        <v>162</v>
      </c>
      <c r="F4" s="19" t="s">
        <v>2938</v>
      </c>
      <c r="G4" s="19" t="s">
        <v>2939</v>
      </c>
      <c r="H4" s="19"/>
      <c r="I4" s="19" t="s">
        <v>2940</v>
      </c>
      <c r="J4" s="19" t="s">
        <v>2947</v>
      </c>
      <c r="K4" s="19" t="s">
        <v>2948</v>
      </c>
      <c r="L4" s="19" t="s">
        <v>2943</v>
      </c>
      <c r="M4" s="19" t="s">
        <v>2949</v>
      </c>
    </row>
    <row r="5" spans="1:13" ht="15.75" customHeight="1">
      <c r="A5" s="19" t="s">
        <v>165</v>
      </c>
      <c r="B5" s="19" t="s">
        <v>166</v>
      </c>
      <c r="C5" s="20">
        <v>2026</v>
      </c>
      <c r="D5" s="19" t="s">
        <v>168</v>
      </c>
      <c r="E5" s="19" t="s">
        <v>169</v>
      </c>
      <c r="F5" s="19" t="s">
        <v>2938</v>
      </c>
      <c r="G5" s="19" t="s">
        <v>2939</v>
      </c>
      <c r="H5" s="19"/>
      <c r="I5" s="19" t="s">
        <v>2944</v>
      </c>
      <c r="J5" s="19" t="s">
        <v>2950</v>
      </c>
      <c r="K5" s="19" t="s">
        <v>2951</v>
      </c>
      <c r="L5" s="19" t="s">
        <v>2943</v>
      </c>
      <c r="M5" s="19"/>
    </row>
    <row r="6" spans="1:13" ht="15.75" customHeight="1">
      <c r="A6" s="19" t="s">
        <v>172</v>
      </c>
      <c r="B6" s="19" t="s">
        <v>173</v>
      </c>
      <c r="C6" s="20">
        <v>2026</v>
      </c>
      <c r="D6" s="19" t="s">
        <v>175</v>
      </c>
      <c r="E6" s="19" t="s">
        <v>176</v>
      </c>
      <c r="F6" s="19" t="s">
        <v>2938</v>
      </c>
      <c r="G6" s="19" t="s">
        <v>2939</v>
      </c>
      <c r="H6" s="19"/>
      <c r="I6" s="19" t="s">
        <v>2944</v>
      </c>
      <c r="J6" s="19" t="s">
        <v>2952</v>
      </c>
      <c r="K6" s="19" t="s">
        <v>2953</v>
      </c>
      <c r="L6" s="19" t="s">
        <v>2943</v>
      </c>
      <c r="M6" s="19"/>
    </row>
    <row r="7" spans="1:13" ht="15.75" customHeight="1">
      <c r="A7" s="19" t="s">
        <v>179</v>
      </c>
      <c r="B7" s="19" t="s">
        <v>180</v>
      </c>
      <c r="C7" s="20">
        <v>2026</v>
      </c>
      <c r="D7" s="19" t="s">
        <v>182</v>
      </c>
      <c r="E7" s="19" t="s">
        <v>183</v>
      </c>
      <c r="F7" s="19" t="s">
        <v>2938</v>
      </c>
      <c r="G7" s="19" t="s">
        <v>2939</v>
      </c>
      <c r="H7" s="19"/>
      <c r="I7" s="19" t="s">
        <v>2944</v>
      </c>
      <c r="J7" s="19" t="s">
        <v>2954</v>
      </c>
      <c r="K7" s="19" t="s">
        <v>2955</v>
      </c>
      <c r="L7" s="19" t="s">
        <v>2943</v>
      </c>
      <c r="M7" s="19"/>
    </row>
    <row r="8" spans="1:13" ht="15.75" customHeight="1">
      <c r="A8" s="19" t="s">
        <v>187</v>
      </c>
      <c r="B8" s="19" t="s">
        <v>188</v>
      </c>
      <c r="C8" s="20">
        <v>2026</v>
      </c>
      <c r="D8" s="19" t="s">
        <v>190</v>
      </c>
      <c r="E8" s="19" t="s">
        <v>191</v>
      </c>
      <c r="F8" s="19" t="s">
        <v>2938</v>
      </c>
      <c r="G8" s="19" t="s">
        <v>2939</v>
      </c>
      <c r="H8" s="19"/>
      <c r="I8" s="19" t="s">
        <v>2944</v>
      </c>
      <c r="J8" s="19" t="s">
        <v>2956</v>
      </c>
      <c r="K8" s="19" t="s">
        <v>2957</v>
      </c>
      <c r="L8" s="19" t="s">
        <v>2943</v>
      </c>
      <c r="M8" s="19"/>
    </row>
    <row r="9" spans="1:13" ht="15.75" customHeight="1">
      <c r="A9" s="19" t="s">
        <v>196</v>
      </c>
      <c r="B9" s="19" t="s">
        <v>110</v>
      </c>
      <c r="C9" s="20">
        <v>2026</v>
      </c>
      <c r="D9" s="19" t="s">
        <v>198</v>
      </c>
      <c r="E9" s="19" t="s">
        <v>199</v>
      </c>
      <c r="F9" s="19" t="s">
        <v>2938</v>
      </c>
      <c r="G9" s="19" t="s">
        <v>2939</v>
      </c>
      <c r="H9" s="19"/>
      <c r="I9" s="19" t="s">
        <v>2944</v>
      </c>
      <c r="J9" s="19" t="s">
        <v>2958</v>
      </c>
      <c r="K9" s="19" t="s">
        <v>2959</v>
      </c>
      <c r="L9" s="19" t="s">
        <v>2943</v>
      </c>
      <c r="M9" s="19"/>
    </row>
    <row r="10" spans="1:13" ht="15.75" customHeight="1">
      <c r="A10" s="19" t="s">
        <v>203</v>
      </c>
      <c r="B10" s="19" t="s">
        <v>204</v>
      </c>
      <c r="C10" s="20">
        <v>2026</v>
      </c>
      <c r="D10" s="19" t="s">
        <v>206</v>
      </c>
      <c r="E10" s="19" t="s">
        <v>207</v>
      </c>
      <c r="F10" s="19" t="s">
        <v>2938</v>
      </c>
      <c r="G10" s="19" t="s">
        <v>2939</v>
      </c>
      <c r="H10" s="19"/>
      <c r="I10" s="19" t="s">
        <v>2940</v>
      </c>
      <c r="J10" s="19" t="s">
        <v>2960</v>
      </c>
      <c r="K10" s="19" t="s">
        <v>2961</v>
      </c>
      <c r="L10" s="19" t="s">
        <v>2943</v>
      </c>
      <c r="M10" s="19"/>
    </row>
    <row r="11" spans="1:13" ht="15.75" customHeight="1">
      <c r="A11" s="19" t="s">
        <v>211</v>
      </c>
      <c r="B11" s="19" t="s">
        <v>212</v>
      </c>
      <c r="C11" s="20">
        <v>2024</v>
      </c>
      <c r="D11" s="19" t="s">
        <v>214</v>
      </c>
      <c r="E11" s="19" t="s">
        <v>215</v>
      </c>
      <c r="F11" s="19" t="s">
        <v>2938</v>
      </c>
      <c r="G11" s="19" t="s">
        <v>2939</v>
      </c>
      <c r="H11" s="19"/>
      <c r="I11" s="19" t="s">
        <v>2944</v>
      </c>
      <c r="J11" s="19" t="s">
        <v>2962</v>
      </c>
      <c r="K11" s="19" t="s">
        <v>2963</v>
      </c>
      <c r="L11" s="19" t="s">
        <v>2943</v>
      </c>
      <c r="M11" s="19"/>
    </row>
    <row r="12" spans="1:13" ht="15.75" hidden="1" customHeight="1">
      <c r="A12" s="19" t="s">
        <v>219</v>
      </c>
      <c r="B12" s="19" t="s">
        <v>220</v>
      </c>
      <c r="C12" s="20">
        <v>2023</v>
      </c>
      <c r="D12" s="19" t="s">
        <v>222</v>
      </c>
      <c r="E12" s="19" t="s">
        <v>223</v>
      </c>
      <c r="F12" s="19" t="s">
        <v>2938</v>
      </c>
      <c r="G12" s="19" t="s">
        <v>2964</v>
      </c>
      <c r="H12" s="19" t="s">
        <v>227</v>
      </c>
      <c r="I12" s="19" t="s">
        <v>2940</v>
      </c>
      <c r="J12" s="19" t="s">
        <v>2965</v>
      </c>
      <c r="K12" s="19" t="s">
        <v>2966</v>
      </c>
      <c r="L12" s="19" t="s">
        <v>2943</v>
      </c>
      <c r="M12" s="19"/>
    </row>
    <row r="13" spans="1:13" ht="15.75" customHeight="1">
      <c r="A13" s="19" t="s">
        <v>228</v>
      </c>
      <c r="B13" s="19" t="s">
        <v>229</v>
      </c>
      <c r="C13" s="20">
        <v>2026</v>
      </c>
      <c r="D13" s="19" t="s">
        <v>231</v>
      </c>
      <c r="E13" s="19" t="s">
        <v>232</v>
      </c>
      <c r="F13" s="19" t="s">
        <v>2938</v>
      </c>
      <c r="G13" s="19" t="s">
        <v>2939</v>
      </c>
      <c r="H13" s="19"/>
      <c r="I13" s="19" t="s">
        <v>2944</v>
      </c>
      <c r="J13" s="19" t="s">
        <v>2967</v>
      </c>
      <c r="K13" s="19" t="s">
        <v>2968</v>
      </c>
      <c r="L13" s="19" t="s">
        <v>2943</v>
      </c>
      <c r="M13" s="19"/>
    </row>
    <row r="14" spans="1:13" ht="15.75" customHeight="1">
      <c r="A14" s="19" t="s">
        <v>236</v>
      </c>
      <c r="B14" s="19" t="s">
        <v>237</v>
      </c>
      <c r="C14" s="20">
        <v>2026</v>
      </c>
      <c r="D14" s="19" t="s">
        <v>239</v>
      </c>
      <c r="E14" s="19" t="s">
        <v>240</v>
      </c>
      <c r="F14" s="19" t="s">
        <v>2938</v>
      </c>
      <c r="G14" s="19" t="s">
        <v>2939</v>
      </c>
      <c r="H14" s="19"/>
      <c r="I14" s="19" t="s">
        <v>2944</v>
      </c>
      <c r="J14" s="19" t="s">
        <v>2969</v>
      </c>
      <c r="K14" s="19" t="s">
        <v>2970</v>
      </c>
      <c r="L14" s="19" t="s">
        <v>2943</v>
      </c>
      <c r="M14" s="19"/>
    </row>
    <row r="15" spans="1:13" ht="15.75" customHeight="1">
      <c r="A15" s="19" t="s">
        <v>244</v>
      </c>
      <c r="B15" s="19" t="s">
        <v>245</v>
      </c>
      <c r="C15" s="20">
        <v>2026</v>
      </c>
      <c r="D15" s="19" t="s">
        <v>247</v>
      </c>
      <c r="E15" s="19" t="s">
        <v>248</v>
      </c>
      <c r="F15" s="19" t="s">
        <v>2938</v>
      </c>
      <c r="G15" s="19" t="s">
        <v>2939</v>
      </c>
      <c r="H15" s="19"/>
      <c r="I15" s="19" t="s">
        <v>2944</v>
      </c>
      <c r="J15" s="19" t="s">
        <v>2971</v>
      </c>
      <c r="K15" s="19" t="s">
        <v>2972</v>
      </c>
      <c r="L15" s="19" t="s">
        <v>2943</v>
      </c>
      <c r="M15" s="19"/>
    </row>
    <row r="16" spans="1:13" ht="15.75" customHeight="1">
      <c r="A16" s="19" t="s">
        <v>252</v>
      </c>
      <c r="B16" s="19" t="s">
        <v>253</v>
      </c>
      <c r="C16" s="20">
        <v>2026</v>
      </c>
      <c r="D16" s="19" t="s">
        <v>255</v>
      </c>
      <c r="E16" s="19" t="s">
        <v>256</v>
      </c>
      <c r="F16" s="19" t="s">
        <v>2938</v>
      </c>
      <c r="G16" s="19" t="s">
        <v>2939</v>
      </c>
      <c r="H16" s="19"/>
      <c r="I16" s="19" t="s">
        <v>2944</v>
      </c>
      <c r="J16" s="19" t="s">
        <v>2973</v>
      </c>
      <c r="K16" s="19" t="s">
        <v>2974</v>
      </c>
      <c r="L16" s="19" t="s">
        <v>2943</v>
      </c>
    </row>
    <row r="17" spans="1:13" ht="15.75" customHeight="1">
      <c r="A17" s="19" t="s">
        <v>260</v>
      </c>
      <c r="B17" s="19" t="s">
        <v>261</v>
      </c>
      <c r="C17" s="20">
        <v>2025</v>
      </c>
      <c r="D17" s="19" t="s">
        <v>144</v>
      </c>
      <c r="E17" s="19" t="s">
        <v>263</v>
      </c>
      <c r="F17" s="19" t="s">
        <v>2938</v>
      </c>
      <c r="G17" s="19" t="s">
        <v>2939</v>
      </c>
      <c r="H17" s="19"/>
      <c r="I17" s="19" t="s">
        <v>2940</v>
      </c>
      <c r="J17" s="19" t="s">
        <v>2975</v>
      </c>
      <c r="K17" s="19" t="s">
        <v>2976</v>
      </c>
      <c r="L17" s="19" t="s">
        <v>2943</v>
      </c>
      <c r="M17" s="19" t="s">
        <v>2977</v>
      </c>
    </row>
    <row r="18" spans="1:13" ht="15.75" customHeight="1">
      <c r="A18" s="19" t="s">
        <v>266</v>
      </c>
      <c r="B18" s="19" t="s">
        <v>267</v>
      </c>
      <c r="C18" s="20">
        <v>2024</v>
      </c>
      <c r="D18" s="19" t="s">
        <v>269</v>
      </c>
      <c r="E18" s="19" t="s">
        <v>270</v>
      </c>
      <c r="F18" s="19" t="s">
        <v>2938</v>
      </c>
      <c r="G18" s="19" t="s">
        <v>2939</v>
      </c>
      <c r="H18" s="19"/>
      <c r="I18" s="19" t="s">
        <v>2944</v>
      </c>
      <c r="J18" s="19" t="s">
        <v>2978</v>
      </c>
      <c r="K18" s="19" t="s">
        <v>2979</v>
      </c>
      <c r="L18" s="19" t="s">
        <v>2943</v>
      </c>
      <c r="M18" s="19"/>
    </row>
    <row r="19" spans="1:13" ht="15.75" customHeight="1">
      <c r="A19" s="19" t="s">
        <v>274</v>
      </c>
      <c r="B19" s="19" t="s">
        <v>275</v>
      </c>
      <c r="C19" s="20">
        <v>2026</v>
      </c>
      <c r="D19" s="19" t="s">
        <v>277</v>
      </c>
      <c r="E19" s="19" t="s">
        <v>278</v>
      </c>
      <c r="F19" s="19" t="s">
        <v>2938</v>
      </c>
      <c r="G19" s="19" t="s">
        <v>2939</v>
      </c>
      <c r="H19" s="19"/>
      <c r="I19" s="19" t="s">
        <v>2944</v>
      </c>
      <c r="J19" s="19" t="s">
        <v>2980</v>
      </c>
      <c r="K19" s="19" t="s">
        <v>2981</v>
      </c>
      <c r="L19" s="19" t="s">
        <v>2943</v>
      </c>
      <c r="M19" s="19"/>
    </row>
    <row r="20" spans="1:13" ht="15.75" customHeight="1">
      <c r="A20" s="19" t="s">
        <v>282</v>
      </c>
      <c r="B20" s="19" t="s">
        <v>283</v>
      </c>
      <c r="C20" s="20">
        <v>2022</v>
      </c>
      <c r="D20" s="19" t="s">
        <v>285</v>
      </c>
      <c r="E20" s="19" t="s">
        <v>286</v>
      </c>
      <c r="F20" s="19" t="s">
        <v>2938</v>
      </c>
      <c r="G20" s="19" t="s">
        <v>2939</v>
      </c>
      <c r="H20" s="19"/>
      <c r="I20" s="19" t="s">
        <v>2944</v>
      </c>
      <c r="J20" s="19" t="s">
        <v>2982</v>
      </c>
      <c r="K20" s="19" t="s">
        <v>2983</v>
      </c>
      <c r="L20" s="19" t="s">
        <v>2943</v>
      </c>
      <c r="M20" s="19"/>
    </row>
    <row r="21" spans="1:13" ht="15.75" customHeight="1">
      <c r="A21" s="19" t="s">
        <v>289</v>
      </c>
      <c r="B21" s="19" t="s">
        <v>290</v>
      </c>
      <c r="C21" s="20">
        <v>2026</v>
      </c>
      <c r="D21" s="19" t="s">
        <v>292</v>
      </c>
      <c r="E21" s="19" t="s">
        <v>293</v>
      </c>
      <c r="F21" s="19" t="s">
        <v>2938</v>
      </c>
      <c r="G21" s="19" t="s">
        <v>2939</v>
      </c>
      <c r="H21" s="19"/>
      <c r="I21" s="19" t="s">
        <v>2940</v>
      </c>
      <c r="J21" s="19" t="s">
        <v>2984</v>
      </c>
      <c r="K21" s="19" t="s">
        <v>2985</v>
      </c>
      <c r="L21" s="19" t="s">
        <v>2943</v>
      </c>
      <c r="M21" s="19"/>
    </row>
    <row r="22" spans="1:13" ht="15.75" hidden="1" customHeight="1">
      <c r="A22" s="19" t="s">
        <v>297</v>
      </c>
      <c r="B22" s="19" t="s">
        <v>298</v>
      </c>
      <c r="C22" s="20">
        <v>2020</v>
      </c>
      <c r="D22" s="19" t="s">
        <v>300</v>
      </c>
      <c r="E22" s="19" t="s">
        <v>301</v>
      </c>
      <c r="F22" s="19" t="s">
        <v>2938</v>
      </c>
      <c r="G22" s="19" t="s">
        <v>2964</v>
      </c>
      <c r="H22" s="19" t="s">
        <v>305</v>
      </c>
      <c r="I22" s="19" t="s">
        <v>2944</v>
      </c>
      <c r="J22" s="19" t="s">
        <v>2986</v>
      </c>
      <c r="K22" s="19" t="s">
        <v>2987</v>
      </c>
      <c r="L22" s="19" t="s">
        <v>2943</v>
      </c>
      <c r="M22" s="19"/>
    </row>
    <row r="23" spans="1:13" ht="15.75" customHeight="1">
      <c r="A23" s="19" t="s">
        <v>306</v>
      </c>
      <c r="B23" s="19" t="s">
        <v>307</v>
      </c>
      <c r="C23" s="20">
        <v>2026</v>
      </c>
      <c r="D23" s="19" t="s">
        <v>309</v>
      </c>
      <c r="E23" s="19" t="s">
        <v>310</v>
      </c>
      <c r="F23" s="19" t="s">
        <v>2938</v>
      </c>
      <c r="G23" s="19" t="s">
        <v>2939</v>
      </c>
      <c r="H23" s="19"/>
      <c r="I23" s="19" t="s">
        <v>2944</v>
      </c>
      <c r="J23" s="19" t="s">
        <v>2988</v>
      </c>
      <c r="K23" s="19" t="s">
        <v>2989</v>
      </c>
      <c r="L23" s="19" t="s">
        <v>2943</v>
      </c>
      <c r="M23" s="19"/>
    </row>
    <row r="24" spans="1:13" ht="15.75" customHeight="1">
      <c r="A24" s="19" t="s">
        <v>314</v>
      </c>
      <c r="B24" s="19" t="s">
        <v>315</v>
      </c>
      <c r="C24" s="20">
        <v>2026</v>
      </c>
      <c r="D24" s="19" t="s">
        <v>317</v>
      </c>
      <c r="E24" s="19" t="s">
        <v>318</v>
      </c>
      <c r="F24" s="19" t="s">
        <v>2938</v>
      </c>
      <c r="G24" s="19" t="s">
        <v>2939</v>
      </c>
      <c r="H24" s="19"/>
      <c r="I24" s="19" t="s">
        <v>2940</v>
      </c>
      <c r="J24" s="19" t="s">
        <v>2990</v>
      </c>
      <c r="K24" s="19" t="s">
        <v>2991</v>
      </c>
      <c r="L24" s="19" t="s">
        <v>2943</v>
      </c>
      <c r="M24" s="19"/>
    </row>
    <row r="25" spans="1:13" ht="15.75" hidden="1" customHeight="1">
      <c r="A25" s="19" t="s">
        <v>322</v>
      </c>
      <c r="B25" s="19" t="s">
        <v>323</v>
      </c>
      <c r="C25" s="20">
        <v>2025</v>
      </c>
      <c r="D25" s="19" t="s">
        <v>325</v>
      </c>
      <c r="E25" s="19" t="s">
        <v>326</v>
      </c>
      <c r="F25" s="19" t="s">
        <v>2938</v>
      </c>
      <c r="G25" s="19" t="s">
        <v>2964</v>
      </c>
      <c r="H25" s="19" t="s">
        <v>305</v>
      </c>
      <c r="I25" s="19" t="s">
        <v>2944</v>
      </c>
      <c r="J25" s="19" t="s">
        <v>2992</v>
      </c>
      <c r="K25" s="19" t="s">
        <v>2993</v>
      </c>
      <c r="L25" s="19" t="s">
        <v>2943</v>
      </c>
      <c r="M25" s="19"/>
    </row>
    <row r="26" spans="1:13" ht="15.75" hidden="1" customHeight="1">
      <c r="A26" s="19" t="s">
        <v>329</v>
      </c>
      <c r="B26" s="19" t="s">
        <v>330</v>
      </c>
      <c r="C26" s="20">
        <v>2013</v>
      </c>
      <c r="D26" s="19" t="s">
        <v>332</v>
      </c>
      <c r="E26" s="19" t="s">
        <v>333</v>
      </c>
      <c r="F26" s="19" t="s">
        <v>2938</v>
      </c>
      <c r="G26" s="19" t="s">
        <v>2964</v>
      </c>
      <c r="H26" s="19" t="s">
        <v>833</v>
      </c>
      <c r="I26" s="19" t="s">
        <v>2944</v>
      </c>
      <c r="J26" s="19" t="s">
        <v>2994</v>
      </c>
      <c r="K26" s="19" t="s">
        <v>2995</v>
      </c>
      <c r="L26" s="19" t="s">
        <v>2943</v>
      </c>
      <c r="M26" s="19"/>
    </row>
    <row r="27" spans="1:13" ht="15.75" customHeight="1">
      <c r="A27" s="19" t="s">
        <v>338</v>
      </c>
      <c r="B27" s="19" t="s">
        <v>339</v>
      </c>
      <c r="C27" s="20">
        <v>2026</v>
      </c>
      <c r="D27" s="19" t="s">
        <v>239</v>
      </c>
      <c r="E27" s="19" t="s">
        <v>341</v>
      </c>
      <c r="F27" s="19" t="s">
        <v>2938</v>
      </c>
      <c r="G27" s="19" t="s">
        <v>2939</v>
      </c>
      <c r="H27" s="19"/>
      <c r="I27" s="19" t="s">
        <v>2944</v>
      </c>
      <c r="J27" s="19" t="s">
        <v>2996</v>
      </c>
      <c r="K27" s="19" t="s">
        <v>2997</v>
      </c>
      <c r="L27" s="19" t="s">
        <v>2943</v>
      </c>
      <c r="M27" s="19"/>
    </row>
    <row r="28" spans="1:13" ht="15.75" customHeight="1">
      <c r="A28" s="19" t="s">
        <v>345</v>
      </c>
      <c r="B28" s="19" t="s">
        <v>346</v>
      </c>
      <c r="C28" s="20">
        <v>2025</v>
      </c>
      <c r="D28" s="19" t="s">
        <v>348</v>
      </c>
      <c r="E28" s="19" t="s">
        <v>349</v>
      </c>
      <c r="F28" s="19" t="s">
        <v>2938</v>
      </c>
      <c r="G28" s="19" t="s">
        <v>2939</v>
      </c>
      <c r="H28" s="19"/>
      <c r="I28" s="19" t="s">
        <v>2940</v>
      </c>
      <c r="J28" s="19" t="s">
        <v>2998</v>
      </c>
      <c r="K28" s="19" t="s">
        <v>2999</v>
      </c>
      <c r="L28" s="19" t="s">
        <v>2943</v>
      </c>
      <c r="M28" s="19"/>
    </row>
    <row r="29" spans="1:13" ht="15.75" customHeight="1">
      <c r="A29" s="19" t="s">
        <v>353</v>
      </c>
      <c r="B29" s="19" t="s">
        <v>354</v>
      </c>
      <c r="C29" s="20">
        <v>2025</v>
      </c>
      <c r="D29" s="19" t="s">
        <v>356</v>
      </c>
      <c r="E29" s="19" t="s">
        <v>357</v>
      </c>
      <c r="F29" s="19" t="s">
        <v>2938</v>
      </c>
      <c r="G29" s="19" t="s">
        <v>2939</v>
      </c>
      <c r="H29" s="19"/>
      <c r="I29" s="19" t="s">
        <v>2940</v>
      </c>
      <c r="J29" s="19" t="s">
        <v>3000</v>
      </c>
      <c r="K29" s="19" t="s">
        <v>3001</v>
      </c>
      <c r="L29" s="19" t="s">
        <v>2943</v>
      </c>
      <c r="M29" s="19"/>
    </row>
    <row r="30" spans="1:13" ht="15.75" customHeight="1">
      <c r="A30" s="19" t="s">
        <v>362</v>
      </c>
      <c r="B30" s="19" t="s">
        <v>363</v>
      </c>
      <c r="C30" s="20">
        <v>2025</v>
      </c>
      <c r="D30" s="19" t="s">
        <v>365</v>
      </c>
      <c r="E30" s="19" t="s">
        <v>366</v>
      </c>
      <c r="F30" s="19" t="s">
        <v>2938</v>
      </c>
      <c r="G30" s="19" t="s">
        <v>2939</v>
      </c>
      <c r="H30" s="19"/>
      <c r="I30" s="19" t="s">
        <v>2944</v>
      </c>
      <c r="J30" s="19" t="s">
        <v>3002</v>
      </c>
      <c r="K30" s="19" t="s">
        <v>3003</v>
      </c>
      <c r="L30" s="19" t="s">
        <v>2943</v>
      </c>
      <c r="M30" s="19"/>
    </row>
    <row r="31" spans="1:13" ht="15.75" hidden="1" customHeight="1">
      <c r="A31" s="19" t="s">
        <v>369</v>
      </c>
      <c r="B31" s="19" t="s">
        <v>370</v>
      </c>
      <c r="C31" s="20">
        <v>2026</v>
      </c>
      <c r="D31" s="19" t="s">
        <v>255</v>
      </c>
      <c r="E31" s="19" t="s">
        <v>372</v>
      </c>
      <c r="F31" s="19" t="s">
        <v>2938</v>
      </c>
      <c r="G31" s="19" t="s">
        <v>2964</v>
      </c>
      <c r="H31" s="19" t="s">
        <v>3004</v>
      </c>
      <c r="I31" s="19" t="s">
        <v>2944</v>
      </c>
      <c r="J31" s="19" t="s">
        <v>3005</v>
      </c>
      <c r="K31" s="19" t="s">
        <v>3006</v>
      </c>
      <c r="L31" s="19" t="s">
        <v>2943</v>
      </c>
      <c r="M31" s="19" t="s">
        <v>3007</v>
      </c>
    </row>
    <row r="32" spans="1:13" ht="15.75" customHeight="1">
      <c r="A32" s="19" t="s">
        <v>377</v>
      </c>
      <c r="B32" s="19" t="s">
        <v>378</v>
      </c>
      <c r="C32" s="20">
        <v>2026</v>
      </c>
      <c r="D32" s="19" t="s">
        <v>380</v>
      </c>
      <c r="E32" s="19" t="s">
        <v>381</v>
      </c>
      <c r="F32" s="19" t="s">
        <v>2938</v>
      </c>
      <c r="G32" s="19" t="s">
        <v>2939</v>
      </c>
      <c r="H32" s="19"/>
      <c r="I32" s="19" t="s">
        <v>2944</v>
      </c>
      <c r="J32" s="19" t="s">
        <v>3008</v>
      </c>
      <c r="K32" s="19" t="s">
        <v>3009</v>
      </c>
      <c r="L32" s="19" t="s">
        <v>2943</v>
      </c>
      <c r="M32" s="19"/>
    </row>
    <row r="33" spans="1:13" ht="15.75" customHeight="1">
      <c r="A33" s="19" t="s">
        <v>385</v>
      </c>
      <c r="B33" s="19" t="s">
        <v>107</v>
      </c>
      <c r="C33" s="20">
        <v>2026</v>
      </c>
      <c r="D33" s="19" t="s">
        <v>292</v>
      </c>
      <c r="E33" s="19" t="s">
        <v>387</v>
      </c>
      <c r="F33" s="19" t="s">
        <v>2938</v>
      </c>
      <c r="G33" s="19" t="s">
        <v>2939</v>
      </c>
      <c r="H33" s="19"/>
      <c r="I33" s="19" t="s">
        <v>2944</v>
      </c>
      <c r="J33" s="19" t="s">
        <v>3010</v>
      </c>
      <c r="K33" s="19" t="s">
        <v>3011</v>
      </c>
      <c r="L33" s="19" t="s">
        <v>2943</v>
      </c>
      <c r="M33" s="19"/>
    </row>
    <row r="34" spans="1:13" ht="15.75" hidden="1" customHeight="1">
      <c r="A34" s="19" t="s">
        <v>390</v>
      </c>
      <c r="B34" s="19" t="s">
        <v>391</v>
      </c>
      <c r="C34" s="20">
        <v>2022</v>
      </c>
      <c r="D34" s="19" t="s">
        <v>393</v>
      </c>
      <c r="E34" s="19" t="s">
        <v>394</v>
      </c>
      <c r="F34" s="19" t="s">
        <v>2938</v>
      </c>
      <c r="G34" s="19" t="s">
        <v>2964</v>
      </c>
      <c r="H34" s="19" t="s">
        <v>3004</v>
      </c>
      <c r="I34" s="19" t="s">
        <v>2944</v>
      </c>
      <c r="J34" s="19" t="s">
        <v>3012</v>
      </c>
      <c r="K34" s="19" t="s">
        <v>3013</v>
      </c>
      <c r="L34" s="19" t="s">
        <v>2943</v>
      </c>
      <c r="M34" s="19" t="s">
        <v>3014</v>
      </c>
    </row>
    <row r="35" spans="1:13" ht="15.75" customHeight="1">
      <c r="A35" s="19" t="s">
        <v>398</v>
      </c>
      <c r="B35" s="19" t="s">
        <v>399</v>
      </c>
      <c r="C35" s="20">
        <v>2026</v>
      </c>
      <c r="D35" s="19" t="s">
        <v>198</v>
      </c>
      <c r="E35" s="19" t="s">
        <v>401</v>
      </c>
      <c r="F35" s="19" t="s">
        <v>2938</v>
      </c>
      <c r="G35" s="19" t="s">
        <v>2939</v>
      </c>
      <c r="H35" s="19"/>
      <c r="I35" s="19" t="s">
        <v>2940</v>
      </c>
      <c r="J35" s="19" t="s">
        <v>3015</v>
      </c>
      <c r="K35" s="19" t="s">
        <v>3016</v>
      </c>
      <c r="L35" s="19" t="s">
        <v>2943</v>
      </c>
      <c r="M35" s="19"/>
    </row>
    <row r="36" spans="1:13" ht="15.75" customHeight="1">
      <c r="A36" s="19" t="s">
        <v>405</v>
      </c>
      <c r="B36" s="19" t="s">
        <v>406</v>
      </c>
      <c r="C36" s="20">
        <v>2024</v>
      </c>
      <c r="D36" s="19" t="s">
        <v>269</v>
      </c>
      <c r="E36" s="19" t="s">
        <v>408</v>
      </c>
      <c r="F36" s="19" t="s">
        <v>2938</v>
      </c>
      <c r="G36" s="19" t="s">
        <v>2939</v>
      </c>
      <c r="H36" s="19"/>
      <c r="I36" s="19" t="s">
        <v>2944</v>
      </c>
      <c r="J36" s="19" t="s">
        <v>3017</v>
      </c>
      <c r="K36" s="19" t="s">
        <v>3018</v>
      </c>
      <c r="L36" s="19" t="s">
        <v>2943</v>
      </c>
      <c r="M36" s="19"/>
    </row>
    <row r="37" spans="1:13" ht="15.75" hidden="1" customHeight="1">
      <c r="A37" s="19" t="s">
        <v>412</v>
      </c>
      <c r="B37" s="19" t="s">
        <v>413</v>
      </c>
      <c r="C37" s="20">
        <v>2021</v>
      </c>
      <c r="D37" s="19" t="s">
        <v>415</v>
      </c>
      <c r="E37" s="19" t="s">
        <v>416</v>
      </c>
      <c r="F37" s="19" t="s">
        <v>2938</v>
      </c>
      <c r="G37" s="19" t="s">
        <v>2964</v>
      </c>
      <c r="H37" s="19" t="s">
        <v>305</v>
      </c>
      <c r="I37" s="19" t="s">
        <v>2944</v>
      </c>
      <c r="J37" s="19" t="s">
        <v>3019</v>
      </c>
      <c r="K37" s="19" t="s">
        <v>3020</v>
      </c>
      <c r="L37" s="19" t="s">
        <v>2943</v>
      </c>
      <c r="M37" s="19"/>
    </row>
    <row r="38" spans="1:13" ht="15.75" customHeight="1">
      <c r="A38" s="19" t="s">
        <v>419</v>
      </c>
      <c r="B38" s="19" t="s">
        <v>420</v>
      </c>
      <c r="C38" s="20">
        <v>2024</v>
      </c>
      <c r="D38" s="19" t="s">
        <v>422</v>
      </c>
      <c r="E38" s="19" t="s">
        <v>423</v>
      </c>
      <c r="F38" s="19" t="s">
        <v>2938</v>
      </c>
      <c r="G38" s="19" t="s">
        <v>2939</v>
      </c>
      <c r="H38" s="19"/>
      <c r="I38" s="19" t="s">
        <v>2944</v>
      </c>
      <c r="J38" s="19" t="s">
        <v>3021</v>
      </c>
      <c r="K38" s="19" t="s">
        <v>3022</v>
      </c>
      <c r="L38" s="19" t="s">
        <v>2943</v>
      </c>
      <c r="M38" s="19"/>
    </row>
    <row r="39" spans="1:13" ht="15.75" hidden="1" customHeight="1">
      <c r="A39" s="19" t="s">
        <v>427</v>
      </c>
      <c r="B39" s="19" t="s">
        <v>428</v>
      </c>
      <c r="C39" s="20">
        <v>2025</v>
      </c>
      <c r="D39" s="19" t="s">
        <v>430</v>
      </c>
      <c r="E39" s="19" t="s">
        <v>431</v>
      </c>
      <c r="F39" s="19" t="s">
        <v>2938</v>
      </c>
      <c r="G39" s="19" t="s">
        <v>2964</v>
      </c>
      <c r="H39" s="19" t="s">
        <v>434</v>
      </c>
      <c r="I39" s="19" t="s">
        <v>2940</v>
      </c>
      <c r="J39" s="19" t="s">
        <v>3023</v>
      </c>
      <c r="K39" s="19" t="s">
        <v>3024</v>
      </c>
      <c r="L39" s="19" t="s">
        <v>2943</v>
      </c>
      <c r="M39" s="19"/>
    </row>
    <row r="40" spans="1:13" ht="15.75" customHeight="1">
      <c r="A40" s="19" t="s">
        <v>435</v>
      </c>
      <c r="B40" s="19" t="s">
        <v>436</v>
      </c>
      <c r="C40" s="20">
        <v>2024</v>
      </c>
      <c r="D40" s="19" t="s">
        <v>438</v>
      </c>
      <c r="E40" s="19" t="s">
        <v>439</v>
      </c>
      <c r="F40" s="19" t="s">
        <v>2938</v>
      </c>
      <c r="G40" s="19" t="s">
        <v>2939</v>
      </c>
      <c r="H40" s="19"/>
      <c r="I40" s="19" t="s">
        <v>2940</v>
      </c>
      <c r="J40" s="19" t="s">
        <v>3025</v>
      </c>
      <c r="K40" s="19" t="s">
        <v>3026</v>
      </c>
      <c r="L40" s="19" t="s">
        <v>2943</v>
      </c>
      <c r="M40" s="19" t="s">
        <v>3027</v>
      </c>
    </row>
    <row r="41" spans="1:13" ht="15.75" customHeight="1">
      <c r="A41" s="19" t="s">
        <v>443</v>
      </c>
      <c r="B41" s="19" t="s">
        <v>444</v>
      </c>
      <c r="C41" s="20">
        <v>2026</v>
      </c>
      <c r="D41" s="19" t="s">
        <v>415</v>
      </c>
      <c r="E41" s="19" t="s">
        <v>446</v>
      </c>
      <c r="F41" s="19" t="s">
        <v>2938</v>
      </c>
      <c r="G41" s="19" t="s">
        <v>2939</v>
      </c>
      <c r="H41" s="19"/>
      <c r="I41" s="19" t="s">
        <v>2940</v>
      </c>
      <c r="J41" s="19" t="s">
        <v>3028</v>
      </c>
      <c r="K41" s="19" t="s">
        <v>3029</v>
      </c>
      <c r="L41" s="19" t="s">
        <v>2943</v>
      </c>
    </row>
    <row r="42" spans="1:13" ht="15.75" customHeight="1">
      <c r="A42" s="19" t="s">
        <v>450</v>
      </c>
      <c r="B42" s="19" t="s">
        <v>451</v>
      </c>
      <c r="C42" s="20">
        <v>2026</v>
      </c>
      <c r="D42" s="19" t="s">
        <v>453</v>
      </c>
      <c r="E42" s="19" t="s">
        <v>454</v>
      </c>
      <c r="F42" s="19" t="s">
        <v>2938</v>
      </c>
      <c r="G42" s="19" t="s">
        <v>2939</v>
      </c>
      <c r="H42" s="19"/>
      <c r="I42" s="19" t="s">
        <v>2944</v>
      </c>
      <c r="J42" s="19" t="s">
        <v>3030</v>
      </c>
      <c r="K42" s="19" t="s">
        <v>3031</v>
      </c>
      <c r="L42" s="19" t="s">
        <v>2943</v>
      </c>
      <c r="M42" s="19"/>
    </row>
    <row r="43" spans="1:13" ht="15.75" hidden="1" customHeight="1">
      <c r="A43" s="19" t="s">
        <v>458</v>
      </c>
      <c r="B43" s="19" t="s">
        <v>459</v>
      </c>
      <c r="C43" s="20">
        <v>2021</v>
      </c>
      <c r="D43" s="19" t="s">
        <v>461</v>
      </c>
      <c r="E43" s="19" t="s">
        <v>462</v>
      </c>
      <c r="F43" s="19" t="s">
        <v>2938</v>
      </c>
      <c r="G43" s="19" t="s">
        <v>2964</v>
      </c>
      <c r="H43" s="19" t="s">
        <v>305</v>
      </c>
      <c r="I43" s="19" t="s">
        <v>2944</v>
      </c>
      <c r="J43" s="19" t="s">
        <v>3032</v>
      </c>
      <c r="K43" s="19" t="s">
        <v>3033</v>
      </c>
      <c r="L43" s="19" t="s">
        <v>2943</v>
      </c>
      <c r="M43" s="19"/>
    </row>
    <row r="44" spans="1:13" ht="15.75" customHeight="1">
      <c r="A44" s="19" t="s">
        <v>466</v>
      </c>
      <c r="B44" s="19" t="s">
        <v>467</v>
      </c>
      <c r="C44" s="20">
        <v>2023</v>
      </c>
      <c r="D44" s="19" t="s">
        <v>255</v>
      </c>
      <c r="E44" s="19" t="s">
        <v>469</v>
      </c>
      <c r="F44" s="19" t="s">
        <v>2938</v>
      </c>
      <c r="G44" s="19" t="s">
        <v>2939</v>
      </c>
      <c r="H44" s="19"/>
      <c r="I44" s="19" t="s">
        <v>3034</v>
      </c>
      <c r="J44" s="19" t="s">
        <v>3035</v>
      </c>
      <c r="K44" s="19" t="s">
        <v>3036</v>
      </c>
      <c r="L44" s="19" t="s">
        <v>2943</v>
      </c>
      <c r="M44" s="19" t="s">
        <v>3037</v>
      </c>
    </row>
    <row r="45" spans="1:13" ht="15.75" hidden="1" customHeight="1">
      <c r="A45" s="19" t="s">
        <v>473</v>
      </c>
      <c r="B45" s="19" t="s">
        <v>474</v>
      </c>
      <c r="C45" s="20">
        <v>2004</v>
      </c>
      <c r="D45" s="19" t="s">
        <v>476</v>
      </c>
      <c r="E45" s="19" t="s">
        <v>477</v>
      </c>
      <c r="F45" s="19" t="s">
        <v>2938</v>
      </c>
      <c r="G45" s="19" t="s">
        <v>2964</v>
      </c>
      <c r="H45" s="19" t="s">
        <v>481</v>
      </c>
      <c r="I45" s="19" t="s">
        <v>2944</v>
      </c>
      <c r="J45" s="19" t="s">
        <v>3038</v>
      </c>
      <c r="K45" s="19" t="s">
        <v>3039</v>
      </c>
      <c r="L45" s="19" t="s">
        <v>2943</v>
      </c>
      <c r="M45" s="19"/>
    </row>
    <row r="46" spans="1:13" ht="15.75" customHeight="1">
      <c r="A46" s="19" t="s">
        <v>482</v>
      </c>
      <c r="B46" s="19" t="s">
        <v>483</v>
      </c>
      <c r="C46" s="20">
        <v>2026</v>
      </c>
      <c r="D46" s="19" t="s">
        <v>485</v>
      </c>
      <c r="E46" s="19" t="s">
        <v>486</v>
      </c>
      <c r="F46" s="19" t="s">
        <v>2938</v>
      </c>
      <c r="G46" s="19" t="s">
        <v>2939</v>
      </c>
      <c r="H46" s="19"/>
      <c r="I46" s="19" t="s">
        <v>2944</v>
      </c>
      <c r="J46" s="19" t="s">
        <v>3040</v>
      </c>
      <c r="K46" s="19" t="s">
        <v>3041</v>
      </c>
      <c r="L46" s="19" t="s">
        <v>2943</v>
      </c>
      <c r="M46" s="19"/>
    </row>
    <row r="47" spans="1:13" ht="15.75" customHeight="1">
      <c r="A47" s="19" t="s">
        <v>490</v>
      </c>
      <c r="B47" s="19" t="s">
        <v>491</v>
      </c>
      <c r="C47" s="20">
        <v>2025</v>
      </c>
      <c r="D47" s="19" t="s">
        <v>493</v>
      </c>
      <c r="E47" s="19" t="s">
        <v>494</v>
      </c>
      <c r="F47" s="19" t="s">
        <v>2938</v>
      </c>
      <c r="G47" s="19" t="s">
        <v>2939</v>
      </c>
      <c r="H47" s="19"/>
      <c r="I47" s="19" t="s">
        <v>2944</v>
      </c>
      <c r="J47" s="19" t="s">
        <v>3042</v>
      </c>
      <c r="K47" s="19" t="s">
        <v>3043</v>
      </c>
      <c r="L47" s="19" t="s">
        <v>2943</v>
      </c>
      <c r="M47" s="19"/>
    </row>
    <row r="48" spans="1:13" ht="15.75" customHeight="1">
      <c r="A48" s="19" t="s">
        <v>498</v>
      </c>
      <c r="B48" s="19" t="s">
        <v>499</v>
      </c>
      <c r="C48" s="20">
        <v>2024</v>
      </c>
      <c r="D48" s="19" t="s">
        <v>501</v>
      </c>
      <c r="E48" s="19" t="s">
        <v>502</v>
      </c>
      <c r="F48" s="19" t="s">
        <v>2938</v>
      </c>
      <c r="G48" s="19" t="s">
        <v>2939</v>
      </c>
      <c r="H48" s="19"/>
      <c r="I48" s="19" t="s">
        <v>2944</v>
      </c>
      <c r="J48" s="19" t="s">
        <v>3044</v>
      </c>
      <c r="K48" s="19" t="s">
        <v>3045</v>
      </c>
      <c r="L48" s="19" t="s">
        <v>2943</v>
      </c>
      <c r="M48" s="19"/>
    </row>
    <row r="49" spans="1:13" ht="15.75" hidden="1" customHeight="1">
      <c r="A49" s="19" t="s">
        <v>506</v>
      </c>
      <c r="B49" s="19" t="s">
        <v>507</v>
      </c>
      <c r="C49" s="20">
        <v>2023</v>
      </c>
      <c r="D49" s="19" t="s">
        <v>509</v>
      </c>
      <c r="E49" s="19" t="s">
        <v>510</v>
      </c>
      <c r="F49" s="19" t="s">
        <v>2938</v>
      </c>
      <c r="G49" s="19" t="s">
        <v>2964</v>
      </c>
      <c r="H49" s="19" t="s">
        <v>305</v>
      </c>
      <c r="I49" s="19" t="s">
        <v>2944</v>
      </c>
      <c r="J49" s="19" t="s">
        <v>3046</v>
      </c>
      <c r="K49" s="19" t="s">
        <v>3039</v>
      </c>
      <c r="L49" s="19" t="s">
        <v>2943</v>
      </c>
      <c r="M49" s="19"/>
    </row>
    <row r="50" spans="1:13" ht="15.75" hidden="1" customHeight="1">
      <c r="A50" s="19" t="s">
        <v>514</v>
      </c>
      <c r="B50" s="19" t="s">
        <v>515</v>
      </c>
      <c r="C50" s="20">
        <v>2019</v>
      </c>
      <c r="D50" s="19" t="s">
        <v>517</v>
      </c>
      <c r="E50" s="19" t="s">
        <v>518</v>
      </c>
      <c r="F50" s="19" t="s">
        <v>2938</v>
      </c>
      <c r="G50" s="19" t="s">
        <v>2964</v>
      </c>
      <c r="H50" s="19" t="s">
        <v>522</v>
      </c>
      <c r="I50" s="19" t="s">
        <v>2944</v>
      </c>
      <c r="J50" s="19" t="s">
        <v>3047</v>
      </c>
      <c r="K50" s="19" t="s">
        <v>3048</v>
      </c>
      <c r="L50" s="19" t="s">
        <v>2943</v>
      </c>
      <c r="M50" s="19"/>
    </row>
    <row r="51" spans="1:13" ht="15.75" hidden="1" customHeight="1">
      <c r="A51" s="19" t="s">
        <v>523</v>
      </c>
      <c r="B51" s="19" t="s">
        <v>524</v>
      </c>
      <c r="C51" s="20">
        <v>2025</v>
      </c>
      <c r="D51" s="19" t="s">
        <v>3049</v>
      </c>
      <c r="E51" s="19" t="s">
        <v>527</v>
      </c>
      <c r="F51" s="19" t="s">
        <v>2938</v>
      </c>
      <c r="G51" s="19" t="s">
        <v>2964</v>
      </c>
      <c r="H51" s="19" t="s">
        <v>305</v>
      </c>
      <c r="I51" s="19" t="s">
        <v>2944</v>
      </c>
      <c r="J51" s="19" t="s">
        <v>3050</v>
      </c>
      <c r="K51" s="19" t="s">
        <v>3039</v>
      </c>
      <c r="L51" s="19" t="s">
        <v>2943</v>
      </c>
      <c r="M51" s="19"/>
    </row>
    <row r="52" spans="1:13" ht="15.75" customHeight="1">
      <c r="A52" s="19" t="s">
        <v>531</v>
      </c>
      <c r="B52" s="19" t="s">
        <v>532</v>
      </c>
      <c r="C52" s="20">
        <v>2021</v>
      </c>
      <c r="D52" s="19" t="s">
        <v>534</v>
      </c>
      <c r="E52" s="19" t="s">
        <v>535</v>
      </c>
      <c r="F52" s="19" t="s">
        <v>2938</v>
      </c>
      <c r="G52" s="19" t="s">
        <v>2939</v>
      </c>
      <c r="H52" s="19"/>
      <c r="I52" s="19" t="s">
        <v>2944</v>
      </c>
      <c r="J52" s="19" t="s">
        <v>3051</v>
      </c>
      <c r="K52" s="19" t="s">
        <v>3052</v>
      </c>
      <c r="L52" s="19" t="s">
        <v>2943</v>
      </c>
      <c r="M52" s="19"/>
    </row>
    <row r="53" spans="1:13" ht="15.75" customHeight="1">
      <c r="A53" s="19" t="s">
        <v>538</v>
      </c>
      <c r="B53" s="19" t="s">
        <v>539</v>
      </c>
      <c r="C53" s="20">
        <v>2025</v>
      </c>
      <c r="D53" s="19" t="s">
        <v>540</v>
      </c>
      <c r="E53" s="19" t="s">
        <v>541</v>
      </c>
      <c r="F53" s="19" t="s">
        <v>2938</v>
      </c>
      <c r="G53" s="19" t="s">
        <v>2939</v>
      </c>
      <c r="H53" s="19"/>
      <c r="I53" s="19" t="s">
        <v>2944</v>
      </c>
      <c r="J53" s="19" t="s">
        <v>3053</v>
      </c>
      <c r="K53" s="19" t="s">
        <v>3054</v>
      </c>
      <c r="L53" s="19" t="s">
        <v>2943</v>
      </c>
      <c r="M53" s="19"/>
    </row>
    <row r="54" spans="1:13" ht="15.75" customHeight="1">
      <c r="A54" s="19" t="s">
        <v>545</v>
      </c>
      <c r="B54" s="19" t="s">
        <v>546</v>
      </c>
      <c r="C54" s="20">
        <v>2025</v>
      </c>
      <c r="D54" s="19" t="s">
        <v>438</v>
      </c>
      <c r="E54" s="19" t="s">
        <v>548</v>
      </c>
      <c r="F54" s="19" t="s">
        <v>2938</v>
      </c>
      <c r="G54" s="19" t="s">
        <v>2939</v>
      </c>
      <c r="H54" s="19"/>
      <c r="I54" s="19" t="s">
        <v>2940</v>
      </c>
      <c r="J54" s="19" t="s">
        <v>3055</v>
      </c>
      <c r="K54" s="19" t="s">
        <v>3056</v>
      </c>
      <c r="L54" s="19" t="s">
        <v>2943</v>
      </c>
      <c r="M54" s="19"/>
    </row>
    <row r="55" spans="1:13" ht="15.75" customHeight="1">
      <c r="A55" s="19" t="s">
        <v>552</v>
      </c>
      <c r="B55" s="19" t="s">
        <v>553</v>
      </c>
      <c r="C55" s="20">
        <v>2025</v>
      </c>
      <c r="D55" s="19" t="s">
        <v>555</v>
      </c>
      <c r="E55" s="19" t="s">
        <v>556</v>
      </c>
      <c r="F55" s="19" t="s">
        <v>2938</v>
      </c>
      <c r="G55" s="19" t="s">
        <v>2939</v>
      </c>
      <c r="H55" s="19"/>
      <c r="I55" s="19" t="s">
        <v>2944</v>
      </c>
      <c r="J55" s="19" t="s">
        <v>3057</v>
      </c>
      <c r="K55" s="19" t="s">
        <v>3058</v>
      </c>
      <c r="L55" s="19" t="s">
        <v>2943</v>
      </c>
      <c r="M55" s="19"/>
    </row>
    <row r="56" spans="1:13" ht="15.75" customHeight="1">
      <c r="A56" s="19" t="s">
        <v>560</v>
      </c>
      <c r="B56" s="19" t="s">
        <v>561</v>
      </c>
      <c r="C56" s="20">
        <v>2026</v>
      </c>
      <c r="D56" s="19" t="s">
        <v>3059</v>
      </c>
      <c r="E56" s="19" t="s">
        <v>563</v>
      </c>
      <c r="F56" s="19" t="s">
        <v>2938</v>
      </c>
      <c r="G56" s="19" t="s">
        <v>2939</v>
      </c>
      <c r="H56" s="19"/>
      <c r="I56" s="19" t="s">
        <v>2940</v>
      </c>
      <c r="J56" s="19" t="s">
        <v>3060</v>
      </c>
      <c r="K56" s="19" t="s">
        <v>3061</v>
      </c>
      <c r="L56" s="19" t="s">
        <v>2943</v>
      </c>
      <c r="M56" s="19"/>
    </row>
    <row r="57" spans="1:13" ht="15.75" customHeight="1">
      <c r="A57" s="19" t="s">
        <v>567</v>
      </c>
      <c r="B57" s="19" t="s">
        <v>568</v>
      </c>
      <c r="C57" s="20">
        <v>2026</v>
      </c>
      <c r="D57" s="19" t="s">
        <v>570</v>
      </c>
      <c r="E57" s="19" t="s">
        <v>571</v>
      </c>
      <c r="F57" s="19" t="s">
        <v>2938</v>
      </c>
      <c r="G57" s="19" t="s">
        <v>2939</v>
      </c>
      <c r="H57" s="19"/>
      <c r="I57" s="19" t="s">
        <v>2944</v>
      </c>
      <c r="J57" s="19" t="s">
        <v>3062</v>
      </c>
      <c r="K57" s="19" t="s">
        <v>3063</v>
      </c>
      <c r="L57" s="19" t="s">
        <v>2943</v>
      </c>
      <c r="M57" s="19"/>
    </row>
    <row r="58" spans="1:13" ht="15.75" hidden="1" customHeight="1">
      <c r="A58" s="19" t="s">
        <v>575</v>
      </c>
      <c r="B58" s="19" t="s">
        <v>576</v>
      </c>
      <c r="C58" s="20">
        <v>2022</v>
      </c>
      <c r="D58" s="19" t="s">
        <v>578</v>
      </c>
      <c r="E58" s="19" t="s">
        <v>579</v>
      </c>
      <c r="F58" s="19" t="s">
        <v>2938</v>
      </c>
      <c r="G58" s="19" t="s">
        <v>2964</v>
      </c>
      <c r="H58" s="19" t="s">
        <v>305</v>
      </c>
      <c r="I58" s="19" t="s">
        <v>2944</v>
      </c>
      <c r="J58" s="19" t="s">
        <v>3064</v>
      </c>
      <c r="K58" s="19" t="s">
        <v>3039</v>
      </c>
      <c r="L58" s="19" t="s">
        <v>2943</v>
      </c>
      <c r="M58" s="19"/>
    </row>
    <row r="59" spans="1:13" ht="15.75" customHeight="1">
      <c r="A59" s="19" t="s">
        <v>583</v>
      </c>
      <c r="B59" s="19" t="s">
        <v>584</v>
      </c>
      <c r="C59" s="20">
        <v>2026</v>
      </c>
      <c r="D59" s="19" t="s">
        <v>540</v>
      </c>
      <c r="E59" s="19" t="s">
        <v>586</v>
      </c>
      <c r="F59" s="19" t="s">
        <v>2938</v>
      </c>
      <c r="G59" s="19" t="s">
        <v>2939</v>
      </c>
      <c r="H59" s="19"/>
      <c r="I59" s="19" t="s">
        <v>2944</v>
      </c>
      <c r="J59" s="19" t="s">
        <v>3065</v>
      </c>
      <c r="K59" s="19" t="s">
        <v>3066</v>
      </c>
      <c r="L59" s="19" t="s">
        <v>2943</v>
      </c>
      <c r="M59" s="19"/>
    </row>
    <row r="60" spans="1:13" ht="15.75" customHeight="1">
      <c r="A60" s="19" t="s">
        <v>590</v>
      </c>
      <c r="B60" s="19" t="s">
        <v>591</v>
      </c>
      <c r="C60" s="20">
        <v>2025</v>
      </c>
      <c r="D60" s="19" t="s">
        <v>593</v>
      </c>
      <c r="E60" s="19" t="s">
        <v>594</v>
      </c>
      <c r="F60" s="19" t="s">
        <v>2938</v>
      </c>
      <c r="G60" s="19" t="s">
        <v>2939</v>
      </c>
      <c r="H60" s="19"/>
      <c r="I60" s="19" t="s">
        <v>2940</v>
      </c>
      <c r="J60" s="19" t="s">
        <v>3067</v>
      </c>
      <c r="K60" s="19" t="s">
        <v>3068</v>
      </c>
      <c r="L60" s="19" t="s">
        <v>2943</v>
      </c>
      <c r="M60" s="19"/>
    </row>
    <row r="61" spans="1:13" ht="15.75" customHeight="1">
      <c r="A61" s="19" t="s">
        <v>598</v>
      </c>
      <c r="B61" s="19" t="s">
        <v>599</v>
      </c>
      <c r="C61" s="20">
        <v>2026</v>
      </c>
      <c r="D61" s="19" t="s">
        <v>231</v>
      </c>
      <c r="E61" s="19" t="s">
        <v>601</v>
      </c>
      <c r="F61" s="19" t="s">
        <v>2938</v>
      </c>
      <c r="G61" s="19" t="s">
        <v>2939</v>
      </c>
      <c r="H61" s="19"/>
      <c r="I61" s="19" t="s">
        <v>2944</v>
      </c>
      <c r="J61" s="19" t="s">
        <v>3069</v>
      </c>
      <c r="K61" s="19" t="s">
        <v>3070</v>
      </c>
      <c r="L61" s="19" t="s">
        <v>2943</v>
      </c>
      <c r="M61" s="19"/>
    </row>
    <row r="62" spans="1:13" ht="15.75" customHeight="1">
      <c r="A62" s="19" t="s">
        <v>605</v>
      </c>
      <c r="B62" s="19" t="s">
        <v>606</v>
      </c>
      <c r="C62" s="20">
        <v>2026</v>
      </c>
      <c r="D62" s="19" t="s">
        <v>255</v>
      </c>
      <c r="E62" s="19" t="s">
        <v>608</v>
      </c>
      <c r="F62" s="19" t="s">
        <v>2938</v>
      </c>
      <c r="G62" s="19" t="s">
        <v>2939</v>
      </c>
      <c r="H62" s="19"/>
      <c r="I62" s="19" t="s">
        <v>2940</v>
      </c>
      <c r="J62" s="19" t="s">
        <v>3071</v>
      </c>
      <c r="K62" s="19" t="s">
        <v>3072</v>
      </c>
      <c r="L62" s="19" t="s">
        <v>2943</v>
      </c>
      <c r="M62" s="19"/>
    </row>
    <row r="63" spans="1:13" ht="15.75" customHeight="1">
      <c r="A63" s="19" t="s">
        <v>613</v>
      </c>
      <c r="B63" s="19" t="s">
        <v>614</v>
      </c>
      <c r="C63" s="20">
        <v>2024</v>
      </c>
      <c r="D63" s="19" t="s">
        <v>438</v>
      </c>
      <c r="E63" s="19" t="s">
        <v>616</v>
      </c>
      <c r="F63" s="19" t="s">
        <v>2938</v>
      </c>
      <c r="G63" s="19" t="s">
        <v>2939</v>
      </c>
      <c r="H63" s="19"/>
      <c r="I63" s="19" t="s">
        <v>2940</v>
      </c>
      <c r="J63" s="19" t="s">
        <v>3073</v>
      </c>
      <c r="K63" s="19" t="s">
        <v>3074</v>
      </c>
      <c r="L63" s="19" t="s">
        <v>2943</v>
      </c>
      <c r="M63" s="19" t="s">
        <v>3075</v>
      </c>
    </row>
    <row r="64" spans="1:13" ht="15.75" customHeight="1">
      <c r="A64" s="19" t="s">
        <v>620</v>
      </c>
      <c r="B64" s="19" t="s">
        <v>621</v>
      </c>
      <c r="C64" s="20">
        <v>2026</v>
      </c>
      <c r="D64" s="19" t="s">
        <v>623</v>
      </c>
      <c r="E64" s="19" t="s">
        <v>624</v>
      </c>
      <c r="F64" s="19" t="s">
        <v>2938</v>
      </c>
      <c r="G64" s="19" t="s">
        <v>2939</v>
      </c>
      <c r="H64" s="19"/>
      <c r="I64" s="19" t="s">
        <v>2940</v>
      </c>
      <c r="J64" s="19" t="s">
        <v>3076</v>
      </c>
      <c r="K64" s="19" t="s">
        <v>3077</v>
      </c>
      <c r="L64" s="19" t="s">
        <v>2943</v>
      </c>
      <c r="M64" s="19"/>
    </row>
    <row r="65" spans="1:13" ht="15.75" customHeight="1">
      <c r="A65" s="19" t="s">
        <v>627</v>
      </c>
      <c r="B65" s="19" t="s">
        <v>628</v>
      </c>
      <c r="C65" s="20">
        <v>2025</v>
      </c>
      <c r="D65" s="19" t="s">
        <v>356</v>
      </c>
      <c r="E65" s="19" t="s">
        <v>630</v>
      </c>
      <c r="F65" s="19" t="s">
        <v>2938</v>
      </c>
      <c r="G65" s="19" t="s">
        <v>2939</v>
      </c>
      <c r="H65" s="19"/>
      <c r="I65" s="19" t="s">
        <v>2944</v>
      </c>
      <c r="J65" s="19" t="s">
        <v>3078</v>
      </c>
      <c r="K65" s="19" t="s">
        <v>3079</v>
      </c>
      <c r="L65" s="19" t="s">
        <v>2943</v>
      </c>
      <c r="M65" s="19"/>
    </row>
    <row r="66" spans="1:13" ht="15.75" customHeight="1">
      <c r="A66" s="19" t="s">
        <v>633</v>
      </c>
      <c r="B66" s="19" t="s">
        <v>634</v>
      </c>
      <c r="C66" s="20">
        <v>2026</v>
      </c>
      <c r="D66" s="19" t="s">
        <v>636</v>
      </c>
      <c r="E66" s="19" t="s">
        <v>637</v>
      </c>
      <c r="F66" s="19" t="s">
        <v>2938</v>
      </c>
      <c r="G66" s="19" t="s">
        <v>2939</v>
      </c>
      <c r="H66" s="19"/>
      <c r="I66" s="19" t="s">
        <v>2940</v>
      </c>
      <c r="J66" s="19" t="s">
        <v>3080</v>
      </c>
      <c r="K66" s="19" t="s">
        <v>3081</v>
      </c>
      <c r="L66" s="19" t="s">
        <v>2943</v>
      </c>
    </row>
    <row r="67" spans="1:13" ht="15.75" customHeight="1">
      <c r="A67" s="19" t="s">
        <v>641</v>
      </c>
      <c r="B67" s="19" t="s">
        <v>642</v>
      </c>
      <c r="C67" s="20">
        <v>2025</v>
      </c>
      <c r="D67" s="19" t="s">
        <v>644</v>
      </c>
      <c r="E67" s="19" t="s">
        <v>645</v>
      </c>
      <c r="F67" s="19" t="s">
        <v>2938</v>
      </c>
      <c r="G67" s="19" t="s">
        <v>2939</v>
      </c>
      <c r="H67" s="19"/>
      <c r="I67" s="19" t="s">
        <v>2940</v>
      </c>
      <c r="J67" s="19" t="s">
        <v>3082</v>
      </c>
      <c r="K67" s="19" t="s">
        <v>3083</v>
      </c>
      <c r="L67" s="19" t="s">
        <v>2943</v>
      </c>
    </row>
    <row r="68" spans="1:13" ht="15.75" customHeight="1">
      <c r="A68" s="19" t="s">
        <v>649</v>
      </c>
      <c r="B68" s="19" t="s">
        <v>650</v>
      </c>
      <c r="C68" s="20">
        <v>2026</v>
      </c>
      <c r="D68" s="19" t="s">
        <v>623</v>
      </c>
      <c r="E68" s="19" t="s">
        <v>652</v>
      </c>
      <c r="F68" s="19" t="s">
        <v>2938</v>
      </c>
      <c r="G68" s="19" t="s">
        <v>2939</v>
      </c>
      <c r="H68" s="19"/>
      <c r="I68" s="19" t="s">
        <v>2944</v>
      </c>
      <c r="J68" s="19" t="s">
        <v>3084</v>
      </c>
      <c r="K68" s="19" t="s">
        <v>3085</v>
      </c>
      <c r="L68" s="19" t="s">
        <v>2943</v>
      </c>
      <c r="M68" s="19"/>
    </row>
    <row r="69" spans="1:13" ht="15.75" hidden="1" customHeight="1">
      <c r="A69" s="19" t="s">
        <v>655</v>
      </c>
      <c r="B69" s="19" t="s">
        <v>656</v>
      </c>
      <c r="C69" s="20">
        <v>2026</v>
      </c>
      <c r="D69" s="19" t="s">
        <v>658</v>
      </c>
      <c r="E69" s="19" t="s">
        <v>659</v>
      </c>
      <c r="F69" s="19" t="s">
        <v>2938</v>
      </c>
      <c r="G69" s="19" t="s">
        <v>2964</v>
      </c>
      <c r="H69" s="19" t="s">
        <v>434</v>
      </c>
      <c r="I69" s="19" t="s">
        <v>2944</v>
      </c>
      <c r="J69" s="19" t="s">
        <v>3086</v>
      </c>
      <c r="K69" s="19" t="s">
        <v>3087</v>
      </c>
      <c r="L69" s="19" t="s">
        <v>2943</v>
      </c>
      <c r="M69" s="19"/>
    </row>
    <row r="70" spans="1:13" ht="15.75" customHeight="1">
      <c r="A70" s="19" t="s">
        <v>663</v>
      </c>
      <c r="B70" s="19" t="s">
        <v>664</v>
      </c>
      <c r="C70" s="20">
        <v>2025</v>
      </c>
      <c r="D70" s="19" t="s">
        <v>438</v>
      </c>
      <c r="E70" s="19" t="s">
        <v>666</v>
      </c>
      <c r="F70" s="19" t="s">
        <v>2938</v>
      </c>
      <c r="G70" s="19" t="s">
        <v>2939</v>
      </c>
      <c r="H70" s="19"/>
      <c r="I70" s="19" t="s">
        <v>2944</v>
      </c>
      <c r="J70" s="19" t="s">
        <v>3088</v>
      </c>
      <c r="K70" s="19" t="s">
        <v>3089</v>
      </c>
      <c r="L70" s="19" t="s">
        <v>2943</v>
      </c>
      <c r="M70" s="19"/>
    </row>
    <row r="71" spans="1:13" ht="15.75" customHeight="1">
      <c r="A71" s="19" t="s">
        <v>670</v>
      </c>
      <c r="B71" s="19" t="s">
        <v>671</v>
      </c>
      <c r="C71" s="20">
        <v>2024</v>
      </c>
      <c r="D71" s="19" t="s">
        <v>673</v>
      </c>
      <c r="E71" s="19" t="s">
        <v>674</v>
      </c>
      <c r="F71" s="19" t="s">
        <v>2938</v>
      </c>
      <c r="G71" s="19" t="s">
        <v>2939</v>
      </c>
      <c r="H71" s="19"/>
      <c r="I71" s="19" t="s">
        <v>2940</v>
      </c>
      <c r="J71" s="19" t="s">
        <v>3090</v>
      </c>
      <c r="K71" s="19" t="s">
        <v>3091</v>
      </c>
      <c r="L71" s="19" t="s">
        <v>2943</v>
      </c>
      <c r="M71" s="19"/>
    </row>
    <row r="72" spans="1:13" ht="15.75" customHeight="1">
      <c r="A72" s="19" t="s">
        <v>678</v>
      </c>
      <c r="B72" s="19" t="s">
        <v>679</v>
      </c>
      <c r="C72" s="20">
        <v>2024</v>
      </c>
      <c r="D72" s="19" t="s">
        <v>269</v>
      </c>
      <c r="E72" s="19" t="s">
        <v>680</v>
      </c>
      <c r="F72" s="19" t="s">
        <v>2938</v>
      </c>
      <c r="G72" s="19" t="s">
        <v>2939</v>
      </c>
      <c r="H72" s="19"/>
      <c r="I72" s="19" t="s">
        <v>2944</v>
      </c>
      <c r="J72" s="19" t="s">
        <v>3092</v>
      </c>
      <c r="K72" s="19" t="s">
        <v>3093</v>
      </c>
      <c r="L72" s="19" t="s">
        <v>2943</v>
      </c>
      <c r="M72" s="19"/>
    </row>
    <row r="73" spans="1:13" ht="15.75" customHeight="1">
      <c r="A73" s="19" t="s">
        <v>684</v>
      </c>
      <c r="B73" s="19" t="s">
        <v>104</v>
      </c>
      <c r="C73" s="20">
        <v>2026</v>
      </c>
      <c r="D73" s="19" t="s">
        <v>182</v>
      </c>
      <c r="E73" s="19" t="s">
        <v>686</v>
      </c>
      <c r="F73" s="19" t="s">
        <v>2938</v>
      </c>
      <c r="G73" s="19" t="s">
        <v>2939</v>
      </c>
      <c r="H73" s="19"/>
      <c r="I73" s="19" t="s">
        <v>2944</v>
      </c>
      <c r="J73" s="19" t="s">
        <v>3094</v>
      </c>
      <c r="K73" s="19" t="s">
        <v>3095</v>
      </c>
      <c r="L73" s="19" t="s">
        <v>2943</v>
      </c>
      <c r="M73" s="19"/>
    </row>
    <row r="74" spans="1:13" ht="15.75" customHeight="1">
      <c r="A74" s="19" t="s">
        <v>690</v>
      </c>
      <c r="B74" s="19" t="s">
        <v>691</v>
      </c>
      <c r="C74" s="20">
        <v>2025</v>
      </c>
      <c r="D74" s="19" t="s">
        <v>693</v>
      </c>
      <c r="E74" s="19" t="s">
        <v>694</v>
      </c>
      <c r="F74" s="19" t="s">
        <v>2938</v>
      </c>
      <c r="G74" s="19" t="s">
        <v>2939</v>
      </c>
      <c r="H74" s="19"/>
      <c r="I74" s="19" t="s">
        <v>2944</v>
      </c>
      <c r="J74" s="19" t="s">
        <v>3096</v>
      </c>
      <c r="K74" s="19" t="s">
        <v>3097</v>
      </c>
      <c r="L74" s="19" t="s">
        <v>2943</v>
      </c>
      <c r="M74" s="19"/>
    </row>
    <row r="75" spans="1:13" ht="15.75" hidden="1" customHeight="1">
      <c r="A75" s="19" t="s">
        <v>698</v>
      </c>
      <c r="B75" s="19" t="s">
        <v>699</v>
      </c>
      <c r="C75" s="20">
        <v>2025</v>
      </c>
      <c r="D75" s="19" t="s">
        <v>255</v>
      </c>
      <c r="E75" s="19" t="s">
        <v>701</v>
      </c>
      <c r="F75" s="19" t="s">
        <v>2938</v>
      </c>
      <c r="G75" s="19" t="s">
        <v>2964</v>
      </c>
      <c r="H75" s="19" t="s">
        <v>434</v>
      </c>
      <c r="I75" s="19" t="s">
        <v>2944</v>
      </c>
      <c r="J75" s="19" t="s">
        <v>3098</v>
      </c>
      <c r="K75" s="19" t="s">
        <v>3099</v>
      </c>
      <c r="L75" s="19" t="s">
        <v>2943</v>
      </c>
      <c r="M75" s="19"/>
    </row>
    <row r="76" spans="1:13" ht="15.75" customHeight="1">
      <c r="A76" s="19" t="s">
        <v>705</v>
      </c>
      <c r="B76" s="19" t="s">
        <v>706</v>
      </c>
      <c r="C76" s="20">
        <v>2026</v>
      </c>
      <c r="D76" s="19" t="s">
        <v>239</v>
      </c>
      <c r="E76" s="19" t="s">
        <v>708</v>
      </c>
      <c r="F76" s="19" t="s">
        <v>2938</v>
      </c>
      <c r="G76" s="19" t="s">
        <v>2939</v>
      </c>
      <c r="H76" s="19"/>
      <c r="I76" s="19" t="s">
        <v>2944</v>
      </c>
      <c r="J76" s="19" t="s">
        <v>3100</v>
      </c>
      <c r="K76" s="19" t="s">
        <v>3101</v>
      </c>
      <c r="L76" s="19" t="s">
        <v>2943</v>
      </c>
      <c r="M76" s="19"/>
    </row>
    <row r="77" spans="1:13" ht="15.75" customHeight="1">
      <c r="A77" s="19" t="s">
        <v>712</v>
      </c>
      <c r="B77" s="19" t="s">
        <v>3102</v>
      </c>
      <c r="C77" s="20">
        <v>2025</v>
      </c>
      <c r="D77" s="19" t="s">
        <v>715</v>
      </c>
      <c r="E77" s="19" t="s">
        <v>716</v>
      </c>
      <c r="F77" s="19" t="s">
        <v>2938</v>
      </c>
      <c r="G77" s="19" t="s">
        <v>2939</v>
      </c>
      <c r="H77" s="19"/>
      <c r="I77" s="19" t="s">
        <v>2944</v>
      </c>
      <c r="J77" s="19" t="s">
        <v>3103</v>
      </c>
      <c r="K77" s="19" t="s">
        <v>3104</v>
      </c>
      <c r="L77" s="19" t="s">
        <v>2943</v>
      </c>
      <c r="M77" s="19"/>
    </row>
    <row r="78" spans="1:13" ht="15.75" customHeight="1">
      <c r="A78" s="19" t="s">
        <v>719</v>
      </c>
      <c r="B78" s="19" t="s">
        <v>720</v>
      </c>
      <c r="C78" s="20">
        <v>2025</v>
      </c>
      <c r="D78" s="19" t="s">
        <v>182</v>
      </c>
      <c r="E78" s="19" t="s">
        <v>722</v>
      </c>
      <c r="F78" s="19" t="s">
        <v>2938</v>
      </c>
      <c r="G78" s="19" t="s">
        <v>2939</v>
      </c>
      <c r="H78" s="19"/>
      <c r="I78" s="19" t="s">
        <v>2944</v>
      </c>
      <c r="J78" s="19" t="s">
        <v>3105</v>
      </c>
      <c r="K78" s="19" t="s">
        <v>3106</v>
      </c>
      <c r="L78" s="19" t="s">
        <v>2943</v>
      </c>
      <c r="M78" s="19"/>
    </row>
    <row r="79" spans="1:13" ht="15.75" customHeight="1">
      <c r="A79" s="19" t="s">
        <v>726</v>
      </c>
      <c r="B79" s="19" t="s">
        <v>727</v>
      </c>
      <c r="C79" s="20">
        <v>2022</v>
      </c>
      <c r="D79" s="19" t="s">
        <v>729</v>
      </c>
      <c r="E79" s="19" t="s">
        <v>730</v>
      </c>
      <c r="F79" s="19" t="s">
        <v>2938</v>
      </c>
      <c r="G79" s="19" t="s">
        <v>2939</v>
      </c>
      <c r="H79" s="19"/>
      <c r="I79" s="19" t="s">
        <v>2944</v>
      </c>
      <c r="J79" s="19" t="s">
        <v>3107</v>
      </c>
      <c r="K79" s="19" t="s">
        <v>3108</v>
      </c>
      <c r="L79" s="19" t="s">
        <v>2943</v>
      </c>
      <c r="M79" s="19"/>
    </row>
    <row r="80" spans="1:13" ht="15.75" customHeight="1">
      <c r="A80" s="19" t="s">
        <v>734</v>
      </c>
      <c r="B80" s="19" t="s">
        <v>735</v>
      </c>
      <c r="C80" s="20">
        <v>2026</v>
      </c>
      <c r="D80" s="19" t="s">
        <v>422</v>
      </c>
      <c r="E80" s="19" t="s">
        <v>737</v>
      </c>
      <c r="F80" s="19" t="s">
        <v>2938</v>
      </c>
      <c r="G80" s="19" t="s">
        <v>2939</v>
      </c>
      <c r="H80" s="19"/>
      <c r="I80" s="19" t="s">
        <v>2944</v>
      </c>
      <c r="J80" s="19" t="s">
        <v>3109</v>
      </c>
      <c r="K80" s="19" t="s">
        <v>3110</v>
      </c>
      <c r="L80" s="19" t="s">
        <v>2943</v>
      </c>
      <c r="M80" s="19"/>
    </row>
    <row r="81" spans="1:13" ht="15.75" customHeight="1">
      <c r="A81" s="19" t="s">
        <v>741</v>
      </c>
      <c r="B81" s="19" t="s">
        <v>742</v>
      </c>
      <c r="C81" s="20">
        <v>2026</v>
      </c>
      <c r="D81" s="19" t="s">
        <v>744</v>
      </c>
      <c r="E81" s="19" t="s">
        <v>745</v>
      </c>
      <c r="F81" s="19" t="s">
        <v>2938</v>
      </c>
      <c r="G81" s="19" t="s">
        <v>2939</v>
      </c>
      <c r="H81" s="19"/>
      <c r="I81" s="19" t="s">
        <v>2940</v>
      </c>
      <c r="J81" s="19" t="s">
        <v>3111</v>
      </c>
      <c r="K81" s="19" t="s">
        <v>3112</v>
      </c>
      <c r="L81" s="19" t="s">
        <v>2943</v>
      </c>
    </row>
    <row r="82" spans="1:13" ht="15.75" customHeight="1">
      <c r="A82" s="19" t="s">
        <v>749</v>
      </c>
      <c r="B82" s="19" t="s">
        <v>750</v>
      </c>
      <c r="C82" s="20">
        <v>2024</v>
      </c>
      <c r="D82" s="19" t="s">
        <v>438</v>
      </c>
      <c r="E82" s="19" t="s">
        <v>752</v>
      </c>
      <c r="F82" s="19" t="s">
        <v>2938</v>
      </c>
      <c r="G82" s="19" t="s">
        <v>2939</v>
      </c>
      <c r="H82" s="19"/>
      <c r="I82" s="19" t="s">
        <v>2940</v>
      </c>
      <c r="J82" s="19" t="s">
        <v>3113</v>
      </c>
      <c r="K82" s="19" t="s">
        <v>3114</v>
      </c>
      <c r="L82" s="19" t="s">
        <v>2943</v>
      </c>
    </row>
    <row r="83" spans="1:13" ht="15.75" customHeight="1">
      <c r="A83" s="19" t="s">
        <v>756</v>
      </c>
      <c r="B83" s="19" t="s">
        <v>757</v>
      </c>
      <c r="C83" s="20">
        <v>2026</v>
      </c>
      <c r="D83" s="19" t="s">
        <v>759</v>
      </c>
      <c r="E83" s="19" t="s">
        <v>760</v>
      </c>
      <c r="F83" s="19" t="s">
        <v>2938</v>
      </c>
      <c r="G83" s="19" t="s">
        <v>2939</v>
      </c>
      <c r="H83" s="19"/>
      <c r="I83" s="19" t="s">
        <v>2940</v>
      </c>
      <c r="J83" s="19" t="s">
        <v>3115</v>
      </c>
      <c r="K83" s="19" t="s">
        <v>3116</v>
      </c>
      <c r="L83" s="19" t="s">
        <v>2943</v>
      </c>
      <c r="M83" s="19"/>
    </row>
    <row r="84" spans="1:13" ht="15.75" customHeight="1">
      <c r="A84" s="19" t="s">
        <v>764</v>
      </c>
      <c r="B84" s="19" t="s">
        <v>765</v>
      </c>
      <c r="C84" s="20">
        <v>2026</v>
      </c>
      <c r="D84" s="19" t="s">
        <v>570</v>
      </c>
      <c r="E84" s="19" t="s">
        <v>767</v>
      </c>
      <c r="F84" s="19" t="s">
        <v>2938</v>
      </c>
      <c r="G84" s="19" t="s">
        <v>2939</v>
      </c>
      <c r="H84" s="19"/>
      <c r="I84" s="19" t="s">
        <v>2944</v>
      </c>
      <c r="J84" s="19" t="s">
        <v>3117</v>
      </c>
      <c r="K84" s="19" t="s">
        <v>3118</v>
      </c>
      <c r="L84" s="19" t="s">
        <v>2943</v>
      </c>
      <c r="M84" s="19"/>
    </row>
    <row r="85" spans="1:13" ht="15.75" customHeight="1">
      <c r="A85" s="19" t="s">
        <v>771</v>
      </c>
      <c r="B85" s="19" t="s">
        <v>772</v>
      </c>
      <c r="C85" s="20">
        <v>2024</v>
      </c>
      <c r="D85" s="19" t="s">
        <v>255</v>
      </c>
      <c r="E85" s="19" t="s">
        <v>774</v>
      </c>
      <c r="F85" s="19" t="s">
        <v>2938</v>
      </c>
      <c r="G85" s="19" t="s">
        <v>2939</v>
      </c>
      <c r="H85" s="19"/>
      <c r="I85" s="19" t="s">
        <v>2940</v>
      </c>
      <c r="J85" s="19" t="s">
        <v>3119</v>
      </c>
      <c r="K85" s="19" t="s">
        <v>3120</v>
      </c>
      <c r="L85" s="19" t="s">
        <v>2943</v>
      </c>
      <c r="M85" s="19"/>
    </row>
    <row r="86" spans="1:13" ht="15.75" customHeight="1">
      <c r="A86" s="19" t="s">
        <v>778</v>
      </c>
      <c r="B86" s="19" t="s">
        <v>779</v>
      </c>
      <c r="C86" s="20">
        <v>2024</v>
      </c>
      <c r="D86" s="19" t="s">
        <v>438</v>
      </c>
      <c r="E86" s="19" t="s">
        <v>781</v>
      </c>
      <c r="F86" s="19" t="s">
        <v>2938</v>
      </c>
      <c r="G86" s="19" t="s">
        <v>2939</v>
      </c>
      <c r="H86" s="19"/>
      <c r="I86" s="19" t="s">
        <v>2944</v>
      </c>
      <c r="J86" s="19" t="s">
        <v>3121</v>
      </c>
      <c r="K86" s="19" t="s">
        <v>3122</v>
      </c>
      <c r="L86" s="19" t="s">
        <v>2943</v>
      </c>
      <c r="M86" s="19"/>
    </row>
    <row r="87" spans="1:13" ht="15.75" customHeight="1">
      <c r="A87" s="19" t="s">
        <v>785</v>
      </c>
      <c r="B87" s="19" t="s">
        <v>786</v>
      </c>
      <c r="C87" s="20">
        <v>2026</v>
      </c>
      <c r="D87" s="19" t="s">
        <v>744</v>
      </c>
      <c r="E87" s="19" t="s">
        <v>788</v>
      </c>
      <c r="F87" s="19" t="s">
        <v>2938</v>
      </c>
      <c r="G87" s="19" t="s">
        <v>2939</v>
      </c>
      <c r="H87" s="19"/>
      <c r="I87" s="19" t="s">
        <v>2944</v>
      </c>
      <c r="J87" s="19" t="s">
        <v>3123</v>
      </c>
      <c r="K87" s="19" t="s">
        <v>3124</v>
      </c>
      <c r="L87" s="19" t="s">
        <v>2943</v>
      </c>
      <c r="M87" s="19"/>
    </row>
    <row r="88" spans="1:13" ht="15.75" customHeight="1">
      <c r="A88" s="19" t="s">
        <v>792</v>
      </c>
      <c r="B88" s="19" t="s">
        <v>793</v>
      </c>
      <c r="C88" s="20">
        <v>2026</v>
      </c>
      <c r="D88" s="19" t="s">
        <v>795</v>
      </c>
      <c r="E88" s="19" t="s">
        <v>796</v>
      </c>
      <c r="F88" s="19" t="s">
        <v>2938</v>
      </c>
      <c r="G88" s="19" t="s">
        <v>2939</v>
      </c>
      <c r="H88" s="19"/>
      <c r="I88" s="19" t="s">
        <v>2944</v>
      </c>
      <c r="J88" s="19" t="s">
        <v>3125</v>
      </c>
      <c r="K88" s="19" t="s">
        <v>3126</v>
      </c>
      <c r="L88" s="19" t="s">
        <v>2943</v>
      </c>
      <c r="M88" s="19"/>
    </row>
    <row r="89" spans="1:13" ht="15.75" customHeight="1">
      <c r="A89" s="19" t="s">
        <v>798</v>
      </c>
      <c r="B89" s="19" t="s">
        <v>799</v>
      </c>
      <c r="C89" s="20">
        <v>2026</v>
      </c>
      <c r="D89" s="19" t="s">
        <v>453</v>
      </c>
      <c r="E89" s="19" t="s">
        <v>801</v>
      </c>
      <c r="F89" s="19" t="s">
        <v>2938</v>
      </c>
      <c r="G89" s="19" t="s">
        <v>2939</v>
      </c>
      <c r="H89" s="19"/>
      <c r="I89" s="19" t="s">
        <v>2944</v>
      </c>
      <c r="J89" s="19" t="s">
        <v>3127</v>
      </c>
      <c r="K89" s="19" t="s">
        <v>3128</v>
      </c>
      <c r="L89" s="19" t="s">
        <v>2943</v>
      </c>
      <c r="M89" s="19"/>
    </row>
    <row r="90" spans="1:13" ht="15.75" customHeight="1">
      <c r="A90" s="19" t="s">
        <v>805</v>
      </c>
      <c r="B90" s="19" t="s">
        <v>806</v>
      </c>
      <c r="C90" s="20">
        <v>2025</v>
      </c>
      <c r="D90" s="19" t="s">
        <v>808</v>
      </c>
      <c r="E90" s="19" t="s">
        <v>809</v>
      </c>
      <c r="F90" s="19" t="s">
        <v>2938</v>
      </c>
      <c r="G90" s="19" t="s">
        <v>2939</v>
      </c>
      <c r="H90" s="19"/>
      <c r="I90" s="19" t="s">
        <v>2944</v>
      </c>
      <c r="J90" s="19" t="s">
        <v>3129</v>
      </c>
      <c r="K90" s="19" t="s">
        <v>3130</v>
      </c>
      <c r="L90" s="19" t="s">
        <v>2943</v>
      </c>
      <c r="M90" s="19"/>
    </row>
    <row r="91" spans="1:13" ht="15.75" customHeight="1">
      <c r="A91" s="19" t="s">
        <v>812</v>
      </c>
      <c r="B91" s="19" t="s">
        <v>813</v>
      </c>
      <c r="C91" s="20">
        <v>2026</v>
      </c>
      <c r="D91" s="19" t="s">
        <v>277</v>
      </c>
      <c r="E91" s="19" t="s">
        <v>815</v>
      </c>
      <c r="F91" s="19" t="s">
        <v>2938</v>
      </c>
      <c r="G91" s="19" t="s">
        <v>2939</v>
      </c>
      <c r="H91" s="19"/>
      <c r="I91" s="19" t="s">
        <v>2944</v>
      </c>
      <c r="J91" s="19" t="s">
        <v>3131</v>
      </c>
      <c r="K91" s="19" t="s">
        <v>3132</v>
      </c>
      <c r="L91" s="19" t="s">
        <v>2943</v>
      </c>
      <c r="M91" s="19"/>
    </row>
    <row r="92" spans="1:13" ht="15.75" customHeight="1">
      <c r="A92" s="19" t="s">
        <v>819</v>
      </c>
      <c r="B92" s="19" t="s">
        <v>820</v>
      </c>
      <c r="C92" s="20">
        <v>2026</v>
      </c>
      <c r="D92" s="19" t="s">
        <v>239</v>
      </c>
      <c r="E92" s="19" t="s">
        <v>822</v>
      </c>
      <c r="F92" s="19" t="s">
        <v>2938</v>
      </c>
      <c r="G92" s="19" t="s">
        <v>2939</v>
      </c>
      <c r="H92" s="19"/>
      <c r="I92" s="19" t="s">
        <v>2944</v>
      </c>
      <c r="J92" s="19" t="s">
        <v>3133</v>
      </c>
      <c r="K92" s="19" t="s">
        <v>3134</v>
      </c>
      <c r="L92" s="19" t="s">
        <v>2943</v>
      </c>
      <c r="M92" s="19"/>
    </row>
    <row r="93" spans="1:13" ht="15.75" hidden="1" customHeight="1">
      <c r="A93" s="19" t="s">
        <v>826</v>
      </c>
      <c r="B93" s="19" t="s">
        <v>101</v>
      </c>
      <c r="C93" s="20">
        <v>2027</v>
      </c>
      <c r="D93" s="19" t="s">
        <v>828</v>
      </c>
      <c r="E93" s="19" t="s">
        <v>829</v>
      </c>
      <c r="F93" s="19" t="s">
        <v>2938</v>
      </c>
      <c r="G93" s="19" t="s">
        <v>2964</v>
      </c>
      <c r="H93" s="19" t="s">
        <v>833</v>
      </c>
      <c r="I93" s="19" t="s">
        <v>2944</v>
      </c>
      <c r="J93" s="19" t="s">
        <v>3135</v>
      </c>
      <c r="K93" s="19" t="s">
        <v>3136</v>
      </c>
      <c r="L93" s="19" t="s">
        <v>2943</v>
      </c>
      <c r="M93" s="19"/>
    </row>
    <row r="94" spans="1:13" ht="15.75" hidden="1" customHeight="1">
      <c r="A94" s="19" t="s">
        <v>834</v>
      </c>
      <c r="B94" s="19" t="s">
        <v>835</v>
      </c>
      <c r="C94" s="20">
        <v>2026</v>
      </c>
      <c r="D94" s="19" t="s">
        <v>485</v>
      </c>
      <c r="E94" s="19" t="s">
        <v>837</v>
      </c>
      <c r="F94" s="19" t="s">
        <v>2938</v>
      </c>
      <c r="G94" s="19" t="s">
        <v>2964</v>
      </c>
      <c r="H94" s="19" t="s">
        <v>305</v>
      </c>
      <c r="I94" s="19" t="s">
        <v>2944</v>
      </c>
      <c r="J94" s="19" t="s">
        <v>3137</v>
      </c>
      <c r="K94" s="19" t="s">
        <v>3138</v>
      </c>
      <c r="L94" s="19" t="s">
        <v>2943</v>
      </c>
      <c r="M94" s="19"/>
    </row>
    <row r="95" spans="1:13" ht="15.75" hidden="1" customHeight="1">
      <c r="A95" s="19" t="s">
        <v>841</v>
      </c>
      <c r="B95" s="19" t="s">
        <v>842</v>
      </c>
      <c r="C95" s="20">
        <v>2026</v>
      </c>
      <c r="D95" s="19" t="s">
        <v>844</v>
      </c>
      <c r="E95" s="19" t="s">
        <v>845</v>
      </c>
      <c r="F95" s="19" t="s">
        <v>2938</v>
      </c>
      <c r="G95" s="19" t="s">
        <v>2964</v>
      </c>
      <c r="H95" s="19" t="s">
        <v>305</v>
      </c>
      <c r="I95" s="19" t="s">
        <v>2944</v>
      </c>
      <c r="J95" s="19" t="s">
        <v>3139</v>
      </c>
      <c r="K95" s="19" t="s">
        <v>3140</v>
      </c>
      <c r="L95" s="19" t="s">
        <v>2943</v>
      </c>
      <c r="M95" s="19"/>
    </row>
    <row r="96" spans="1:13" ht="15.75" customHeight="1">
      <c r="A96" s="19" t="s">
        <v>849</v>
      </c>
      <c r="B96" s="19" t="s">
        <v>850</v>
      </c>
      <c r="C96" s="20">
        <v>2025</v>
      </c>
      <c r="D96" s="19" t="s">
        <v>415</v>
      </c>
      <c r="E96" s="19" t="s">
        <v>852</v>
      </c>
      <c r="F96" s="19" t="s">
        <v>2938</v>
      </c>
      <c r="G96" s="19" t="s">
        <v>2939</v>
      </c>
      <c r="H96" s="19"/>
      <c r="I96" s="19" t="s">
        <v>2940</v>
      </c>
      <c r="J96" s="19" t="s">
        <v>3141</v>
      </c>
      <c r="K96" s="19" t="s">
        <v>3142</v>
      </c>
      <c r="L96" s="19" t="s">
        <v>2943</v>
      </c>
      <c r="M96" s="19"/>
    </row>
    <row r="97" spans="1:13" ht="15.75" customHeight="1">
      <c r="A97" s="19" t="s">
        <v>855</v>
      </c>
      <c r="B97" s="19" t="s">
        <v>856</v>
      </c>
      <c r="C97" s="20">
        <v>2026</v>
      </c>
      <c r="D97" s="19" t="s">
        <v>182</v>
      </c>
      <c r="E97" s="19" t="s">
        <v>858</v>
      </c>
      <c r="F97" s="19" t="s">
        <v>2938</v>
      </c>
      <c r="G97" s="19" t="s">
        <v>2939</v>
      </c>
      <c r="H97" s="19"/>
      <c r="I97" s="19" t="s">
        <v>2944</v>
      </c>
      <c r="J97" s="19" t="s">
        <v>3143</v>
      </c>
      <c r="K97" s="19" t="s">
        <v>3144</v>
      </c>
      <c r="L97" s="19" t="s">
        <v>2943</v>
      </c>
      <c r="M97" s="19"/>
    </row>
    <row r="98" spans="1:13" ht="15.75" customHeight="1">
      <c r="A98" s="19" t="s">
        <v>862</v>
      </c>
      <c r="B98" s="19" t="s">
        <v>863</v>
      </c>
      <c r="C98" s="20">
        <v>2026</v>
      </c>
      <c r="D98" s="19" t="s">
        <v>380</v>
      </c>
      <c r="E98" s="19" t="s">
        <v>865</v>
      </c>
      <c r="F98" s="19" t="s">
        <v>2938</v>
      </c>
      <c r="G98" s="19" t="s">
        <v>2939</v>
      </c>
      <c r="H98" s="19"/>
      <c r="I98" s="19" t="s">
        <v>2944</v>
      </c>
      <c r="J98" s="19" t="s">
        <v>3145</v>
      </c>
      <c r="K98" s="19" t="s">
        <v>3146</v>
      </c>
      <c r="L98" s="19" t="s">
        <v>2943</v>
      </c>
      <c r="M98" s="19"/>
    </row>
    <row r="99" spans="1:13" ht="15.75" customHeight="1">
      <c r="A99" s="19" t="s">
        <v>869</v>
      </c>
      <c r="B99" s="19" t="s">
        <v>870</v>
      </c>
      <c r="C99" s="20">
        <v>2026</v>
      </c>
      <c r="D99" s="19" t="s">
        <v>872</v>
      </c>
      <c r="E99" s="19" t="s">
        <v>873</v>
      </c>
      <c r="F99" s="19" t="s">
        <v>2938</v>
      </c>
      <c r="G99" s="19" t="s">
        <v>2939</v>
      </c>
      <c r="H99" s="19"/>
      <c r="I99" s="19" t="s">
        <v>2940</v>
      </c>
      <c r="J99" s="19" t="s">
        <v>3147</v>
      </c>
      <c r="K99" s="19" t="s">
        <v>3148</v>
      </c>
      <c r="L99" s="19" t="s">
        <v>2943</v>
      </c>
      <c r="M99" s="19"/>
    </row>
    <row r="100" spans="1:13" ht="15.75" customHeight="1">
      <c r="A100" s="19" t="s">
        <v>876</v>
      </c>
      <c r="B100" s="19" t="s">
        <v>877</v>
      </c>
      <c r="C100" s="20">
        <v>2025</v>
      </c>
      <c r="D100" s="19" t="s">
        <v>879</v>
      </c>
      <c r="E100" s="19" t="s">
        <v>880</v>
      </c>
      <c r="F100" s="19" t="s">
        <v>2938</v>
      </c>
      <c r="G100" s="19" t="s">
        <v>2939</v>
      </c>
      <c r="H100" s="19"/>
      <c r="I100" s="19" t="s">
        <v>3149</v>
      </c>
      <c r="J100" s="19" t="s">
        <v>3150</v>
      </c>
      <c r="K100" s="19" t="s">
        <v>3151</v>
      </c>
      <c r="L100" s="19" t="s">
        <v>2943</v>
      </c>
      <c r="M100" s="19"/>
    </row>
    <row r="101" spans="1:13" ht="15.75" customHeight="1">
      <c r="A101" s="19" t="s">
        <v>883</v>
      </c>
      <c r="B101" s="19" t="s">
        <v>884</v>
      </c>
      <c r="C101" s="20">
        <v>2025</v>
      </c>
      <c r="D101" s="19" t="s">
        <v>309</v>
      </c>
      <c r="E101" s="19" t="s">
        <v>886</v>
      </c>
      <c r="F101" s="19" t="s">
        <v>2938</v>
      </c>
      <c r="G101" s="19" t="s">
        <v>2939</v>
      </c>
      <c r="H101" s="19"/>
      <c r="I101" s="19" t="s">
        <v>2944</v>
      </c>
      <c r="J101" s="19" t="s">
        <v>3152</v>
      </c>
      <c r="K101" s="19" t="s">
        <v>3153</v>
      </c>
      <c r="L101" s="19" t="s">
        <v>2943</v>
      </c>
      <c r="M101" s="19"/>
    </row>
    <row r="102" spans="1:13" ht="15.75" customHeight="1">
      <c r="A102" s="19" t="s">
        <v>890</v>
      </c>
      <c r="B102" s="19" t="s">
        <v>891</v>
      </c>
      <c r="C102" s="20">
        <v>2023</v>
      </c>
      <c r="D102" s="19" t="s">
        <v>893</v>
      </c>
      <c r="E102" s="19" t="s">
        <v>894</v>
      </c>
      <c r="F102" s="19" t="s">
        <v>2938</v>
      </c>
      <c r="G102" s="19" t="s">
        <v>2939</v>
      </c>
      <c r="H102" s="19"/>
      <c r="I102" s="19" t="s">
        <v>2944</v>
      </c>
      <c r="J102" s="19" t="s">
        <v>3154</v>
      </c>
      <c r="K102" s="19" t="s">
        <v>3155</v>
      </c>
      <c r="L102" s="19" t="s">
        <v>2943</v>
      </c>
      <c r="M102" s="19"/>
    </row>
    <row r="103" spans="1:13" ht="15.75" hidden="1" customHeight="1">
      <c r="A103" s="19" t="s">
        <v>898</v>
      </c>
      <c r="B103" s="19" t="s">
        <v>899</v>
      </c>
      <c r="C103" s="20">
        <v>2022</v>
      </c>
      <c r="D103" s="19" t="s">
        <v>901</v>
      </c>
      <c r="E103" s="19" t="s">
        <v>902</v>
      </c>
      <c r="F103" s="19" t="s">
        <v>2938</v>
      </c>
      <c r="G103" s="19" t="s">
        <v>2964</v>
      </c>
      <c r="H103" s="19" t="s">
        <v>305</v>
      </c>
      <c r="I103" s="19" t="s">
        <v>2944</v>
      </c>
      <c r="J103" s="19" t="s">
        <v>3156</v>
      </c>
      <c r="K103" s="19" t="s">
        <v>3157</v>
      </c>
      <c r="L103" s="19" t="s">
        <v>2943</v>
      </c>
      <c r="M103" s="19"/>
    </row>
    <row r="104" spans="1:13" ht="15.75" hidden="1" customHeight="1">
      <c r="A104" s="19" t="s">
        <v>906</v>
      </c>
      <c r="B104" s="19" t="s">
        <v>907</v>
      </c>
      <c r="C104" s="20">
        <v>2018</v>
      </c>
      <c r="D104" s="19" t="s">
        <v>744</v>
      </c>
      <c r="E104" s="19" t="s">
        <v>909</v>
      </c>
      <c r="F104" s="19" t="s">
        <v>2938</v>
      </c>
      <c r="G104" s="19" t="s">
        <v>2964</v>
      </c>
      <c r="H104" s="19" t="s">
        <v>481</v>
      </c>
      <c r="I104" s="19" t="s">
        <v>2944</v>
      </c>
      <c r="J104" s="19" t="s">
        <v>3158</v>
      </c>
      <c r="K104" s="19" t="s">
        <v>3039</v>
      </c>
      <c r="L104" s="19" t="s">
        <v>2943</v>
      </c>
      <c r="M104" s="19"/>
    </row>
    <row r="105" spans="1:13" ht="15.75" customHeight="1">
      <c r="A105" s="19" t="s">
        <v>913</v>
      </c>
      <c r="B105" s="19" t="s">
        <v>914</v>
      </c>
      <c r="C105" s="20">
        <v>2026</v>
      </c>
      <c r="D105" s="19" t="s">
        <v>931</v>
      </c>
      <c r="E105" s="19" t="s">
        <v>917</v>
      </c>
      <c r="F105" s="19" t="s">
        <v>2938</v>
      </c>
      <c r="G105" s="19" t="s">
        <v>2939</v>
      </c>
      <c r="H105" s="19"/>
      <c r="I105" s="19" t="s">
        <v>2944</v>
      </c>
      <c r="J105" s="19" t="s">
        <v>3159</v>
      </c>
      <c r="K105" s="19" t="s">
        <v>3160</v>
      </c>
      <c r="L105" s="19" t="s">
        <v>2943</v>
      </c>
      <c r="M105" s="19"/>
    </row>
    <row r="106" spans="1:13" ht="15.75" customHeight="1">
      <c r="A106" s="19" t="s">
        <v>920</v>
      </c>
      <c r="B106" s="19" t="s">
        <v>921</v>
      </c>
      <c r="C106" s="20">
        <v>2024</v>
      </c>
      <c r="D106" s="19" t="s">
        <v>923</v>
      </c>
      <c r="E106" s="19" t="s">
        <v>924</v>
      </c>
      <c r="F106" s="19" t="s">
        <v>2938</v>
      </c>
      <c r="G106" s="19" t="s">
        <v>2939</v>
      </c>
      <c r="H106" s="19"/>
      <c r="I106" s="19" t="s">
        <v>2940</v>
      </c>
      <c r="J106" s="19" t="s">
        <v>3161</v>
      </c>
      <c r="K106" s="19" t="s">
        <v>3162</v>
      </c>
      <c r="L106" s="19" t="s">
        <v>2943</v>
      </c>
      <c r="M106" s="19" t="s">
        <v>3163</v>
      </c>
    </row>
    <row r="107" spans="1:13" ht="15.75" customHeight="1">
      <c r="A107" s="19" t="s">
        <v>928</v>
      </c>
      <c r="B107" s="19" t="s">
        <v>929</v>
      </c>
      <c r="C107" s="20">
        <v>2025</v>
      </c>
      <c r="D107" s="19" t="s">
        <v>931</v>
      </c>
      <c r="E107" s="19" t="s">
        <v>932</v>
      </c>
      <c r="F107" s="19" t="s">
        <v>2938</v>
      </c>
      <c r="G107" s="19" t="s">
        <v>2939</v>
      </c>
      <c r="H107" s="19"/>
      <c r="I107" s="19" t="s">
        <v>2944</v>
      </c>
      <c r="J107" s="19" t="s">
        <v>3164</v>
      </c>
      <c r="K107" s="19" t="s">
        <v>3165</v>
      </c>
      <c r="L107" s="19" t="s">
        <v>2943</v>
      </c>
      <c r="M107" s="19"/>
    </row>
    <row r="108" spans="1:13" ht="15.75" customHeight="1">
      <c r="A108" s="19" t="s">
        <v>935</v>
      </c>
      <c r="B108" s="19" t="s">
        <v>3166</v>
      </c>
      <c r="C108" s="20">
        <v>2025</v>
      </c>
      <c r="D108" s="19" t="s">
        <v>938</v>
      </c>
      <c r="E108" s="19" t="s">
        <v>939</v>
      </c>
      <c r="F108" s="19" t="s">
        <v>2938</v>
      </c>
      <c r="G108" s="19" t="s">
        <v>2939</v>
      </c>
      <c r="H108" s="19"/>
      <c r="I108" s="19" t="s">
        <v>2944</v>
      </c>
      <c r="J108" s="19" t="s">
        <v>3167</v>
      </c>
      <c r="K108" s="19" t="s">
        <v>3168</v>
      </c>
      <c r="L108" s="19" t="s">
        <v>2943</v>
      </c>
      <c r="M108" s="19"/>
    </row>
    <row r="109" spans="1:13" ht="15.75" customHeight="1">
      <c r="A109" s="19" t="s">
        <v>943</v>
      </c>
      <c r="B109" s="19" t="s">
        <v>944</v>
      </c>
      <c r="C109" s="20">
        <v>2023</v>
      </c>
      <c r="D109" s="19" t="s">
        <v>534</v>
      </c>
      <c r="E109" s="19" t="s">
        <v>946</v>
      </c>
      <c r="F109" s="19" t="s">
        <v>2938</v>
      </c>
      <c r="G109" s="19" t="s">
        <v>2939</v>
      </c>
      <c r="H109" s="19"/>
      <c r="I109" s="19" t="s">
        <v>2940</v>
      </c>
      <c r="J109" s="19" t="s">
        <v>3169</v>
      </c>
      <c r="K109" s="19" t="s">
        <v>3170</v>
      </c>
      <c r="L109" s="19" t="s">
        <v>2943</v>
      </c>
      <c r="M109" s="19"/>
    </row>
    <row r="110" spans="1:13" ht="15.75" customHeight="1">
      <c r="A110" s="19" t="s">
        <v>950</v>
      </c>
      <c r="B110" s="19" t="s">
        <v>951</v>
      </c>
      <c r="C110" s="20">
        <v>2026</v>
      </c>
      <c r="D110" s="19" t="s">
        <v>292</v>
      </c>
      <c r="E110" s="19" t="s">
        <v>953</v>
      </c>
      <c r="F110" s="19" t="s">
        <v>2938</v>
      </c>
      <c r="G110" s="19" t="s">
        <v>2939</v>
      </c>
      <c r="H110" s="19"/>
      <c r="I110" s="19" t="s">
        <v>2944</v>
      </c>
      <c r="J110" s="19" t="s">
        <v>3171</v>
      </c>
      <c r="K110" s="19" t="s">
        <v>3172</v>
      </c>
      <c r="L110" s="19" t="s">
        <v>2943</v>
      </c>
      <c r="M110" s="19"/>
    </row>
    <row r="111" spans="1:13" ht="15.75" hidden="1" customHeight="1">
      <c r="A111" s="19" t="s">
        <v>957</v>
      </c>
      <c r="B111" s="19" t="s">
        <v>958</v>
      </c>
      <c r="C111" s="20">
        <v>2025</v>
      </c>
      <c r="D111" s="19" t="s">
        <v>960</v>
      </c>
      <c r="E111" s="19" t="s">
        <v>961</v>
      </c>
      <c r="F111" s="19" t="s">
        <v>2938</v>
      </c>
      <c r="G111" s="19" t="s">
        <v>2964</v>
      </c>
      <c r="H111" s="19" t="s">
        <v>305</v>
      </c>
      <c r="I111" s="19" t="s">
        <v>2944</v>
      </c>
      <c r="J111" s="19" t="s">
        <v>3173</v>
      </c>
      <c r="K111" s="19" t="s">
        <v>3174</v>
      </c>
      <c r="L111" s="19" t="s">
        <v>2943</v>
      </c>
      <c r="M111" s="19"/>
    </row>
    <row r="112" spans="1:13" ht="15.75" hidden="1" customHeight="1">
      <c r="A112" s="19" t="s">
        <v>965</v>
      </c>
      <c r="B112" s="19" t="s">
        <v>966</v>
      </c>
      <c r="C112" s="20">
        <v>2026</v>
      </c>
      <c r="D112" s="19" t="s">
        <v>593</v>
      </c>
      <c r="E112" s="19" t="s">
        <v>968</v>
      </c>
      <c r="F112" s="19" t="s">
        <v>2938</v>
      </c>
      <c r="G112" s="19" t="s">
        <v>2964</v>
      </c>
      <c r="H112" s="19" t="s">
        <v>971</v>
      </c>
      <c r="I112" s="19" t="s">
        <v>2940</v>
      </c>
      <c r="J112" s="19" t="s">
        <v>3175</v>
      </c>
      <c r="K112" s="19" t="s">
        <v>3176</v>
      </c>
      <c r="L112" s="19" t="s">
        <v>2943</v>
      </c>
      <c r="M112" s="19" t="s">
        <v>3177</v>
      </c>
    </row>
    <row r="113" spans="1:13" ht="15.75" customHeight="1">
      <c r="A113" s="19" t="s">
        <v>972</v>
      </c>
      <c r="B113" s="19" t="s">
        <v>973</v>
      </c>
      <c r="C113" s="20">
        <v>2025</v>
      </c>
      <c r="D113" s="19" t="s">
        <v>975</v>
      </c>
      <c r="E113" s="19" t="s">
        <v>976</v>
      </c>
      <c r="F113" s="19" t="s">
        <v>2938</v>
      </c>
      <c r="G113" s="19" t="s">
        <v>2939</v>
      </c>
      <c r="H113" s="19"/>
      <c r="I113" s="19" t="s">
        <v>2940</v>
      </c>
      <c r="J113" s="19" t="s">
        <v>3178</v>
      </c>
      <c r="K113" s="19" t="s">
        <v>3179</v>
      </c>
      <c r="L113" s="19" t="s">
        <v>2943</v>
      </c>
      <c r="M113" s="19"/>
    </row>
    <row r="114" spans="1:13" ht="15.75" customHeight="1">
      <c r="A114" s="19" t="s">
        <v>980</v>
      </c>
      <c r="B114" s="19" t="s">
        <v>981</v>
      </c>
      <c r="C114" s="20">
        <v>2026</v>
      </c>
      <c r="D114" s="19" t="s">
        <v>983</v>
      </c>
      <c r="E114" s="19" t="s">
        <v>984</v>
      </c>
      <c r="F114" s="19" t="s">
        <v>2938</v>
      </c>
      <c r="G114" s="19" t="s">
        <v>2939</v>
      </c>
      <c r="H114" s="19"/>
      <c r="I114" s="19" t="s">
        <v>2944</v>
      </c>
      <c r="J114" s="19" t="s">
        <v>3180</v>
      </c>
      <c r="K114" s="19" t="s">
        <v>3181</v>
      </c>
      <c r="L114" s="19" t="s">
        <v>2943</v>
      </c>
      <c r="M114" s="19"/>
    </row>
    <row r="115" spans="1:13" ht="15.75" customHeight="1">
      <c r="A115" s="19" t="s">
        <v>988</v>
      </c>
      <c r="B115" s="19" t="s">
        <v>989</v>
      </c>
      <c r="C115" s="20">
        <v>2024</v>
      </c>
      <c r="D115" s="19" t="s">
        <v>534</v>
      </c>
      <c r="E115" s="19" t="s">
        <v>991</v>
      </c>
      <c r="F115" s="19" t="s">
        <v>2938</v>
      </c>
      <c r="G115" s="19" t="s">
        <v>2939</v>
      </c>
      <c r="H115" s="19"/>
      <c r="I115" s="19" t="s">
        <v>2944</v>
      </c>
      <c r="J115" s="19" t="s">
        <v>3182</v>
      </c>
      <c r="K115" s="19" t="s">
        <v>3183</v>
      </c>
      <c r="L115" s="19" t="s">
        <v>2943</v>
      </c>
      <c r="M115" s="19"/>
    </row>
    <row r="116" spans="1:13" ht="15.75" customHeight="1">
      <c r="A116" s="19" t="s">
        <v>995</v>
      </c>
      <c r="B116" s="19" t="s">
        <v>996</v>
      </c>
      <c r="C116" s="20">
        <v>2024</v>
      </c>
      <c r="D116" s="19" t="s">
        <v>277</v>
      </c>
      <c r="E116" s="19" t="s">
        <v>998</v>
      </c>
      <c r="F116" s="19" t="s">
        <v>2938</v>
      </c>
      <c r="G116" s="19" t="s">
        <v>2939</v>
      </c>
      <c r="H116" s="19"/>
      <c r="I116" s="19" t="s">
        <v>2940</v>
      </c>
      <c r="J116" s="19" t="s">
        <v>3184</v>
      </c>
      <c r="K116" s="19" t="s">
        <v>3185</v>
      </c>
      <c r="L116" s="19" t="s">
        <v>2943</v>
      </c>
      <c r="M116" s="19"/>
    </row>
    <row r="117" spans="1:13" ht="15.75" customHeight="1">
      <c r="A117" s="19" t="s">
        <v>1002</v>
      </c>
      <c r="B117" s="19" t="s">
        <v>1003</v>
      </c>
      <c r="C117" s="20">
        <v>2026</v>
      </c>
      <c r="D117" s="19" t="s">
        <v>1005</v>
      </c>
      <c r="E117" s="19" t="s">
        <v>1006</v>
      </c>
      <c r="F117" s="19" t="s">
        <v>2938</v>
      </c>
      <c r="G117" s="19" t="s">
        <v>2939</v>
      </c>
      <c r="H117" s="19"/>
      <c r="I117" s="19" t="s">
        <v>2944</v>
      </c>
      <c r="J117" s="19" t="s">
        <v>3186</v>
      </c>
      <c r="K117" s="19" t="s">
        <v>3187</v>
      </c>
      <c r="L117" s="19" t="s">
        <v>2943</v>
      </c>
      <c r="M117" s="19"/>
    </row>
    <row r="118" spans="1:13" ht="15.75" customHeight="1">
      <c r="A118" s="19" t="s">
        <v>1010</v>
      </c>
      <c r="B118" s="19" t="s">
        <v>1011</v>
      </c>
      <c r="C118" s="20">
        <v>2026</v>
      </c>
      <c r="D118" s="19" t="s">
        <v>570</v>
      </c>
      <c r="E118" s="19" t="s">
        <v>1013</v>
      </c>
      <c r="F118" s="19" t="s">
        <v>2938</v>
      </c>
      <c r="G118" s="19" t="s">
        <v>2939</v>
      </c>
      <c r="H118" s="19"/>
      <c r="I118" s="19" t="s">
        <v>2944</v>
      </c>
      <c r="J118" s="19" t="s">
        <v>3188</v>
      </c>
      <c r="K118" s="19" t="s">
        <v>3189</v>
      </c>
      <c r="L118" s="19" t="s">
        <v>2943</v>
      </c>
      <c r="M118" s="19"/>
    </row>
    <row r="119" spans="1:13" ht="15.75" customHeight="1">
      <c r="A119" s="19" t="s">
        <v>1017</v>
      </c>
      <c r="B119" s="19" t="s">
        <v>1018</v>
      </c>
      <c r="C119" s="20">
        <v>2026</v>
      </c>
      <c r="D119" s="19" t="s">
        <v>570</v>
      </c>
      <c r="E119" s="19" t="s">
        <v>1020</v>
      </c>
      <c r="F119" s="19" t="s">
        <v>2938</v>
      </c>
      <c r="G119" s="19" t="s">
        <v>2939</v>
      </c>
      <c r="H119" s="19"/>
      <c r="I119" s="19" t="s">
        <v>2944</v>
      </c>
      <c r="J119" s="19" t="s">
        <v>3190</v>
      </c>
      <c r="K119" s="19" t="s">
        <v>3191</v>
      </c>
      <c r="L119" s="19" t="s">
        <v>2943</v>
      </c>
      <c r="M119" s="19"/>
    </row>
    <row r="120" spans="1:13" ht="15.75" customHeight="1">
      <c r="A120" s="19" t="s">
        <v>1024</v>
      </c>
      <c r="B120" s="19" t="s">
        <v>1025</v>
      </c>
      <c r="C120" s="20">
        <v>2026</v>
      </c>
      <c r="D120" s="19" t="s">
        <v>1027</v>
      </c>
      <c r="E120" s="19" t="s">
        <v>1028</v>
      </c>
      <c r="F120" s="19" t="s">
        <v>2938</v>
      </c>
      <c r="G120" s="19" t="s">
        <v>2939</v>
      </c>
      <c r="H120" s="19"/>
      <c r="I120" s="19" t="s">
        <v>2944</v>
      </c>
      <c r="J120" s="19" t="s">
        <v>3192</v>
      </c>
      <c r="K120" s="19" t="s">
        <v>3193</v>
      </c>
      <c r="L120" s="19" t="s">
        <v>2943</v>
      </c>
      <c r="M120" s="19"/>
    </row>
    <row r="121" spans="1:13" ht="15.75" customHeight="1">
      <c r="A121" s="19" t="s">
        <v>1032</v>
      </c>
      <c r="B121" s="19" t="s">
        <v>1033</v>
      </c>
      <c r="C121" s="20">
        <v>2025</v>
      </c>
      <c r="D121" s="19" t="s">
        <v>1035</v>
      </c>
      <c r="E121" s="19" t="s">
        <v>1036</v>
      </c>
      <c r="F121" s="19" t="s">
        <v>2938</v>
      </c>
      <c r="G121" s="19" t="s">
        <v>2939</v>
      </c>
      <c r="H121" s="19"/>
      <c r="I121" s="19" t="s">
        <v>2940</v>
      </c>
      <c r="J121" s="19" t="s">
        <v>3194</v>
      </c>
      <c r="K121" s="19" t="s">
        <v>3195</v>
      </c>
      <c r="L121" s="19" t="s">
        <v>2943</v>
      </c>
      <c r="M121" s="19"/>
    </row>
    <row r="122" spans="1:13" ht="15.75" customHeight="1">
      <c r="A122" s="19" t="s">
        <v>1040</v>
      </c>
      <c r="B122" s="19" t="s">
        <v>1041</v>
      </c>
      <c r="C122" s="20">
        <v>2026</v>
      </c>
      <c r="D122" s="19" t="s">
        <v>1035</v>
      </c>
      <c r="E122" s="19" t="s">
        <v>1043</v>
      </c>
      <c r="F122" s="19" t="s">
        <v>2938</v>
      </c>
      <c r="G122" s="19" t="s">
        <v>2939</v>
      </c>
      <c r="H122" s="19"/>
      <c r="I122" s="19" t="s">
        <v>2944</v>
      </c>
      <c r="J122" s="19" t="s">
        <v>3196</v>
      </c>
      <c r="K122" s="19" t="s">
        <v>3197</v>
      </c>
      <c r="L122" s="19" t="s">
        <v>2943</v>
      </c>
      <c r="M122" s="19"/>
    </row>
    <row r="123" spans="1:13" ht="15.75" customHeight="1">
      <c r="A123" s="19" t="s">
        <v>1047</v>
      </c>
      <c r="B123" s="19" t="s">
        <v>1048</v>
      </c>
      <c r="C123" s="20">
        <v>2025</v>
      </c>
      <c r="D123" s="19" t="s">
        <v>1035</v>
      </c>
      <c r="E123" s="19" t="s">
        <v>1050</v>
      </c>
      <c r="F123" s="19" t="s">
        <v>2938</v>
      </c>
      <c r="G123" s="19" t="s">
        <v>2939</v>
      </c>
      <c r="H123" s="19"/>
      <c r="I123" s="19" t="s">
        <v>2940</v>
      </c>
      <c r="J123" s="19" t="s">
        <v>3198</v>
      </c>
      <c r="K123" s="19" t="s">
        <v>3199</v>
      </c>
      <c r="L123" s="19" t="s">
        <v>2943</v>
      </c>
      <c r="M123" s="19"/>
    </row>
    <row r="124" spans="1:13" ht="15.75" customHeight="1">
      <c r="A124" s="19" t="s">
        <v>1054</v>
      </c>
      <c r="B124" s="19" t="s">
        <v>1055</v>
      </c>
      <c r="C124" s="20">
        <v>2020</v>
      </c>
      <c r="D124" s="19" t="s">
        <v>438</v>
      </c>
      <c r="E124" s="19" t="s">
        <v>1057</v>
      </c>
      <c r="F124" s="19" t="s">
        <v>2938</v>
      </c>
      <c r="G124" s="19" t="s">
        <v>2939</v>
      </c>
      <c r="H124" s="19"/>
      <c r="I124" s="19" t="s">
        <v>2940</v>
      </c>
      <c r="J124" s="19" t="s">
        <v>3200</v>
      </c>
      <c r="K124" s="19" t="s">
        <v>3201</v>
      </c>
      <c r="L124" s="19" t="s">
        <v>2943</v>
      </c>
      <c r="M124" s="19"/>
    </row>
    <row r="125" spans="1:13" ht="15.75" hidden="1" customHeight="1">
      <c r="A125" s="19" t="s">
        <v>1062</v>
      </c>
      <c r="B125" s="19" t="s">
        <v>1063</v>
      </c>
      <c r="C125" s="20">
        <v>2024</v>
      </c>
      <c r="D125" s="19" t="s">
        <v>269</v>
      </c>
      <c r="E125" s="19" t="s">
        <v>1065</v>
      </c>
      <c r="F125" s="19" t="s">
        <v>2938</v>
      </c>
      <c r="G125" s="19" t="s">
        <v>2964</v>
      </c>
      <c r="H125" s="19" t="s">
        <v>305</v>
      </c>
      <c r="I125" s="19" t="s">
        <v>2944</v>
      </c>
      <c r="J125" s="19" t="s">
        <v>3202</v>
      </c>
      <c r="K125" s="19" t="s">
        <v>3203</v>
      </c>
      <c r="L125" s="19" t="s">
        <v>2943</v>
      </c>
      <c r="M125" s="19"/>
    </row>
    <row r="126" spans="1:13" ht="15.75" customHeight="1">
      <c r="A126" s="19" t="s">
        <v>1069</v>
      </c>
      <c r="B126" s="19" t="s">
        <v>1070</v>
      </c>
      <c r="C126" s="20">
        <v>2026</v>
      </c>
      <c r="D126" s="19" t="s">
        <v>231</v>
      </c>
      <c r="E126" s="19" t="s">
        <v>1072</v>
      </c>
      <c r="F126" s="19" t="s">
        <v>2938</v>
      </c>
      <c r="G126" s="19" t="s">
        <v>2939</v>
      </c>
      <c r="H126" s="19"/>
      <c r="I126" s="19" t="s">
        <v>2944</v>
      </c>
      <c r="J126" s="19" t="s">
        <v>3204</v>
      </c>
      <c r="K126" s="19" t="s">
        <v>3205</v>
      </c>
      <c r="L126" s="19" t="s">
        <v>2943</v>
      </c>
      <c r="M126" s="19"/>
    </row>
    <row r="127" spans="1:13" ht="15.75" customHeight="1">
      <c r="A127" s="19" t="s">
        <v>1076</v>
      </c>
      <c r="B127" s="19" t="s">
        <v>1077</v>
      </c>
      <c r="C127" s="20">
        <v>2024</v>
      </c>
      <c r="D127" s="19" t="s">
        <v>453</v>
      </c>
      <c r="E127" s="19" t="s">
        <v>1079</v>
      </c>
      <c r="F127" s="19" t="s">
        <v>2938</v>
      </c>
      <c r="G127" s="19" t="s">
        <v>2939</v>
      </c>
      <c r="H127" s="19"/>
      <c r="I127" s="19" t="s">
        <v>2944</v>
      </c>
      <c r="J127" s="19" t="s">
        <v>3206</v>
      </c>
      <c r="K127" s="19" t="s">
        <v>3207</v>
      </c>
      <c r="L127" s="19" t="s">
        <v>2943</v>
      </c>
      <c r="M127" s="19"/>
    </row>
    <row r="128" spans="1:13" ht="15.75" customHeight="1">
      <c r="A128" s="19" t="s">
        <v>1083</v>
      </c>
      <c r="B128" s="19" t="s">
        <v>1084</v>
      </c>
      <c r="C128" s="20">
        <v>2025</v>
      </c>
      <c r="D128" s="19" t="s">
        <v>1086</v>
      </c>
      <c r="E128" s="19" t="s">
        <v>1087</v>
      </c>
      <c r="F128" s="19" t="s">
        <v>2938</v>
      </c>
      <c r="G128" s="19" t="s">
        <v>2939</v>
      </c>
      <c r="H128" s="19"/>
      <c r="I128" s="19" t="s">
        <v>2940</v>
      </c>
      <c r="J128" s="19" t="s">
        <v>3208</v>
      </c>
      <c r="K128" s="19" t="s">
        <v>3209</v>
      </c>
      <c r="L128" s="19" t="s">
        <v>2943</v>
      </c>
      <c r="M128" s="19"/>
    </row>
    <row r="129" spans="1:13" ht="15.75" customHeight="1">
      <c r="A129" s="19" t="s">
        <v>1091</v>
      </c>
      <c r="B129" s="19" t="s">
        <v>1092</v>
      </c>
      <c r="C129" s="20">
        <v>2025</v>
      </c>
      <c r="D129" s="19" t="s">
        <v>198</v>
      </c>
      <c r="E129" s="19" t="s">
        <v>1094</v>
      </c>
      <c r="F129" s="19" t="s">
        <v>2938</v>
      </c>
      <c r="G129" s="19" t="s">
        <v>2939</v>
      </c>
      <c r="H129" s="19"/>
      <c r="I129" s="19" t="s">
        <v>2944</v>
      </c>
      <c r="J129" s="19" t="s">
        <v>3210</v>
      </c>
      <c r="K129" s="19" t="s">
        <v>3211</v>
      </c>
      <c r="L129" s="19" t="s">
        <v>2943</v>
      </c>
      <c r="M129" s="19"/>
    </row>
    <row r="130" spans="1:13" ht="15.75" customHeight="1">
      <c r="A130" s="19" t="s">
        <v>1098</v>
      </c>
      <c r="B130" s="19" t="s">
        <v>1099</v>
      </c>
      <c r="C130" s="20">
        <v>2026</v>
      </c>
      <c r="D130" s="19" t="s">
        <v>540</v>
      </c>
      <c r="E130" s="19" t="s">
        <v>1101</v>
      </c>
      <c r="F130" s="19" t="s">
        <v>2938</v>
      </c>
      <c r="G130" s="19" t="s">
        <v>2939</v>
      </c>
      <c r="H130" s="19"/>
      <c r="I130" s="19" t="s">
        <v>2944</v>
      </c>
      <c r="J130" s="19" t="s">
        <v>3212</v>
      </c>
      <c r="K130" s="19" t="s">
        <v>3213</v>
      </c>
      <c r="L130" s="19" t="s">
        <v>2943</v>
      </c>
      <c r="M130" s="19"/>
    </row>
    <row r="131" spans="1:13" ht="15.75" customHeight="1">
      <c r="A131" s="19" t="s">
        <v>1104</v>
      </c>
      <c r="B131" s="19" t="s">
        <v>1105</v>
      </c>
      <c r="C131" s="20">
        <v>2024</v>
      </c>
      <c r="D131" s="19" t="s">
        <v>1107</v>
      </c>
      <c r="E131" s="19" t="s">
        <v>1108</v>
      </c>
      <c r="F131" s="19" t="s">
        <v>2938</v>
      </c>
      <c r="G131" s="19" t="s">
        <v>2939</v>
      </c>
      <c r="H131" s="19"/>
      <c r="I131" s="19" t="s">
        <v>2940</v>
      </c>
      <c r="J131" s="19" t="s">
        <v>3214</v>
      </c>
      <c r="K131" s="19" t="s">
        <v>3215</v>
      </c>
      <c r="L131" s="19" t="s">
        <v>2943</v>
      </c>
    </row>
    <row r="132" spans="1:13" ht="15.75" customHeight="1">
      <c r="A132" s="19" t="s">
        <v>1111</v>
      </c>
      <c r="B132" s="19" t="s">
        <v>1112</v>
      </c>
      <c r="C132" s="20">
        <v>2025</v>
      </c>
      <c r="D132" s="19" t="s">
        <v>1114</v>
      </c>
      <c r="E132" s="19" t="s">
        <v>1115</v>
      </c>
      <c r="F132" s="19" t="s">
        <v>2938</v>
      </c>
      <c r="G132" s="19" t="s">
        <v>2939</v>
      </c>
      <c r="H132" s="19"/>
      <c r="I132" s="19" t="s">
        <v>2940</v>
      </c>
      <c r="J132" s="19" t="s">
        <v>3216</v>
      </c>
      <c r="K132" s="19" t="s">
        <v>3217</v>
      </c>
      <c r="L132" s="19" t="s">
        <v>2943</v>
      </c>
    </row>
    <row r="133" spans="1:13" ht="15.75" customHeight="1">
      <c r="A133" s="19" t="s">
        <v>1119</v>
      </c>
      <c r="B133" s="19" t="s">
        <v>1120</v>
      </c>
      <c r="C133" s="20">
        <v>2026</v>
      </c>
      <c r="D133" s="19" t="s">
        <v>239</v>
      </c>
      <c r="E133" s="19" t="s">
        <v>1122</v>
      </c>
      <c r="F133" s="19" t="s">
        <v>2938</v>
      </c>
      <c r="G133" s="19" t="s">
        <v>2939</v>
      </c>
      <c r="H133" s="19"/>
      <c r="I133" s="19" t="s">
        <v>2944</v>
      </c>
      <c r="J133" s="19" t="s">
        <v>3218</v>
      </c>
      <c r="K133" s="19" t="s">
        <v>3219</v>
      </c>
      <c r="L133" s="19" t="s">
        <v>2943</v>
      </c>
      <c r="M133" s="19"/>
    </row>
    <row r="134" spans="1:13" ht="15.75" customHeight="1">
      <c r="A134" s="19" t="s">
        <v>1126</v>
      </c>
      <c r="B134" s="19" t="s">
        <v>1127</v>
      </c>
      <c r="C134" s="20">
        <v>2026</v>
      </c>
      <c r="D134" s="19" t="s">
        <v>501</v>
      </c>
      <c r="E134" s="19" t="s">
        <v>1129</v>
      </c>
      <c r="F134" s="19" t="s">
        <v>2938</v>
      </c>
      <c r="G134" s="19" t="s">
        <v>2939</v>
      </c>
      <c r="H134" s="19"/>
      <c r="I134" s="19" t="s">
        <v>2944</v>
      </c>
      <c r="J134" s="19" t="s">
        <v>3220</v>
      </c>
      <c r="K134" s="19" t="s">
        <v>3221</v>
      </c>
      <c r="L134" s="19" t="s">
        <v>2943</v>
      </c>
      <c r="M134" s="19"/>
    </row>
    <row r="135" spans="1:13" ht="15.75" customHeight="1">
      <c r="A135" s="19" t="s">
        <v>1133</v>
      </c>
      <c r="B135" s="19" t="s">
        <v>3222</v>
      </c>
      <c r="C135" s="20">
        <v>2026</v>
      </c>
      <c r="D135" s="19" t="s">
        <v>938</v>
      </c>
      <c r="E135" s="19" t="s">
        <v>1136</v>
      </c>
      <c r="F135" s="19" t="s">
        <v>2938</v>
      </c>
      <c r="G135" s="19" t="s">
        <v>2939</v>
      </c>
      <c r="H135" s="19"/>
      <c r="I135" s="19" t="s">
        <v>2944</v>
      </c>
      <c r="J135" s="19" t="s">
        <v>3223</v>
      </c>
      <c r="K135" s="19" t="s">
        <v>3224</v>
      </c>
      <c r="L135" s="19" t="s">
        <v>2943</v>
      </c>
      <c r="M135" s="19"/>
    </row>
    <row r="136" spans="1:13" ht="15.75" customHeight="1">
      <c r="A136" s="19" t="s">
        <v>1140</v>
      </c>
      <c r="B136" s="19" t="s">
        <v>1141</v>
      </c>
      <c r="C136" s="20">
        <v>2026</v>
      </c>
      <c r="D136" s="19" t="s">
        <v>1143</v>
      </c>
      <c r="E136" s="19" t="s">
        <v>1144</v>
      </c>
      <c r="F136" s="19" t="s">
        <v>2938</v>
      </c>
      <c r="G136" s="19" t="s">
        <v>2939</v>
      </c>
      <c r="H136" s="19"/>
      <c r="I136" s="19" t="s">
        <v>2944</v>
      </c>
      <c r="J136" s="19" t="s">
        <v>3225</v>
      </c>
      <c r="K136" s="19" t="s">
        <v>3226</v>
      </c>
      <c r="L136" s="19" t="s">
        <v>2943</v>
      </c>
      <c r="M136" s="19"/>
    </row>
    <row r="137" spans="1:13" ht="15.75" customHeight="1">
      <c r="A137" s="19" t="s">
        <v>1148</v>
      </c>
      <c r="B137" s="19" t="s">
        <v>1149</v>
      </c>
      <c r="C137" s="20">
        <v>2026</v>
      </c>
      <c r="D137" s="19" t="s">
        <v>1151</v>
      </c>
      <c r="E137" s="19" t="s">
        <v>1152</v>
      </c>
      <c r="F137" s="19" t="s">
        <v>2938</v>
      </c>
      <c r="G137" s="19" t="s">
        <v>2939</v>
      </c>
      <c r="H137" s="19"/>
      <c r="I137" s="19" t="s">
        <v>2940</v>
      </c>
      <c r="J137" s="19" t="s">
        <v>3227</v>
      </c>
      <c r="K137" s="19" t="s">
        <v>3228</v>
      </c>
      <c r="L137" s="19" t="s">
        <v>2943</v>
      </c>
      <c r="M137" s="19"/>
    </row>
    <row r="138" spans="1:13" ht="15.75" hidden="1" customHeight="1">
      <c r="A138" s="19" t="s">
        <v>1155</v>
      </c>
      <c r="B138" s="19" t="s">
        <v>1156</v>
      </c>
      <c r="C138" s="20">
        <v>2018</v>
      </c>
      <c r="D138" s="19" t="s">
        <v>1158</v>
      </c>
      <c r="E138" s="19" t="s">
        <v>1159</v>
      </c>
      <c r="F138" s="19" t="s">
        <v>2938</v>
      </c>
      <c r="G138" s="19" t="s">
        <v>2964</v>
      </c>
      <c r="H138" s="19" t="s">
        <v>305</v>
      </c>
      <c r="I138" s="19" t="s">
        <v>2944</v>
      </c>
      <c r="J138" s="19" t="s">
        <v>3229</v>
      </c>
      <c r="K138" s="19" t="s">
        <v>3230</v>
      </c>
      <c r="L138" s="19" t="s">
        <v>2943</v>
      </c>
      <c r="M138" s="19"/>
    </row>
    <row r="139" spans="1:13" ht="15.75" customHeight="1">
      <c r="A139" s="19" t="s">
        <v>1163</v>
      </c>
      <c r="B139" s="19" t="s">
        <v>1164</v>
      </c>
      <c r="C139" s="20">
        <v>2026</v>
      </c>
      <c r="D139" s="19" t="s">
        <v>540</v>
      </c>
      <c r="E139" s="19" t="s">
        <v>1166</v>
      </c>
      <c r="F139" s="19" t="s">
        <v>2938</v>
      </c>
      <c r="G139" s="19" t="s">
        <v>2939</v>
      </c>
      <c r="H139" s="19"/>
      <c r="I139" s="19" t="s">
        <v>2944</v>
      </c>
      <c r="J139" s="19" t="s">
        <v>3231</v>
      </c>
      <c r="K139" s="19" t="s">
        <v>3232</v>
      </c>
      <c r="L139" s="19" t="s">
        <v>2943</v>
      </c>
      <c r="M139" s="19"/>
    </row>
    <row r="140" spans="1:13" ht="15.75" customHeight="1">
      <c r="A140" s="19" t="s">
        <v>1170</v>
      </c>
      <c r="B140" s="19" t="s">
        <v>1171</v>
      </c>
      <c r="C140" s="20">
        <v>2026</v>
      </c>
      <c r="D140" s="19" t="s">
        <v>540</v>
      </c>
      <c r="E140" s="19" t="s">
        <v>1173</v>
      </c>
      <c r="F140" s="19" t="s">
        <v>2938</v>
      </c>
      <c r="G140" s="19" t="s">
        <v>2939</v>
      </c>
      <c r="H140" s="19"/>
      <c r="I140" s="19" t="s">
        <v>2944</v>
      </c>
      <c r="J140" s="19" t="s">
        <v>3233</v>
      </c>
      <c r="K140" s="19" t="s">
        <v>3234</v>
      </c>
      <c r="L140" s="19" t="s">
        <v>2943</v>
      </c>
      <c r="M140" s="19"/>
    </row>
    <row r="141" spans="1:13" ht="15.75" customHeight="1">
      <c r="A141" s="19" t="s">
        <v>1177</v>
      </c>
      <c r="B141" s="19" t="s">
        <v>1178</v>
      </c>
      <c r="C141" s="20">
        <v>2026</v>
      </c>
      <c r="D141" s="19" t="s">
        <v>309</v>
      </c>
      <c r="E141" s="19" t="s">
        <v>1180</v>
      </c>
      <c r="F141" s="19" t="s">
        <v>2938</v>
      </c>
      <c r="G141" s="19" t="s">
        <v>2939</v>
      </c>
      <c r="H141" s="19"/>
      <c r="I141" s="19" t="s">
        <v>2944</v>
      </c>
      <c r="J141" s="19" t="s">
        <v>3235</v>
      </c>
      <c r="K141" s="19" t="s">
        <v>3236</v>
      </c>
      <c r="L141" s="19" t="s">
        <v>2943</v>
      </c>
      <c r="M141" s="19"/>
    </row>
    <row r="142" spans="1:13" ht="15.75" customHeight="1">
      <c r="A142" s="19" t="s">
        <v>1184</v>
      </c>
      <c r="B142" s="19" t="s">
        <v>1185</v>
      </c>
      <c r="C142" s="20">
        <v>2025</v>
      </c>
      <c r="D142" s="19" t="s">
        <v>540</v>
      </c>
      <c r="E142" s="19" t="s">
        <v>1187</v>
      </c>
      <c r="F142" s="19" t="s">
        <v>2938</v>
      </c>
      <c r="G142" s="19" t="s">
        <v>2939</v>
      </c>
      <c r="H142" s="19"/>
      <c r="I142" s="19" t="s">
        <v>2944</v>
      </c>
      <c r="J142" s="19" t="s">
        <v>3237</v>
      </c>
      <c r="K142" s="19" t="s">
        <v>3238</v>
      </c>
      <c r="L142" s="19" t="s">
        <v>2943</v>
      </c>
      <c r="M142" s="19"/>
    </row>
    <row r="143" spans="1:13" ht="15.75" customHeight="1">
      <c r="A143" s="19" t="s">
        <v>1191</v>
      </c>
      <c r="B143" s="19" t="s">
        <v>1192</v>
      </c>
      <c r="C143" s="20">
        <v>2025</v>
      </c>
      <c r="D143" s="19" t="s">
        <v>1194</v>
      </c>
      <c r="E143" s="19" t="s">
        <v>1195</v>
      </c>
      <c r="F143" s="19" t="s">
        <v>2938</v>
      </c>
      <c r="G143" s="19" t="s">
        <v>2939</v>
      </c>
      <c r="H143" s="19"/>
      <c r="I143" s="19" t="s">
        <v>2940</v>
      </c>
      <c r="J143" s="19" t="s">
        <v>3239</v>
      </c>
      <c r="K143" s="19" t="s">
        <v>3240</v>
      </c>
      <c r="L143" s="19" t="s">
        <v>2943</v>
      </c>
      <c r="M143" s="19"/>
    </row>
    <row r="144" spans="1:13" ht="15.75" customHeight="1">
      <c r="A144" s="19" t="s">
        <v>1199</v>
      </c>
      <c r="B144" s="19" t="s">
        <v>1200</v>
      </c>
      <c r="C144" s="20">
        <v>2026</v>
      </c>
      <c r="D144" s="19" t="s">
        <v>1202</v>
      </c>
      <c r="E144" s="19" t="s">
        <v>1203</v>
      </c>
      <c r="F144" s="19" t="s">
        <v>2938</v>
      </c>
      <c r="G144" s="19" t="s">
        <v>2939</v>
      </c>
      <c r="H144" s="19"/>
      <c r="I144" s="19" t="s">
        <v>2944</v>
      </c>
      <c r="J144" s="19" t="s">
        <v>3241</v>
      </c>
      <c r="K144" s="19" t="s">
        <v>3242</v>
      </c>
      <c r="L144" s="19" t="s">
        <v>2943</v>
      </c>
      <c r="M144" s="19"/>
    </row>
    <row r="145" spans="1:13" ht="15.75" customHeight="1">
      <c r="A145" s="19" t="s">
        <v>1207</v>
      </c>
      <c r="B145" s="19" t="s">
        <v>1208</v>
      </c>
      <c r="C145" s="20">
        <v>2026</v>
      </c>
      <c r="D145" s="19" t="s">
        <v>1210</v>
      </c>
      <c r="E145" s="19" t="s">
        <v>1211</v>
      </c>
      <c r="F145" s="19" t="s">
        <v>2938</v>
      </c>
      <c r="G145" s="19" t="s">
        <v>2939</v>
      </c>
      <c r="H145" s="19"/>
      <c r="I145" s="19" t="s">
        <v>2944</v>
      </c>
      <c r="J145" s="19" t="s">
        <v>3243</v>
      </c>
      <c r="K145" s="19" t="s">
        <v>3244</v>
      </c>
      <c r="L145" s="19" t="s">
        <v>2943</v>
      </c>
      <c r="M145" s="19"/>
    </row>
    <row r="146" spans="1:13" ht="15.75" customHeight="1">
      <c r="A146" s="19" t="s">
        <v>1215</v>
      </c>
      <c r="B146" s="19" t="s">
        <v>1216</v>
      </c>
      <c r="C146" s="20">
        <v>2025</v>
      </c>
      <c r="D146" s="19" t="s">
        <v>570</v>
      </c>
      <c r="E146" s="19" t="s">
        <v>1218</v>
      </c>
      <c r="F146" s="19" t="s">
        <v>2938</v>
      </c>
      <c r="G146" s="19" t="s">
        <v>2939</v>
      </c>
      <c r="H146" s="19"/>
      <c r="I146" s="19" t="s">
        <v>2944</v>
      </c>
      <c r="J146" s="19" t="s">
        <v>3245</v>
      </c>
      <c r="K146" s="19" t="s">
        <v>3246</v>
      </c>
      <c r="L146" s="19" t="s">
        <v>2943</v>
      </c>
      <c r="M146" s="19"/>
    </row>
    <row r="147" spans="1:13" ht="15.75" hidden="1" customHeight="1">
      <c r="A147" s="19" t="s">
        <v>1222</v>
      </c>
      <c r="B147" s="19" t="s">
        <v>1223</v>
      </c>
      <c r="C147" s="20">
        <v>2027</v>
      </c>
      <c r="D147" s="19" t="s">
        <v>828</v>
      </c>
      <c r="E147" s="19" t="s">
        <v>1225</v>
      </c>
      <c r="F147" s="19" t="s">
        <v>2938</v>
      </c>
      <c r="G147" s="19" t="s">
        <v>2964</v>
      </c>
      <c r="H147" s="19" t="s">
        <v>833</v>
      </c>
      <c r="I147" s="19" t="s">
        <v>2944</v>
      </c>
      <c r="J147" s="19" t="s">
        <v>3247</v>
      </c>
      <c r="K147" s="19" t="s">
        <v>3248</v>
      </c>
      <c r="L147" s="19" t="s">
        <v>2943</v>
      </c>
      <c r="M147" s="19" t="s">
        <v>3249</v>
      </c>
    </row>
    <row r="148" spans="1:13" ht="15.75" customHeight="1">
      <c r="A148" s="19" t="s">
        <v>1230</v>
      </c>
      <c r="B148" s="19" t="s">
        <v>1231</v>
      </c>
      <c r="C148" s="20">
        <v>2026</v>
      </c>
      <c r="D148" s="19" t="s">
        <v>269</v>
      </c>
      <c r="E148" s="19" t="s">
        <v>1232</v>
      </c>
      <c r="F148" s="19" t="s">
        <v>2938</v>
      </c>
      <c r="G148" s="19" t="s">
        <v>2939</v>
      </c>
      <c r="H148" s="19"/>
      <c r="I148" s="19" t="s">
        <v>2944</v>
      </c>
      <c r="J148" s="19" t="s">
        <v>3250</v>
      </c>
      <c r="K148" s="19" t="s">
        <v>3251</v>
      </c>
      <c r="L148" s="19" t="s">
        <v>2943</v>
      </c>
      <c r="M148" s="19"/>
    </row>
    <row r="149" spans="1:13" ht="15.75" customHeight="1">
      <c r="A149" s="19" t="s">
        <v>1236</v>
      </c>
      <c r="B149" s="19" t="s">
        <v>1237</v>
      </c>
      <c r="C149" s="20">
        <v>2026</v>
      </c>
      <c r="D149" s="19" t="s">
        <v>1239</v>
      </c>
      <c r="E149" s="19" t="s">
        <v>1240</v>
      </c>
      <c r="F149" s="19" t="s">
        <v>2938</v>
      </c>
      <c r="G149" s="19" t="s">
        <v>2939</v>
      </c>
      <c r="H149" s="19"/>
      <c r="I149" s="19" t="s">
        <v>2944</v>
      </c>
      <c r="J149" s="19" t="s">
        <v>3252</v>
      </c>
      <c r="K149" s="19" t="s">
        <v>3253</v>
      </c>
      <c r="L149" s="19" t="s">
        <v>2943</v>
      </c>
      <c r="M149" s="19"/>
    </row>
    <row r="150" spans="1:13" ht="15.75" customHeight="1">
      <c r="A150" s="19" t="s">
        <v>1244</v>
      </c>
      <c r="B150" s="19" t="s">
        <v>1245</v>
      </c>
      <c r="C150" s="20">
        <v>2022</v>
      </c>
      <c r="D150" s="19" t="s">
        <v>1247</v>
      </c>
      <c r="E150" s="19" t="s">
        <v>1248</v>
      </c>
      <c r="F150" s="19" t="s">
        <v>2938</v>
      </c>
      <c r="G150" s="19" t="s">
        <v>2939</v>
      </c>
      <c r="H150" s="19"/>
      <c r="I150" s="19" t="s">
        <v>2940</v>
      </c>
      <c r="J150" s="19" t="s">
        <v>3254</v>
      </c>
      <c r="K150" s="19" t="s">
        <v>3255</v>
      </c>
      <c r="L150" s="19" t="s">
        <v>2943</v>
      </c>
      <c r="M150" s="19"/>
    </row>
    <row r="151" spans="1:13" ht="15.75" customHeight="1">
      <c r="A151" s="19" t="s">
        <v>1252</v>
      </c>
      <c r="B151" s="19" t="s">
        <v>1253</v>
      </c>
      <c r="C151" s="20">
        <v>2026</v>
      </c>
      <c r="D151" s="19" t="s">
        <v>555</v>
      </c>
      <c r="E151" s="19" t="s">
        <v>1255</v>
      </c>
      <c r="F151" s="19" t="s">
        <v>2938</v>
      </c>
      <c r="G151" s="19" t="s">
        <v>2939</v>
      </c>
      <c r="H151" s="19"/>
      <c r="I151" s="19" t="s">
        <v>2940</v>
      </c>
      <c r="J151" s="19" t="s">
        <v>3256</v>
      </c>
      <c r="K151" s="19" t="s">
        <v>3257</v>
      </c>
      <c r="L151" s="19" t="s">
        <v>2943</v>
      </c>
      <c r="M151" s="19" t="s">
        <v>3258</v>
      </c>
    </row>
    <row r="152" spans="1:13" ht="15.75" customHeight="1">
      <c r="A152" s="19" t="s">
        <v>1259</v>
      </c>
      <c r="B152" s="19" t="s">
        <v>1260</v>
      </c>
      <c r="C152" s="20">
        <v>2026</v>
      </c>
      <c r="D152" s="19" t="s">
        <v>1262</v>
      </c>
      <c r="E152" s="19" t="s">
        <v>1263</v>
      </c>
      <c r="F152" s="19" t="s">
        <v>2938</v>
      </c>
      <c r="G152" s="19" t="s">
        <v>2939</v>
      </c>
      <c r="H152" s="19"/>
      <c r="I152" s="19" t="s">
        <v>2940</v>
      </c>
      <c r="J152" s="19" t="s">
        <v>3259</v>
      </c>
      <c r="K152" s="19" t="s">
        <v>3260</v>
      </c>
      <c r="L152" s="19" t="s">
        <v>2943</v>
      </c>
      <c r="M152" s="19"/>
    </row>
    <row r="153" spans="1:13" ht="15.75" customHeight="1">
      <c r="A153" s="19" t="s">
        <v>1267</v>
      </c>
      <c r="B153" s="19" t="s">
        <v>1268</v>
      </c>
      <c r="C153" s="20">
        <v>2025</v>
      </c>
      <c r="D153" s="19" t="s">
        <v>1035</v>
      </c>
      <c r="E153" s="19" t="s">
        <v>1270</v>
      </c>
      <c r="F153" s="19" t="s">
        <v>2938</v>
      </c>
      <c r="G153" s="19" t="s">
        <v>2939</v>
      </c>
      <c r="H153" s="19"/>
      <c r="I153" s="19" t="s">
        <v>2940</v>
      </c>
      <c r="J153" s="19" t="s">
        <v>3261</v>
      </c>
      <c r="K153" s="19" t="s">
        <v>3262</v>
      </c>
      <c r="L153" s="19" t="s">
        <v>2943</v>
      </c>
      <c r="M153" s="19"/>
    </row>
    <row r="154" spans="1:13" ht="15.75" customHeight="1">
      <c r="A154" s="19" t="s">
        <v>1274</v>
      </c>
      <c r="B154" s="19" t="s">
        <v>1275</v>
      </c>
      <c r="C154" s="20">
        <v>2026</v>
      </c>
      <c r="D154" s="19" t="s">
        <v>239</v>
      </c>
      <c r="E154" s="19" t="s">
        <v>1277</v>
      </c>
      <c r="F154" s="19" t="s">
        <v>2938</v>
      </c>
      <c r="G154" s="19" t="s">
        <v>2939</v>
      </c>
      <c r="H154" s="19"/>
      <c r="I154" s="19" t="s">
        <v>2944</v>
      </c>
      <c r="J154" s="19" t="s">
        <v>3263</v>
      </c>
      <c r="K154" s="19" t="s">
        <v>3264</v>
      </c>
      <c r="L154" s="19" t="s">
        <v>2943</v>
      </c>
      <c r="M154" s="19"/>
    </row>
    <row r="155" spans="1:13" ht="15.75" customHeight="1">
      <c r="A155" s="19" t="s">
        <v>1281</v>
      </c>
      <c r="B155" s="19" t="s">
        <v>1282</v>
      </c>
      <c r="C155" s="20">
        <v>2025</v>
      </c>
      <c r="D155" s="19" t="s">
        <v>1284</v>
      </c>
      <c r="E155" s="19" t="s">
        <v>1285</v>
      </c>
      <c r="F155" s="19" t="s">
        <v>2938</v>
      </c>
      <c r="G155" s="19" t="s">
        <v>2939</v>
      </c>
      <c r="H155" s="19"/>
      <c r="I155" s="19" t="s">
        <v>2944</v>
      </c>
      <c r="J155" s="19" t="s">
        <v>3265</v>
      </c>
      <c r="K155" s="19" t="s">
        <v>3266</v>
      </c>
      <c r="L155" s="19" t="s">
        <v>2943</v>
      </c>
      <c r="M155" s="19"/>
    </row>
    <row r="156" spans="1:13" ht="15.75" customHeight="1">
      <c r="A156" s="19" t="s">
        <v>1289</v>
      </c>
      <c r="B156" s="19" t="s">
        <v>1290</v>
      </c>
      <c r="C156" s="20">
        <v>2026</v>
      </c>
      <c r="D156" s="19" t="s">
        <v>438</v>
      </c>
      <c r="E156" s="19" t="s">
        <v>1292</v>
      </c>
      <c r="F156" s="19" t="s">
        <v>2938</v>
      </c>
      <c r="G156" s="19" t="s">
        <v>2939</v>
      </c>
      <c r="H156" s="19"/>
      <c r="I156" s="19" t="s">
        <v>2940</v>
      </c>
      <c r="J156" s="19" t="s">
        <v>3267</v>
      </c>
      <c r="K156" s="19" t="s">
        <v>3268</v>
      </c>
      <c r="L156" s="19" t="s">
        <v>2943</v>
      </c>
    </row>
    <row r="157" spans="1:13" ht="15.75" hidden="1" customHeight="1">
      <c r="A157" s="19" t="s">
        <v>1296</v>
      </c>
      <c r="B157" s="19" t="s">
        <v>1297</v>
      </c>
      <c r="C157" s="20">
        <v>2024</v>
      </c>
      <c r="D157" s="19" t="s">
        <v>438</v>
      </c>
      <c r="E157" s="19" t="s">
        <v>1299</v>
      </c>
      <c r="F157" s="19" t="s">
        <v>2938</v>
      </c>
      <c r="G157" s="19" t="s">
        <v>2964</v>
      </c>
      <c r="H157" s="19" t="s">
        <v>305</v>
      </c>
      <c r="I157" s="19" t="s">
        <v>2944</v>
      </c>
      <c r="J157" s="19" t="s">
        <v>3269</v>
      </c>
      <c r="K157" s="19" t="s">
        <v>3270</v>
      </c>
      <c r="L157" s="19" t="s">
        <v>2943</v>
      </c>
    </row>
    <row r="158" spans="1:13" ht="15.75" hidden="1" customHeight="1">
      <c r="A158" s="19" t="s">
        <v>1303</v>
      </c>
      <c r="B158" s="19" t="s">
        <v>1304</v>
      </c>
      <c r="C158" s="20">
        <v>2019</v>
      </c>
      <c r="D158" s="19" t="s">
        <v>1306</v>
      </c>
      <c r="E158" s="19" t="s">
        <v>1307</v>
      </c>
      <c r="F158" s="19" t="s">
        <v>2938</v>
      </c>
      <c r="G158" s="19" t="s">
        <v>2964</v>
      </c>
      <c r="H158" s="19" t="s">
        <v>305</v>
      </c>
      <c r="I158" s="19" t="s">
        <v>2944</v>
      </c>
      <c r="J158" s="19" t="s">
        <v>3271</v>
      </c>
      <c r="K158" s="19" t="s">
        <v>3272</v>
      </c>
      <c r="L158" s="19" t="s">
        <v>2943</v>
      </c>
      <c r="M158" s="19"/>
    </row>
    <row r="159" spans="1:13" ht="15.75" hidden="1" customHeight="1">
      <c r="A159" s="19" t="s">
        <v>1311</v>
      </c>
      <c r="B159" s="19" t="s">
        <v>1312</v>
      </c>
      <c r="C159" s="20">
        <v>2025</v>
      </c>
      <c r="D159" s="19" t="s">
        <v>1314</v>
      </c>
      <c r="E159" s="19" t="s">
        <v>1315</v>
      </c>
      <c r="F159" s="19" t="s">
        <v>2938</v>
      </c>
      <c r="G159" s="19" t="s">
        <v>2964</v>
      </c>
      <c r="H159" s="19" t="s">
        <v>305</v>
      </c>
      <c r="I159" s="19" t="s">
        <v>2944</v>
      </c>
      <c r="J159" s="19" t="s">
        <v>3273</v>
      </c>
      <c r="K159" s="19" t="s">
        <v>3274</v>
      </c>
      <c r="L159" s="19" t="s">
        <v>2943</v>
      </c>
      <c r="M159" s="19"/>
    </row>
    <row r="160" spans="1:13" ht="15.75" hidden="1" customHeight="1">
      <c r="A160" s="19" t="s">
        <v>1319</v>
      </c>
      <c r="B160" s="19" t="s">
        <v>1320</v>
      </c>
      <c r="C160" s="20">
        <v>2025</v>
      </c>
      <c r="D160" s="19" t="s">
        <v>1322</v>
      </c>
      <c r="E160" s="19" t="s">
        <v>1323</v>
      </c>
      <c r="F160" s="19" t="s">
        <v>2938</v>
      </c>
      <c r="G160" s="19" t="s">
        <v>2964</v>
      </c>
      <c r="H160" s="19" t="s">
        <v>305</v>
      </c>
      <c r="I160" s="19" t="s">
        <v>2944</v>
      </c>
      <c r="J160" s="19" t="s">
        <v>3275</v>
      </c>
      <c r="K160" s="19" t="s">
        <v>3276</v>
      </c>
      <c r="L160" s="19" t="s">
        <v>2943</v>
      </c>
      <c r="M160" s="19"/>
    </row>
    <row r="161" spans="1:13" ht="15.75" hidden="1" customHeight="1">
      <c r="A161" s="19" t="s">
        <v>1327</v>
      </c>
      <c r="B161" s="19" t="s">
        <v>1328</v>
      </c>
      <c r="C161" s="20">
        <v>2018</v>
      </c>
      <c r="D161" s="19" t="s">
        <v>3277</v>
      </c>
      <c r="E161" s="19" t="s">
        <v>1331</v>
      </c>
      <c r="F161" s="19" t="s">
        <v>2938</v>
      </c>
      <c r="G161" s="19" t="s">
        <v>2964</v>
      </c>
      <c r="H161" s="19" t="s">
        <v>305</v>
      </c>
      <c r="I161" s="19" t="s">
        <v>2944</v>
      </c>
      <c r="J161" s="19" t="s">
        <v>3278</v>
      </c>
      <c r="K161" s="19" t="s">
        <v>3279</v>
      </c>
      <c r="L161" s="19" t="s">
        <v>2943</v>
      </c>
      <c r="M161" s="19"/>
    </row>
    <row r="162" spans="1:13" ht="15.75" hidden="1" customHeight="1">
      <c r="A162" s="19" t="s">
        <v>1334</v>
      </c>
      <c r="B162" s="19" t="s">
        <v>1335</v>
      </c>
      <c r="C162" s="20">
        <v>2025</v>
      </c>
      <c r="D162" s="19" t="s">
        <v>1337</v>
      </c>
      <c r="E162" s="19" t="s">
        <v>1338</v>
      </c>
      <c r="F162" s="19" t="s">
        <v>2938</v>
      </c>
      <c r="G162" s="19" t="s">
        <v>2964</v>
      </c>
      <c r="H162" s="19" t="s">
        <v>305</v>
      </c>
      <c r="I162" s="19" t="s">
        <v>2944</v>
      </c>
      <c r="J162" s="19" t="s">
        <v>3280</v>
      </c>
      <c r="K162" s="19" t="s">
        <v>3281</v>
      </c>
      <c r="L162" s="19" t="s">
        <v>2943</v>
      </c>
      <c r="M162" s="19"/>
    </row>
    <row r="163" spans="1:13" ht="15.75" hidden="1" customHeight="1">
      <c r="A163" s="19" t="s">
        <v>1341</v>
      </c>
      <c r="B163" s="19" t="s">
        <v>1342</v>
      </c>
      <c r="C163" s="20">
        <v>2025</v>
      </c>
      <c r="D163" s="19" t="s">
        <v>415</v>
      </c>
      <c r="E163" s="19" t="s">
        <v>1344</v>
      </c>
      <c r="F163" s="19" t="s">
        <v>2938</v>
      </c>
      <c r="G163" s="19" t="s">
        <v>2964</v>
      </c>
      <c r="H163" s="19" t="s">
        <v>305</v>
      </c>
      <c r="I163" s="19" t="s">
        <v>2944</v>
      </c>
      <c r="J163" s="19" t="s">
        <v>3282</v>
      </c>
      <c r="K163" s="19" t="s">
        <v>3283</v>
      </c>
      <c r="L163" s="19" t="s">
        <v>2943</v>
      </c>
      <c r="M163" s="19"/>
    </row>
    <row r="164" spans="1:13" ht="15.75" hidden="1" customHeight="1">
      <c r="A164" s="19" t="s">
        <v>1347</v>
      </c>
      <c r="B164" s="19" t="s">
        <v>1348</v>
      </c>
      <c r="C164" s="20">
        <v>2022</v>
      </c>
      <c r="D164" s="19" t="s">
        <v>1350</v>
      </c>
      <c r="E164" s="19" t="s">
        <v>1351</v>
      </c>
      <c r="F164" s="19" t="s">
        <v>2938</v>
      </c>
      <c r="G164" s="19" t="s">
        <v>2964</v>
      </c>
      <c r="H164" s="19" t="s">
        <v>971</v>
      </c>
      <c r="I164" s="19" t="s">
        <v>2944</v>
      </c>
      <c r="J164" s="19" t="s">
        <v>3284</v>
      </c>
      <c r="K164" s="19" t="s">
        <v>3285</v>
      </c>
      <c r="L164" s="19" t="s">
        <v>2943</v>
      </c>
      <c r="M164" s="19" t="s">
        <v>3286</v>
      </c>
    </row>
    <row r="165" spans="1:13" ht="15.75" hidden="1" customHeight="1">
      <c r="A165" s="19" t="s">
        <v>1355</v>
      </c>
      <c r="B165" s="19" t="s">
        <v>1356</v>
      </c>
      <c r="C165" s="20">
        <v>2023</v>
      </c>
      <c r="D165" s="19" t="s">
        <v>1358</v>
      </c>
      <c r="E165" s="19" t="s">
        <v>1359</v>
      </c>
      <c r="F165" s="19" t="s">
        <v>2938</v>
      </c>
      <c r="G165" s="19" t="s">
        <v>2964</v>
      </c>
      <c r="H165" s="19" t="s">
        <v>305</v>
      </c>
      <c r="I165" s="19" t="s">
        <v>2944</v>
      </c>
      <c r="J165" s="19" t="s">
        <v>3287</v>
      </c>
      <c r="K165" s="19" t="s">
        <v>3288</v>
      </c>
      <c r="L165" s="19" t="s">
        <v>2943</v>
      </c>
      <c r="M165" s="19"/>
    </row>
    <row r="166" spans="1:13" ht="15.75" hidden="1" customHeight="1">
      <c r="A166" s="19" t="s">
        <v>1363</v>
      </c>
      <c r="B166" s="19" t="s">
        <v>1364</v>
      </c>
      <c r="C166" s="20">
        <v>2026</v>
      </c>
      <c r="D166" s="19" t="s">
        <v>1366</v>
      </c>
      <c r="E166" s="19" t="s">
        <v>1367</v>
      </c>
      <c r="F166" s="19" t="s">
        <v>2938</v>
      </c>
      <c r="G166" s="19" t="s">
        <v>2964</v>
      </c>
      <c r="H166" s="19" t="s">
        <v>305</v>
      </c>
      <c r="I166" s="19" t="s">
        <v>2944</v>
      </c>
      <c r="J166" s="19" t="s">
        <v>3289</v>
      </c>
      <c r="K166" s="19" t="s">
        <v>3290</v>
      </c>
      <c r="L166" s="19" t="s">
        <v>2943</v>
      </c>
      <c r="M166" s="19"/>
    </row>
    <row r="167" spans="1:13" ht="15.75" hidden="1" customHeight="1">
      <c r="A167" s="19" t="s">
        <v>1371</v>
      </c>
      <c r="B167" s="19" t="s">
        <v>1372</v>
      </c>
      <c r="C167" s="20">
        <v>2025</v>
      </c>
      <c r="D167" s="19" t="s">
        <v>255</v>
      </c>
      <c r="E167" s="19" t="s">
        <v>1374</v>
      </c>
      <c r="F167" s="19" t="s">
        <v>2938</v>
      </c>
      <c r="G167" s="19" t="s">
        <v>2964</v>
      </c>
      <c r="H167" s="19" t="s">
        <v>305</v>
      </c>
      <c r="I167" s="19" t="s">
        <v>2944</v>
      </c>
      <c r="J167" s="19" t="s">
        <v>3291</v>
      </c>
      <c r="K167" s="19" t="s">
        <v>3292</v>
      </c>
      <c r="L167" s="19" t="s">
        <v>2943</v>
      </c>
      <c r="M167" s="19"/>
    </row>
    <row r="168" spans="1:13" ht="15.75" hidden="1" customHeight="1">
      <c r="A168" s="19" t="s">
        <v>1378</v>
      </c>
      <c r="B168" s="19" t="s">
        <v>1379</v>
      </c>
      <c r="C168" s="20">
        <v>2025</v>
      </c>
      <c r="D168" s="19" t="s">
        <v>1381</v>
      </c>
      <c r="E168" s="19" t="s">
        <v>1382</v>
      </c>
      <c r="F168" s="19" t="s">
        <v>2938</v>
      </c>
      <c r="G168" s="19" t="s">
        <v>2964</v>
      </c>
      <c r="H168" s="19" t="s">
        <v>305</v>
      </c>
      <c r="I168" s="19" t="s">
        <v>2944</v>
      </c>
      <c r="J168" s="19" t="s">
        <v>3293</v>
      </c>
      <c r="K168" s="19" t="s">
        <v>3294</v>
      </c>
      <c r="L168" s="19" t="s">
        <v>2943</v>
      </c>
      <c r="M168" s="19"/>
    </row>
    <row r="169" spans="1:13" ht="15.75" hidden="1" customHeight="1">
      <c r="A169" s="19" t="s">
        <v>1385</v>
      </c>
      <c r="B169" s="19" t="s">
        <v>1386</v>
      </c>
      <c r="C169" s="20">
        <v>2023</v>
      </c>
      <c r="D169" s="19" t="s">
        <v>332</v>
      </c>
      <c r="E169" s="19" t="s">
        <v>1388</v>
      </c>
      <c r="F169" s="19" t="s">
        <v>2938</v>
      </c>
      <c r="G169" s="19" t="s">
        <v>2964</v>
      </c>
      <c r="H169" s="19" t="s">
        <v>305</v>
      </c>
      <c r="I169" s="19" t="s">
        <v>2944</v>
      </c>
      <c r="J169" s="19" t="s">
        <v>3295</v>
      </c>
      <c r="K169" s="19" t="s">
        <v>3296</v>
      </c>
      <c r="L169" s="19" t="s">
        <v>2943</v>
      </c>
      <c r="M169" s="19"/>
    </row>
    <row r="170" spans="1:13" ht="15.75" hidden="1" customHeight="1">
      <c r="A170" s="19" t="s">
        <v>1392</v>
      </c>
      <c r="B170" s="19" t="s">
        <v>3297</v>
      </c>
      <c r="C170" s="20">
        <v>2024</v>
      </c>
      <c r="D170" s="19" t="s">
        <v>715</v>
      </c>
      <c r="E170" s="19" t="s">
        <v>1395</v>
      </c>
      <c r="F170" s="19" t="s">
        <v>2938</v>
      </c>
      <c r="G170" s="19" t="s">
        <v>2964</v>
      </c>
      <c r="H170" s="19" t="s">
        <v>3004</v>
      </c>
      <c r="I170" s="19" t="s">
        <v>2944</v>
      </c>
      <c r="J170" s="19" t="s">
        <v>3298</v>
      </c>
      <c r="K170" s="19" t="s">
        <v>3299</v>
      </c>
      <c r="L170" s="19" t="s">
        <v>2943</v>
      </c>
      <c r="M170" s="19" t="s">
        <v>3300</v>
      </c>
    </row>
    <row r="171" spans="1:13" ht="15.75" hidden="1" customHeight="1">
      <c r="A171" s="19" t="s">
        <v>1398</v>
      </c>
      <c r="B171" s="19" t="s">
        <v>1399</v>
      </c>
      <c r="C171" s="20">
        <v>2026</v>
      </c>
      <c r="D171" s="19" t="s">
        <v>1401</v>
      </c>
      <c r="E171" s="19" t="s">
        <v>1402</v>
      </c>
      <c r="F171" s="19" t="s">
        <v>2938</v>
      </c>
      <c r="G171" s="19" t="s">
        <v>2964</v>
      </c>
      <c r="H171" s="19" t="s">
        <v>305</v>
      </c>
      <c r="I171" s="19" t="s">
        <v>2944</v>
      </c>
      <c r="J171" s="19" t="s">
        <v>3301</v>
      </c>
      <c r="K171" s="19" t="s">
        <v>3302</v>
      </c>
      <c r="L171" s="19" t="s">
        <v>2943</v>
      </c>
      <c r="M171" s="19"/>
    </row>
    <row r="172" spans="1:13" ht="15.75" hidden="1" customHeight="1">
      <c r="A172" s="19" t="s">
        <v>1405</v>
      </c>
      <c r="B172" s="19" t="s">
        <v>1406</v>
      </c>
      <c r="C172" s="20">
        <v>2026</v>
      </c>
      <c r="D172" s="19" t="s">
        <v>1408</v>
      </c>
      <c r="E172" s="19" t="s">
        <v>1409</v>
      </c>
      <c r="F172" s="19" t="s">
        <v>2938</v>
      </c>
      <c r="G172" s="19" t="s">
        <v>2964</v>
      </c>
      <c r="H172" s="19" t="s">
        <v>305</v>
      </c>
      <c r="I172" s="19" t="s">
        <v>2944</v>
      </c>
      <c r="J172" s="19" t="s">
        <v>3303</v>
      </c>
      <c r="K172" s="19" t="s">
        <v>3304</v>
      </c>
      <c r="L172" s="19" t="s">
        <v>2943</v>
      </c>
      <c r="M172" s="19"/>
    </row>
    <row r="173" spans="1:13" ht="15.75" hidden="1" customHeight="1">
      <c r="A173" s="19" t="s">
        <v>1412</v>
      </c>
      <c r="B173" s="19" t="s">
        <v>1413</v>
      </c>
      <c r="C173" s="20">
        <v>2016</v>
      </c>
      <c r="D173" s="19" t="s">
        <v>1415</v>
      </c>
      <c r="E173" s="19" t="s">
        <v>1416</v>
      </c>
      <c r="F173" s="19" t="s">
        <v>2938</v>
      </c>
      <c r="G173" s="19" t="s">
        <v>2964</v>
      </c>
      <c r="H173" s="19" t="s">
        <v>305</v>
      </c>
      <c r="I173" s="19" t="s">
        <v>2944</v>
      </c>
      <c r="J173" s="19" t="s">
        <v>3305</v>
      </c>
      <c r="K173" s="19" t="s">
        <v>3306</v>
      </c>
      <c r="L173" s="19" t="s">
        <v>2943</v>
      </c>
      <c r="M173" s="19"/>
    </row>
    <row r="174" spans="1:13" ht="15.75" hidden="1" customHeight="1">
      <c r="A174" s="19" t="s">
        <v>1420</v>
      </c>
      <c r="B174" s="19" t="s">
        <v>1421</v>
      </c>
      <c r="C174" s="20">
        <v>2024</v>
      </c>
      <c r="D174" s="19" t="s">
        <v>1423</v>
      </c>
      <c r="E174" s="19" t="s">
        <v>1424</v>
      </c>
      <c r="F174" s="19" t="s">
        <v>2938</v>
      </c>
      <c r="G174" s="19" t="s">
        <v>2964</v>
      </c>
      <c r="H174" s="19" t="s">
        <v>305</v>
      </c>
      <c r="I174" s="19" t="s">
        <v>2944</v>
      </c>
      <c r="J174" s="19" t="s">
        <v>3307</v>
      </c>
      <c r="K174" s="19" t="s">
        <v>3308</v>
      </c>
      <c r="L174" s="19" t="s">
        <v>2943</v>
      </c>
      <c r="M174" s="19"/>
    </row>
    <row r="175" spans="1:13" ht="15.75" hidden="1" customHeight="1">
      <c r="A175" s="19" t="s">
        <v>1428</v>
      </c>
      <c r="B175" s="19" t="s">
        <v>1429</v>
      </c>
      <c r="C175" s="20">
        <v>2026</v>
      </c>
      <c r="D175" s="19" t="s">
        <v>975</v>
      </c>
      <c r="E175" s="19" t="s">
        <v>1431</v>
      </c>
      <c r="F175" s="19" t="s">
        <v>2938</v>
      </c>
      <c r="G175" s="19" t="s">
        <v>2964</v>
      </c>
      <c r="H175" s="19" t="s">
        <v>305</v>
      </c>
      <c r="I175" s="19" t="s">
        <v>2944</v>
      </c>
      <c r="J175" s="19" t="s">
        <v>3309</v>
      </c>
      <c r="K175" s="19" t="s">
        <v>3310</v>
      </c>
      <c r="L175" s="19" t="s">
        <v>2943</v>
      </c>
      <c r="M175" s="19"/>
    </row>
    <row r="176" spans="1:13" ht="15.75" hidden="1" customHeight="1">
      <c r="A176" s="19" t="s">
        <v>1435</v>
      </c>
      <c r="B176" s="19" t="s">
        <v>1436</v>
      </c>
      <c r="C176" s="20">
        <v>2025</v>
      </c>
      <c r="D176" s="19" t="s">
        <v>365</v>
      </c>
      <c r="E176" s="19" t="s">
        <v>1438</v>
      </c>
      <c r="F176" s="19" t="s">
        <v>2938</v>
      </c>
      <c r="G176" s="19" t="s">
        <v>2964</v>
      </c>
      <c r="H176" s="19" t="s">
        <v>305</v>
      </c>
      <c r="I176" s="19" t="s">
        <v>2944</v>
      </c>
      <c r="J176" s="19" t="s">
        <v>3311</v>
      </c>
      <c r="K176" s="19" t="s">
        <v>3312</v>
      </c>
      <c r="L176" s="19" t="s">
        <v>2943</v>
      </c>
      <c r="M176" s="19"/>
    </row>
    <row r="177" spans="1:13" ht="15.75" hidden="1" customHeight="1">
      <c r="A177" s="19" t="s">
        <v>1442</v>
      </c>
      <c r="B177" s="19" t="s">
        <v>1443</v>
      </c>
      <c r="C177" s="20">
        <v>2024</v>
      </c>
      <c r="D177" s="19" t="s">
        <v>1445</v>
      </c>
      <c r="E177" s="19" t="s">
        <v>1446</v>
      </c>
      <c r="F177" s="19" t="s">
        <v>2938</v>
      </c>
      <c r="G177" s="19" t="s">
        <v>2964</v>
      </c>
      <c r="H177" s="19" t="s">
        <v>305</v>
      </c>
      <c r="I177" s="19" t="s">
        <v>2944</v>
      </c>
      <c r="J177" s="19" t="s">
        <v>3313</v>
      </c>
      <c r="K177" s="19" t="s">
        <v>3314</v>
      </c>
      <c r="L177" s="19" t="s">
        <v>2943</v>
      </c>
      <c r="M177" s="19"/>
    </row>
    <row r="178" spans="1:13" ht="15.75" hidden="1" customHeight="1">
      <c r="A178" s="19" t="s">
        <v>1449</v>
      </c>
      <c r="B178" s="19" t="s">
        <v>1450</v>
      </c>
      <c r="C178" s="20">
        <v>2025</v>
      </c>
      <c r="D178" s="19" t="s">
        <v>1086</v>
      </c>
      <c r="E178" s="19" t="s">
        <v>1452</v>
      </c>
      <c r="F178" s="19" t="s">
        <v>2938</v>
      </c>
      <c r="G178" s="19" t="s">
        <v>2964</v>
      </c>
      <c r="H178" s="19" t="s">
        <v>305</v>
      </c>
      <c r="I178" s="19" t="s">
        <v>2940</v>
      </c>
      <c r="J178" s="19" t="s">
        <v>3315</v>
      </c>
      <c r="K178" s="19" t="s">
        <v>3316</v>
      </c>
      <c r="L178" s="19" t="s">
        <v>2943</v>
      </c>
      <c r="M178" s="19"/>
    </row>
    <row r="179" spans="1:13" ht="15.75" hidden="1" customHeight="1">
      <c r="A179" s="19" t="s">
        <v>1456</v>
      </c>
      <c r="B179" s="19" t="s">
        <v>1457</v>
      </c>
      <c r="C179" s="20">
        <v>2026</v>
      </c>
      <c r="D179" s="19" t="s">
        <v>1459</v>
      </c>
      <c r="E179" s="19" t="s">
        <v>1460</v>
      </c>
      <c r="F179" s="19" t="s">
        <v>2938</v>
      </c>
      <c r="G179" s="19" t="s">
        <v>2964</v>
      </c>
      <c r="H179" s="19" t="s">
        <v>305</v>
      </c>
      <c r="I179" s="19" t="s">
        <v>2944</v>
      </c>
      <c r="J179" s="19" t="s">
        <v>3317</v>
      </c>
      <c r="K179" s="19" t="s">
        <v>3318</v>
      </c>
      <c r="L179" s="19" t="s">
        <v>2943</v>
      </c>
      <c r="M179" s="19"/>
    </row>
    <row r="180" spans="1:13" ht="15.75" hidden="1" customHeight="1">
      <c r="A180" s="19" t="s">
        <v>1464</v>
      </c>
      <c r="B180" s="19" t="s">
        <v>1465</v>
      </c>
      <c r="C180" s="20">
        <v>2024</v>
      </c>
      <c r="D180" s="19" t="s">
        <v>255</v>
      </c>
      <c r="E180" s="19" t="s">
        <v>1467</v>
      </c>
      <c r="F180" s="19" t="s">
        <v>2938</v>
      </c>
      <c r="G180" s="19" t="s">
        <v>2964</v>
      </c>
      <c r="H180" s="19" t="s">
        <v>305</v>
      </c>
      <c r="I180" s="19" t="s">
        <v>2944</v>
      </c>
      <c r="J180" s="19" t="s">
        <v>3319</v>
      </c>
      <c r="K180" s="19" t="s">
        <v>3320</v>
      </c>
      <c r="L180" s="19" t="s">
        <v>2943</v>
      </c>
      <c r="M180" s="19"/>
    </row>
    <row r="181" spans="1:13" ht="15.75" hidden="1" customHeight="1">
      <c r="A181" s="19" t="s">
        <v>1471</v>
      </c>
      <c r="B181" s="19" t="s">
        <v>1472</v>
      </c>
      <c r="C181" s="20">
        <v>2025</v>
      </c>
      <c r="D181" s="19" t="s">
        <v>438</v>
      </c>
      <c r="E181" s="19" t="s">
        <v>1474</v>
      </c>
      <c r="F181" s="19" t="s">
        <v>2938</v>
      </c>
      <c r="G181" s="19" t="s">
        <v>2964</v>
      </c>
      <c r="H181" s="19" t="s">
        <v>305</v>
      </c>
      <c r="I181" s="19" t="s">
        <v>2944</v>
      </c>
      <c r="J181" s="19" t="s">
        <v>3321</v>
      </c>
      <c r="K181" s="19" t="s">
        <v>3322</v>
      </c>
      <c r="L181" s="19" t="s">
        <v>2943</v>
      </c>
    </row>
    <row r="182" spans="1:13" ht="15.75" hidden="1" customHeight="1">
      <c r="A182" s="19" t="s">
        <v>1478</v>
      </c>
      <c r="B182" s="19" t="s">
        <v>1479</v>
      </c>
      <c r="C182" s="20">
        <v>2020</v>
      </c>
      <c r="D182" s="19" t="s">
        <v>1481</v>
      </c>
      <c r="E182" s="19" t="s">
        <v>1482</v>
      </c>
      <c r="F182" s="19" t="s">
        <v>2938</v>
      </c>
      <c r="G182" s="19" t="s">
        <v>2964</v>
      </c>
      <c r="H182" s="19" t="s">
        <v>305</v>
      </c>
      <c r="I182" s="19" t="s">
        <v>2944</v>
      </c>
      <c r="J182" s="19" t="s">
        <v>3323</v>
      </c>
      <c r="K182" s="19" t="s">
        <v>3324</v>
      </c>
      <c r="L182" s="19" t="s">
        <v>2943</v>
      </c>
    </row>
    <row r="183" spans="1:13" ht="15.75" hidden="1" customHeight="1">
      <c r="A183" s="19" t="s">
        <v>1485</v>
      </c>
      <c r="B183" s="19" t="s">
        <v>1486</v>
      </c>
      <c r="C183" s="20">
        <v>2021</v>
      </c>
      <c r="D183" s="19" t="s">
        <v>2772</v>
      </c>
      <c r="E183" s="19" t="s">
        <v>1489</v>
      </c>
      <c r="F183" s="19" t="s">
        <v>2938</v>
      </c>
      <c r="G183" s="19" t="s">
        <v>2964</v>
      </c>
      <c r="H183" s="19" t="s">
        <v>305</v>
      </c>
      <c r="I183" s="19" t="s">
        <v>2944</v>
      </c>
      <c r="J183" s="19" t="s">
        <v>3325</v>
      </c>
      <c r="K183" s="19" t="s">
        <v>3326</v>
      </c>
      <c r="L183" s="19" t="s">
        <v>2943</v>
      </c>
      <c r="M183" s="19"/>
    </row>
    <row r="184" spans="1:13" ht="15.75" hidden="1" customHeight="1">
      <c r="A184" s="19" t="s">
        <v>1492</v>
      </c>
      <c r="B184" s="19" t="s">
        <v>1493</v>
      </c>
      <c r="C184" s="20">
        <v>2026</v>
      </c>
      <c r="D184" s="19" t="s">
        <v>438</v>
      </c>
      <c r="E184" s="19" t="s">
        <v>1495</v>
      </c>
      <c r="F184" s="19" t="s">
        <v>2938</v>
      </c>
      <c r="G184" s="19" t="s">
        <v>2964</v>
      </c>
      <c r="H184" s="19" t="s">
        <v>305</v>
      </c>
      <c r="I184" s="19" t="s">
        <v>2944</v>
      </c>
      <c r="J184" s="19" t="s">
        <v>3327</v>
      </c>
      <c r="K184" s="19" t="s">
        <v>3328</v>
      </c>
      <c r="L184" s="19" t="s">
        <v>2943</v>
      </c>
      <c r="M184" s="19"/>
    </row>
    <row r="185" spans="1:13" ht="15.75" hidden="1" customHeight="1">
      <c r="A185" s="19" t="s">
        <v>1499</v>
      </c>
      <c r="B185" s="19" t="s">
        <v>1500</v>
      </c>
      <c r="C185" s="20">
        <v>2026</v>
      </c>
      <c r="D185" s="19" t="s">
        <v>1502</v>
      </c>
      <c r="E185" s="19" t="s">
        <v>1503</v>
      </c>
      <c r="F185" s="19" t="s">
        <v>2938</v>
      </c>
      <c r="G185" s="19" t="s">
        <v>2964</v>
      </c>
      <c r="H185" s="19" t="s">
        <v>305</v>
      </c>
      <c r="I185" s="19" t="s">
        <v>2944</v>
      </c>
      <c r="J185" s="19" t="s">
        <v>3329</v>
      </c>
      <c r="K185" s="19" t="s">
        <v>3330</v>
      </c>
      <c r="L185" s="19" t="s">
        <v>2943</v>
      </c>
      <c r="M185" s="19"/>
    </row>
    <row r="186" spans="1:13" ht="15.75" hidden="1" customHeight="1">
      <c r="A186" s="19" t="s">
        <v>1506</v>
      </c>
      <c r="B186" s="19" t="s">
        <v>1507</v>
      </c>
      <c r="C186" s="20">
        <v>2011</v>
      </c>
      <c r="D186" s="19" t="s">
        <v>1509</v>
      </c>
      <c r="E186" s="19" t="s">
        <v>1510</v>
      </c>
      <c r="F186" s="19" t="s">
        <v>2938</v>
      </c>
      <c r="G186" s="19" t="s">
        <v>2964</v>
      </c>
      <c r="H186" s="19" t="s">
        <v>305</v>
      </c>
      <c r="I186" s="19" t="s">
        <v>2944</v>
      </c>
      <c r="J186" s="19" t="s">
        <v>3331</v>
      </c>
      <c r="K186" s="19" t="s">
        <v>3332</v>
      </c>
      <c r="L186" s="19" t="s">
        <v>2943</v>
      </c>
      <c r="M186" s="19"/>
    </row>
    <row r="187" spans="1:13" ht="15.75" hidden="1" customHeight="1">
      <c r="A187" s="19" t="s">
        <v>1513</v>
      </c>
      <c r="B187" s="19" t="s">
        <v>1514</v>
      </c>
      <c r="C187" s="20">
        <v>2025</v>
      </c>
      <c r="D187" s="19" t="s">
        <v>517</v>
      </c>
      <c r="E187" s="19" t="s">
        <v>1516</v>
      </c>
      <c r="F187" s="19" t="s">
        <v>2938</v>
      </c>
      <c r="G187" s="19" t="s">
        <v>2964</v>
      </c>
      <c r="H187" s="19" t="s">
        <v>305</v>
      </c>
      <c r="I187" s="19" t="s">
        <v>2944</v>
      </c>
      <c r="J187" s="19" t="s">
        <v>3333</v>
      </c>
      <c r="K187" s="19" t="s">
        <v>3334</v>
      </c>
      <c r="L187" s="19" t="s">
        <v>2943</v>
      </c>
      <c r="M187" s="19"/>
    </row>
    <row r="188" spans="1:13" ht="15.75" hidden="1" customHeight="1">
      <c r="A188" s="19" t="s">
        <v>1520</v>
      </c>
      <c r="B188" s="19" t="s">
        <v>1521</v>
      </c>
      <c r="C188" s="20">
        <v>2024</v>
      </c>
      <c r="D188" s="19" t="s">
        <v>277</v>
      </c>
      <c r="E188" s="19" t="s">
        <v>1523</v>
      </c>
      <c r="F188" s="19" t="s">
        <v>2938</v>
      </c>
      <c r="G188" s="19" t="s">
        <v>2964</v>
      </c>
      <c r="H188" s="19" t="s">
        <v>305</v>
      </c>
      <c r="I188" s="19" t="s">
        <v>2944</v>
      </c>
      <c r="J188" s="19" t="s">
        <v>3335</v>
      </c>
      <c r="K188" s="19" t="s">
        <v>3336</v>
      </c>
      <c r="L188" s="19" t="s">
        <v>2943</v>
      </c>
      <c r="M188" s="19"/>
    </row>
    <row r="189" spans="1:13" ht="15.75" hidden="1" customHeight="1">
      <c r="A189" s="19" t="s">
        <v>1527</v>
      </c>
      <c r="B189" s="19" t="s">
        <v>1528</v>
      </c>
      <c r="C189" s="20">
        <v>2026</v>
      </c>
      <c r="D189" s="19" t="s">
        <v>1158</v>
      </c>
      <c r="E189" s="19" t="s">
        <v>1530</v>
      </c>
      <c r="F189" s="19" t="s">
        <v>2938</v>
      </c>
      <c r="G189" s="19" t="s">
        <v>2964</v>
      </c>
      <c r="H189" s="19" t="s">
        <v>305</v>
      </c>
      <c r="I189" s="19" t="s">
        <v>2944</v>
      </c>
      <c r="J189" s="19" t="s">
        <v>3337</v>
      </c>
      <c r="K189" s="19" t="s">
        <v>3338</v>
      </c>
      <c r="L189" s="19" t="s">
        <v>2943</v>
      </c>
      <c r="M189" s="19"/>
    </row>
    <row r="190" spans="1:13" ht="15.75" hidden="1" customHeight="1">
      <c r="A190" s="19" t="s">
        <v>1534</v>
      </c>
      <c r="B190" s="19" t="s">
        <v>1535</v>
      </c>
      <c r="C190" s="20">
        <v>2025</v>
      </c>
      <c r="D190" s="19" t="s">
        <v>3339</v>
      </c>
      <c r="E190" s="19" t="s">
        <v>1537</v>
      </c>
      <c r="F190" s="19" t="s">
        <v>2938</v>
      </c>
      <c r="G190" s="19" t="s">
        <v>2964</v>
      </c>
      <c r="H190" s="19" t="s">
        <v>305</v>
      </c>
      <c r="I190" s="19" t="s">
        <v>2944</v>
      </c>
      <c r="J190" s="19" t="s">
        <v>3340</v>
      </c>
      <c r="K190" s="19" t="s">
        <v>3341</v>
      </c>
      <c r="L190" s="19" t="s">
        <v>2943</v>
      </c>
      <c r="M190" s="19"/>
    </row>
    <row r="191" spans="1:13" ht="15.75" hidden="1" customHeight="1">
      <c r="A191" s="19" t="s">
        <v>1541</v>
      </c>
      <c r="B191" s="19" t="s">
        <v>1542</v>
      </c>
      <c r="C191" s="20">
        <v>2025</v>
      </c>
      <c r="D191" s="19" t="s">
        <v>1544</v>
      </c>
      <c r="E191" s="19" t="s">
        <v>1545</v>
      </c>
      <c r="F191" s="19" t="s">
        <v>2938</v>
      </c>
      <c r="G191" s="19" t="s">
        <v>2964</v>
      </c>
      <c r="H191" s="19" t="s">
        <v>971</v>
      </c>
      <c r="I191" s="19" t="s">
        <v>2944</v>
      </c>
      <c r="J191" s="19" t="s">
        <v>3342</v>
      </c>
      <c r="K191" s="19" t="s">
        <v>3343</v>
      </c>
      <c r="L191" s="19" t="s">
        <v>2943</v>
      </c>
      <c r="M191" s="19" t="s">
        <v>3344</v>
      </c>
    </row>
    <row r="192" spans="1:13" ht="15.75" hidden="1" customHeight="1">
      <c r="A192" s="19" t="s">
        <v>1548</v>
      </c>
      <c r="B192" s="19" t="s">
        <v>1549</v>
      </c>
      <c r="C192" s="20">
        <v>2022</v>
      </c>
      <c r="D192" s="19" t="s">
        <v>540</v>
      </c>
      <c r="E192" s="19" t="s">
        <v>1551</v>
      </c>
      <c r="F192" s="19" t="s">
        <v>2938</v>
      </c>
      <c r="G192" s="19" t="s">
        <v>2964</v>
      </c>
      <c r="H192" s="19" t="s">
        <v>305</v>
      </c>
      <c r="I192" s="19" t="s">
        <v>2944</v>
      </c>
      <c r="J192" s="19" t="s">
        <v>3345</v>
      </c>
      <c r="K192" s="19" t="s">
        <v>3346</v>
      </c>
      <c r="L192" s="19" t="s">
        <v>2943</v>
      </c>
      <c r="M192" s="19"/>
    </row>
    <row r="193" spans="1:13" ht="15.75" hidden="1" customHeight="1">
      <c r="A193" s="19" t="s">
        <v>1555</v>
      </c>
      <c r="B193" s="19" t="s">
        <v>1556</v>
      </c>
      <c r="C193" s="20">
        <v>2025</v>
      </c>
      <c r="D193" s="19" t="s">
        <v>438</v>
      </c>
      <c r="E193" s="19" t="s">
        <v>1558</v>
      </c>
      <c r="F193" s="19" t="s">
        <v>2938</v>
      </c>
      <c r="G193" s="19" t="s">
        <v>2964</v>
      </c>
      <c r="H193" s="19" t="s">
        <v>305</v>
      </c>
      <c r="I193" s="19" t="s">
        <v>2944</v>
      </c>
      <c r="J193" s="19" t="s">
        <v>3347</v>
      </c>
      <c r="K193" s="19" t="s">
        <v>3348</v>
      </c>
      <c r="L193" s="19" t="s">
        <v>2943</v>
      </c>
      <c r="M193" s="19"/>
    </row>
    <row r="194" spans="1:13" ht="15.75" hidden="1" customHeight="1">
      <c r="A194" s="19" t="s">
        <v>1562</v>
      </c>
      <c r="B194" s="19" t="s">
        <v>1563</v>
      </c>
      <c r="C194" s="20">
        <v>2024</v>
      </c>
      <c r="D194" s="19" t="s">
        <v>1565</v>
      </c>
      <c r="E194" s="19" t="s">
        <v>1566</v>
      </c>
      <c r="F194" s="19" t="s">
        <v>2938</v>
      </c>
      <c r="G194" s="19" t="s">
        <v>2964</v>
      </c>
      <c r="H194" s="19" t="s">
        <v>305</v>
      </c>
      <c r="I194" s="19" t="s">
        <v>2944</v>
      </c>
      <c r="J194" s="19" t="s">
        <v>3349</v>
      </c>
      <c r="K194" s="19" t="s">
        <v>3350</v>
      </c>
      <c r="L194" s="19" t="s">
        <v>2943</v>
      </c>
      <c r="M194" s="19"/>
    </row>
    <row r="195" spans="1:13" ht="15.75" hidden="1" customHeight="1">
      <c r="A195" s="19" t="s">
        <v>1570</v>
      </c>
      <c r="B195" s="19" t="s">
        <v>1571</v>
      </c>
      <c r="C195" s="20">
        <v>2022</v>
      </c>
      <c r="D195" s="19" t="s">
        <v>1573</v>
      </c>
      <c r="E195" s="19" t="s">
        <v>1574</v>
      </c>
      <c r="F195" s="19" t="s">
        <v>2938</v>
      </c>
      <c r="G195" s="19" t="s">
        <v>2964</v>
      </c>
      <c r="H195" s="19" t="s">
        <v>305</v>
      </c>
      <c r="I195" s="19" t="s">
        <v>2944</v>
      </c>
      <c r="J195" s="19" t="s">
        <v>3351</v>
      </c>
      <c r="K195" s="19" t="s">
        <v>3352</v>
      </c>
      <c r="L195" s="19" t="s">
        <v>2943</v>
      </c>
      <c r="M195" s="19"/>
    </row>
    <row r="196" spans="1:13" ht="15.75" hidden="1" customHeight="1">
      <c r="A196" s="19" t="s">
        <v>1577</v>
      </c>
      <c r="B196" s="19" t="s">
        <v>1578</v>
      </c>
      <c r="C196" s="20">
        <v>2024</v>
      </c>
      <c r="D196" s="19" t="s">
        <v>1580</v>
      </c>
      <c r="E196" s="19" t="s">
        <v>1581</v>
      </c>
      <c r="F196" s="19" t="s">
        <v>2938</v>
      </c>
      <c r="G196" s="19" t="s">
        <v>2964</v>
      </c>
      <c r="H196" s="19" t="s">
        <v>305</v>
      </c>
      <c r="I196" s="19" t="s">
        <v>2944</v>
      </c>
      <c r="J196" s="19" t="s">
        <v>3353</v>
      </c>
      <c r="K196" s="19" t="s">
        <v>3354</v>
      </c>
      <c r="L196" s="19" t="s">
        <v>2943</v>
      </c>
      <c r="M196" s="19"/>
    </row>
    <row r="197" spans="1:13" ht="15.75" hidden="1" customHeight="1">
      <c r="A197" s="19" t="s">
        <v>1584</v>
      </c>
      <c r="B197" s="19" t="s">
        <v>1585</v>
      </c>
      <c r="C197" s="20">
        <v>2026</v>
      </c>
      <c r="D197" s="19" t="s">
        <v>1587</v>
      </c>
      <c r="E197" s="19" t="s">
        <v>1588</v>
      </c>
      <c r="F197" s="19" t="s">
        <v>2938</v>
      </c>
      <c r="G197" s="19" t="s">
        <v>2964</v>
      </c>
      <c r="H197" s="19" t="s">
        <v>305</v>
      </c>
      <c r="I197" s="19" t="s">
        <v>2944</v>
      </c>
      <c r="J197" s="19" t="s">
        <v>3355</v>
      </c>
      <c r="K197" s="19" t="s">
        <v>3356</v>
      </c>
      <c r="L197" s="19" t="s">
        <v>2943</v>
      </c>
      <c r="M197" s="19"/>
    </row>
    <row r="198" spans="1:13" ht="15.75" hidden="1" customHeight="1">
      <c r="A198" s="19" t="s">
        <v>1592</v>
      </c>
      <c r="B198" s="19" t="s">
        <v>3357</v>
      </c>
      <c r="C198" s="20">
        <v>2026</v>
      </c>
      <c r="D198" s="19" t="s">
        <v>1595</v>
      </c>
      <c r="E198" s="19" t="s">
        <v>1596</v>
      </c>
      <c r="F198" s="19" t="s">
        <v>2938</v>
      </c>
      <c r="G198" s="19" t="s">
        <v>2964</v>
      </c>
      <c r="H198" s="19" t="s">
        <v>305</v>
      </c>
      <c r="I198" s="19" t="s">
        <v>2944</v>
      </c>
      <c r="J198" s="19" t="s">
        <v>3358</v>
      </c>
      <c r="K198" s="19" t="s">
        <v>3359</v>
      </c>
      <c r="L198" s="19" t="s">
        <v>2943</v>
      </c>
      <c r="M198" s="19"/>
    </row>
    <row r="199" spans="1:13" ht="15.75" hidden="1" customHeight="1">
      <c r="A199" s="19" t="s">
        <v>1599</v>
      </c>
      <c r="B199" s="19" t="s">
        <v>1600</v>
      </c>
      <c r="C199" s="20">
        <v>2017</v>
      </c>
      <c r="D199" s="19" t="s">
        <v>1602</v>
      </c>
      <c r="E199" s="19" t="s">
        <v>1603</v>
      </c>
      <c r="F199" s="19" t="s">
        <v>2938</v>
      </c>
      <c r="G199" s="19" t="s">
        <v>2964</v>
      </c>
      <c r="H199" s="19" t="s">
        <v>305</v>
      </c>
      <c r="I199" s="19" t="s">
        <v>2944</v>
      </c>
      <c r="J199" s="19" t="s">
        <v>3360</v>
      </c>
      <c r="K199" s="19" t="s">
        <v>3361</v>
      </c>
      <c r="L199" s="19" t="s">
        <v>2943</v>
      </c>
      <c r="M199" s="19"/>
    </row>
    <row r="200" spans="1:13" ht="15.75" hidden="1" customHeight="1">
      <c r="A200" s="19" t="s">
        <v>1607</v>
      </c>
      <c r="B200" s="19" t="s">
        <v>1608</v>
      </c>
      <c r="C200" s="20">
        <v>2026</v>
      </c>
      <c r="D200" s="19" t="s">
        <v>1610</v>
      </c>
      <c r="E200" s="19" t="s">
        <v>1611</v>
      </c>
      <c r="F200" s="19" t="s">
        <v>2938</v>
      </c>
      <c r="G200" s="19" t="s">
        <v>2964</v>
      </c>
      <c r="H200" s="19" t="s">
        <v>305</v>
      </c>
      <c r="I200" s="19" t="s">
        <v>2944</v>
      </c>
      <c r="J200" s="19" t="s">
        <v>3362</v>
      </c>
      <c r="K200" s="19" t="s">
        <v>3363</v>
      </c>
      <c r="L200" s="19" t="s">
        <v>2943</v>
      </c>
      <c r="M200" s="19"/>
    </row>
    <row r="201" spans="1:13" ht="15.75" hidden="1" customHeight="1">
      <c r="A201" s="19" t="s">
        <v>1614</v>
      </c>
      <c r="B201" s="19" t="s">
        <v>1615</v>
      </c>
      <c r="C201" s="20">
        <v>2023</v>
      </c>
      <c r="D201" s="19" t="s">
        <v>1617</v>
      </c>
      <c r="E201" s="19" t="s">
        <v>1618</v>
      </c>
      <c r="F201" s="19" t="s">
        <v>2938</v>
      </c>
      <c r="G201" s="19" t="s">
        <v>2964</v>
      </c>
      <c r="H201" s="19" t="s">
        <v>305</v>
      </c>
      <c r="I201" s="19" t="s">
        <v>2944</v>
      </c>
      <c r="J201" s="19" t="s">
        <v>3364</v>
      </c>
      <c r="K201" s="19" t="s">
        <v>3365</v>
      </c>
      <c r="L201" s="19" t="s">
        <v>2943</v>
      </c>
      <c r="M201" s="19" t="s">
        <v>3366</v>
      </c>
    </row>
    <row r="202" spans="1:13" ht="15.75" hidden="1" customHeight="1">
      <c r="A202" s="19" t="s">
        <v>1622</v>
      </c>
      <c r="B202" s="19" t="s">
        <v>1623</v>
      </c>
      <c r="C202" s="20">
        <v>2023</v>
      </c>
      <c r="D202" s="19" t="s">
        <v>1239</v>
      </c>
      <c r="E202" s="19" t="s">
        <v>1626</v>
      </c>
      <c r="F202" s="19" t="s">
        <v>2938</v>
      </c>
      <c r="G202" s="19" t="s">
        <v>2964</v>
      </c>
      <c r="H202" s="19" t="s">
        <v>305</v>
      </c>
      <c r="I202" s="19" t="s">
        <v>2944</v>
      </c>
      <c r="J202" s="19" t="s">
        <v>3367</v>
      </c>
      <c r="K202" s="19" t="s">
        <v>3368</v>
      </c>
      <c r="L202" s="19" t="s">
        <v>2943</v>
      </c>
      <c r="M202" s="19"/>
    </row>
    <row r="203" spans="1:13" ht="15.75" hidden="1" customHeight="1">
      <c r="A203" s="19" t="s">
        <v>1630</v>
      </c>
      <c r="B203" s="19" t="s">
        <v>1631</v>
      </c>
      <c r="C203" s="20">
        <v>2025</v>
      </c>
      <c r="D203" s="19" t="s">
        <v>182</v>
      </c>
      <c r="E203" s="19" t="s">
        <v>1633</v>
      </c>
      <c r="F203" s="19" t="s">
        <v>2938</v>
      </c>
      <c r="G203" s="19" t="s">
        <v>2964</v>
      </c>
      <c r="H203" s="19" t="s">
        <v>305</v>
      </c>
      <c r="I203" s="19" t="s">
        <v>2944</v>
      </c>
      <c r="J203" s="19" t="s">
        <v>3369</v>
      </c>
      <c r="K203" s="19" t="s">
        <v>3370</v>
      </c>
      <c r="L203" s="19" t="s">
        <v>2943</v>
      </c>
      <c r="M203" s="19"/>
    </row>
    <row r="204" spans="1:13" ht="15.75" hidden="1" customHeight="1">
      <c r="A204" s="19" t="s">
        <v>1637</v>
      </c>
      <c r="B204" s="19" t="s">
        <v>1638</v>
      </c>
      <c r="C204" s="20">
        <v>2022</v>
      </c>
      <c r="D204" s="19" t="s">
        <v>438</v>
      </c>
      <c r="E204" s="19" t="s">
        <v>1640</v>
      </c>
      <c r="F204" s="19" t="s">
        <v>2938</v>
      </c>
      <c r="G204" s="19" t="s">
        <v>2964</v>
      </c>
      <c r="H204" s="19" t="s">
        <v>305</v>
      </c>
      <c r="I204" s="19" t="s">
        <v>2944</v>
      </c>
      <c r="J204" s="19" t="s">
        <v>3371</v>
      </c>
      <c r="K204" s="19" t="s">
        <v>3372</v>
      </c>
      <c r="L204" s="19" t="s">
        <v>2943</v>
      </c>
      <c r="M204" s="19"/>
    </row>
    <row r="205" spans="1:13" ht="15.75" hidden="1" customHeight="1">
      <c r="A205" s="19" t="s">
        <v>1644</v>
      </c>
      <c r="B205" s="19" t="s">
        <v>1645</v>
      </c>
      <c r="C205" s="20">
        <v>2022</v>
      </c>
      <c r="D205" s="19" t="s">
        <v>1647</v>
      </c>
      <c r="E205" s="19" t="s">
        <v>1648</v>
      </c>
      <c r="F205" s="19" t="s">
        <v>2938</v>
      </c>
      <c r="G205" s="19" t="s">
        <v>2964</v>
      </c>
      <c r="H205" s="19" t="s">
        <v>305</v>
      </c>
      <c r="I205" s="19" t="s">
        <v>2944</v>
      </c>
      <c r="J205" s="19" t="s">
        <v>3373</v>
      </c>
      <c r="K205" s="19" t="s">
        <v>3374</v>
      </c>
      <c r="L205" s="19" t="s">
        <v>2943</v>
      </c>
      <c r="M205" s="19"/>
    </row>
    <row r="206" spans="1:13" ht="15.75" hidden="1" customHeight="1">
      <c r="A206" s="19" t="s">
        <v>1652</v>
      </c>
      <c r="B206" s="19" t="s">
        <v>1653</v>
      </c>
      <c r="C206" s="20">
        <v>2025</v>
      </c>
      <c r="D206" s="19" t="s">
        <v>3375</v>
      </c>
      <c r="E206" s="19" t="s">
        <v>1656</v>
      </c>
      <c r="F206" s="19" t="s">
        <v>2938</v>
      </c>
      <c r="G206" s="19" t="s">
        <v>2964</v>
      </c>
      <c r="H206" s="19" t="s">
        <v>305</v>
      </c>
      <c r="I206" s="19" t="s">
        <v>2944</v>
      </c>
      <c r="J206" s="19" t="s">
        <v>3376</v>
      </c>
      <c r="K206" s="19" t="s">
        <v>3377</v>
      </c>
      <c r="L206" s="19" t="s">
        <v>2943</v>
      </c>
    </row>
    <row r="207" spans="1:13" ht="15.75" hidden="1" customHeight="1">
      <c r="A207" s="19" t="s">
        <v>1659</v>
      </c>
      <c r="B207" s="19" t="s">
        <v>1660</v>
      </c>
      <c r="C207" s="20">
        <v>2026</v>
      </c>
      <c r="D207" s="19" t="s">
        <v>1662</v>
      </c>
      <c r="E207" s="19" t="s">
        <v>1663</v>
      </c>
      <c r="F207" s="19" t="s">
        <v>2938</v>
      </c>
      <c r="G207" s="19" t="s">
        <v>2964</v>
      </c>
      <c r="H207" s="19" t="s">
        <v>305</v>
      </c>
      <c r="I207" s="19" t="s">
        <v>2944</v>
      </c>
      <c r="J207" s="19" t="s">
        <v>3378</v>
      </c>
      <c r="K207" s="19" t="s">
        <v>3379</v>
      </c>
      <c r="L207" s="19" t="s">
        <v>2943</v>
      </c>
    </row>
    <row r="208" spans="1:13" ht="15.75" hidden="1" customHeight="1">
      <c r="A208" s="19" t="s">
        <v>1666</v>
      </c>
      <c r="B208" s="19" t="s">
        <v>1667</v>
      </c>
      <c r="C208" s="20">
        <v>2026</v>
      </c>
      <c r="D208" s="19" t="s">
        <v>1239</v>
      </c>
      <c r="E208" s="19" t="s">
        <v>1669</v>
      </c>
      <c r="F208" s="19" t="s">
        <v>2938</v>
      </c>
      <c r="G208" s="19" t="s">
        <v>2964</v>
      </c>
      <c r="H208" s="19" t="s">
        <v>305</v>
      </c>
      <c r="I208" s="19" t="s">
        <v>2944</v>
      </c>
      <c r="J208" s="19" t="s">
        <v>3380</v>
      </c>
      <c r="K208" s="19" t="s">
        <v>3381</v>
      </c>
      <c r="L208" s="19" t="s">
        <v>2943</v>
      </c>
      <c r="M208" s="19"/>
    </row>
    <row r="209" spans="1:13" ht="15.75" hidden="1" customHeight="1">
      <c r="A209" s="19" t="s">
        <v>1673</v>
      </c>
      <c r="B209" s="19" t="s">
        <v>1674</v>
      </c>
      <c r="C209" s="20">
        <v>2020</v>
      </c>
      <c r="D209" s="19" t="s">
        <v>1676</v>
      </c>
      <c r="E209" s="19" t="s">
        <v>1677</v>
      </c>
      <c r="F209" s="19" t="s">
        <v>2938</v>
      </c>
      <c r="G209" s="19" t="s">
        <v>2964</v>
      </c>
      <c r="H209" s="19" t="s">
        <v>305</v>
      </c>
      <c r="I209" s="19" t="s">
        <v>2944</v>
      </c>
      <c r="J209" s="19" t="s">
        <v>3382</v>
      </c>
      <c r="K209" s="19" t="s">
        <v>3383</v>
      </c>
      <c r="L209" s="19" t="s">
        <v>2943</v>
      </c>
      <c r="M209" s="19"/>
    </row>
    <row r="210" spans="1:13" ht="15.75" hidden="1" customHeight="1">
      <c r="A210" s="19" t="s">
        <v>1680</v>
      </c>
      <c r="B210" s="19" t="s">
        <v>1681</v>
      </c>
      <c r="C210" s="20">
        <v>1997</v>
      </c>
      <c r="D210" s="19" t="s">
        <v>501</v>
      </c>
      <c r="E210" s="19" t="s">
        <v>1683</v>
      </c>
      <c r="F210" s="19" t="s">
        <v>2938</v>
      </c>
      <c r="G210" s="19" t="s">
        <v>2964</v>
      </c>
      <c r="H210" s="19" t="s">
        <v>305</v>
      </c>
      <c r="I210" s="19" t="s">
        <v>2944</v>
      </c>
      <c r="J210" s="19" t="s">
        <v>3384</v>
      </c>
      <c r="K210" s="19" t="s">
        <v>3385</v>
      </c>
      <c r="L210" s="19" t="s">
        <v>2943</v>
      </c>
      <c r="M210" s="19"/>
    </row>
    <row r="211" spans="1:13" ht="15.75" hidden="1" customHeight="1">
      <c r="A211" s="19" t="s">
        <v>1687</v>
      </c>
      <c r="B211" s="19" t="s">
        <v>1688</v>
      </c>
      <c r="C211" s="20">
        <v>2023</v>
      </c>
      <c r="D211" s="19" t="s">
        <v>1158</v>
      </c>
      <c r="E211" s="19" t="s">
        <v>1690</v>
      </c>
      <c r="F211" s="19" t="s">
        <v>2938</v>
      </c>
      <c r="G211" s="19" t="s">
        <v>2964</v>
      </c>
      <c r="H211" s="19" t="s">
        <v>305</v>
      </c>
      <c r="I211" s="19" t="s">
        <v>2944</v>
      </c>
      <c r="J211" s="19" t="s">
        <v>3386</v>
      </c>
      <c r="K211" s="19" t="s">
        <v>3387</v>
      </c>
      <c r="L211" s="19" t="s">
        <v>2943</v>
      </c>
      <c r="M211" s="19"/>
    </row>
    <row r="212" spans="1:13" ht="15.75" hidden="1" customHeight="1">
      <c r="A212" s="19" t="s">
        <v>1694</v>
      </c>
      <c r="B212" s="19" t="s">
        <v>1695</v>
      </c>
      <c r="C212" s="20">
        <v>2020</v>
      </c>
      <c r="D212" s="19" t="s">
        <v>438</v>
      </c>
      <c r="E212" s="19" t="s">
        <v>1697</v>
      </c>
      <c r="F212" s="19" t="s">
        <v>2938</v>
      </c>
      <c r="G212" s="19" t="s">
        <v>2964</v>
      </c>
      <c r="H212" s="19" t="s">
        <v>305</v>
      </c>
      <c r="I212" s="19" t="s">
        <v>2944</v>
      </c>
      <c r="J212" s="19" t="s">
        <v>3388</v>
      </c>
      <c r="K212" s="19" t="s">
        <v>3389</v>
      </c>
      <c r="L212" s="19" t="s">
        <v>2943</v>
      </c>
      <c r="M212" s="19"/>
    </row>
    <row r="213" spans="1:13" ht="15.75" hidden="1" customHeight="1">
      <c r="A213" s="19" t="s">
        <v>1701</v>
      </c>
      <c r="B213" s="19" t="s">
        <v>1702</v>
      </c>
      <c r="C213" s="20">
        <v>2019</v>
      </c>
      <c r="D213" s="19" t="s">
        <v>901</v>
      </c>
      <c r="E213" s="19" t="s">
        <v>1704</v>
      </c>
      <c r="F213" s="19" t="s">
        <v>2938</v>
      </c>
      <c r="G213" s="19" t="s">
        <v>2964</v>
      </c>
      <c r="H213" s="19" t="s">
        <v>305</v>
      </c>
      <c r="I213" s="19" t="s">
        <v>2944</v>
      </c>
      <c r="J213" s="19" t="s">
        <v>3390</v>
      </c>
      <c r="K213" s="19" t="s">
        <v>3391</v>
      </c>
      <c r="L213" s="19" t="s">
        <v>2943</v>
      </c>
      <c r="M213" s="19"/>
    </row>
    <row r="214" spans="1:13" ht="15.75" hidden="1" customHeight="1">
      <c r="A214" s="19" t="s">
        <v>1708</v>
      </c>
      <c r="B214" s="19" t="s">
        <v>1709</v>
      </c>
      <c r="C214" s="20">
        <v>2026</v>
      </c>
      <c r="D214" s="19" t="s">
        <v>1415</v>
      </c>
      <c r="E214" s="19" t="s">
        <v>1711</v>
      </c>
      <c r="F214" s="19" t="s">
        <v>2938</v>
      </c>
      <c r="G214" s="19" t="s">
        <v>2964</v>
      </c>
      <c r="H214" s="19" t="s">
        <v>305</v>
      </c>
      <c r="I214" s="19" t="s">
        <v>2944</v>
      </c>
      <c r="J214" s="19" t="s">
        <v>3392</v>
      </c>
      <c r="K214" s="19" t="s">
        <v>3393</v>
      </c>
      <c r="L214" s="19" t="s">
        <v>2943</v>
      </c>
      <c r="M214" s="19"/>
    </row>
    <row r="215" spans="1:13" ht="15.75" hidden="1" customHeight="1">
      <c r="A215" s="19" t="s">
        <v>1715</v>
      </c>
      <c r="B215" s="19" t="s">
        <v>1716</v>
      </c>
      <c r="C215" s="20">
        <v>2026</v>
      </c>
      <c r="D215" s="19" t="s">
        <v>1718</v>
      </c>
      <c r="E215" s="19" t="s">
        <v>1719</v>
      </c>
      <c r="F215" s="19" t="s">
        <v>2938</v>
      </c>
      <c r="G215" s="19" t="s">
        <v>2964</v>
      </c>
      <c r="H215" s="19" t="s">
        <v>305</v>
      </c>
      <c r="I215" s="19" t="s">
        <v>2944</v>
      </c>
      <c r="J215" s="19" t="s">
        <v>3394</v>
      </c>
      <c r="K215" s="19" t="s">
        <v>3395</v>
      </c>
      <c r="L215" s="19" t="s">
        <v>2943</v>
      </c>
      <c r="M215" s="19"/>
    </row>
    <row r="216" spans="1:13" ht="15.75" hidden="1" customHeight="1">
      <c r="A216" s="19" t="s">
        <v>1722</v>
      </c>
      <c r="B216" s="19" t="s">
        <v>1723</v>
      </c>
      <c r="C216" s="20">
        <v>2021</v>
      </c>
      <c r="D216" s="19" t="s">
        <v>1565</v>
      </c>
      <c r="E216" s="19" t="s">
        <v>1725</v>
      </c>
      <c r="F216" s="19" t="s">
        <v>2938</v>
      </c>
      <c r="G216" s="19" t="s">
        <v>2964</v>
      </c>
      <c r="H216" s="19" t="s">
        <v>305</v>
      </c>
      <c r="I216" s="19" t="s">
        <v>2944</v>
      </c>
      <c r="J216" s="19" t="s">
        <v>3396</v>
      </c>
      <c r="K216" s="19" t="s">
        <v>3397</v>
      </c>
      <c r="L216" s="19" t="s">
        <v>2943</v>
      </c>
      <c r="M216" s="19"/>
    </row>
    <row r="217" spans="1:13" ht="15.75" hidden="1" customHeight="1">
      <c r="A217" s="19" t="s">
        <v>1729</v>
      </c>
      <c r="B217" s="19" t="s">
        <v>1730</v>
      </c>
      <c r="C217" s="20">
        <v>2022</v>
      </c>
      <c r="D217" s="19" t="s">
        <v>1732</v>
      </c>
      <c r="E217" s="19" t="s">
        <v>1733</v>
      </c>
      <c r="F217" s="19" t="s">
        <v>2938</v>
      </c>
      <c r="G217" s="19" t="s">
        <v>2964</v>
      </c>
      <c r="H217" s="19" t="s">
        <v>305</v>
      </c>
      <c r="I217" s="19" t="s">
        <v>2944</v>
      </c>
      <c r="J217" s="19" t="s">
        <v>3398</v>
      </c>
      <c r="K217" s="19" t="s">
        <v>3399</v>
      </c>
      <c r="L217" s="19" t="s">
        <v>2943</v>
      </c>
      <c r="M217" s="19"/>
    </row>
    <row r="218" spans="1:13" ht="15.75" customHeight="1">
      <c r="A218" s="19" t="s">
        <v>1737</v>
      </c>
      <c r="B218" s="19" t="s">
        <v>1738</v>
      </c>
      <c r="C218" s="20">
        <v>2025</v>
      </c>
      <c r="D218" s="19" t="s">
        <v>144</v>
      </c>
      <c r="E218" s="19" t="s">
        <v>1740</v>
      </c>
      <c r="F218" s="19" t="s">
        <v>2938</v>
      </c>
      <c r="G218" s="19" t="s">
        <v>2939</v>
      </c>
      <c r="H218" s="19"/>
      <c r="I218" s="19" t="s">
        <v>2944</v>
      </c>
      <c r="J218" s="19" t="s">
        <v>3400</v>
      </c>
      <c r="K218" s="19" t="s">
        <v>3401</v>
      </c>
      <c r="L218" s="19" t="s">
        <v>2943</v>
      </c>
      <c r="M218" s="19" t="s">
        <v>3402</v>
      </c>
    </row>
    <row r="219" spans="1:13" ht="15.75" hidden="1" customHeight="1">
      <c r="A219" s="19" t="s">
        <v>1744</v>
      </c>
      <c r="B219" s="19" t="s">
        <v>1745</v>
      </c>
      <c r="C219" s="20">
        <v>2026</v>
      </c>
      <c r="D219" s="19" t="s">
        <v>1747</v>
      </c>
      <c r="E219" s="19" t="s">
        <v>1748</v>
      </c>
      <c r="F219" s="19" t="s">
        <v>2938</v>
      </c>
      <c r="G219" s="19" t="s">
        <v>2964</v>
      </c>
      <c r="H219" s="19" t="s">
        <v>305</v>
      </c>
      <c r="I219" s="19" t="s">
        <v>2944</v>
      </c>
      <c r="J219" s="19" t="s">
        <v>3403</v>
      </c>
      <c r="K219" s="19" t="s">
        <v>3404</v>
      </c>
      <c r="L219" s="19" t="s">
        <v>2943</v>
      </c>
      <c r="M219" s="19"/>
    </row>
    <row r="220" spans="1:13" ht="15.75" hidden="1" customHeight="1">
      <c r="A220" s="19" t="s">
        <v>1751</v>
      </c>
      <c r="B220" s="19" t="s">
        <v>1752</v>
      </c>
      <c r="C220" s="20">
        <v>2025</v>
      </c>
      <c r="D220" s="19" t="s">
        <v>1754</v>
      </c>
      <c r="E220" s="19" t="s">
        <v>1755</v>
      </c>
      <c r="F220" s="19" t="s">
        <v>2938</v>
      </c>
      <c r="G220" s="19" t="s">
        <v>2964</v>
      </c>
      <c r="H220" s="19" t="s">
        <v>305</v>
      </c>
      <c r="I220" s="19" t="s">
        <v>2944</v>
      </c>
      <c r="J220" s="19" t="s">
        <v>3405</v>
      </c>
      <c r="K220" s="19" t="s">
        <v>3406</v>
      </c>
      <c r="L220" s="19" t="s">
        <v>2943</v>
      </c>
      <c r="M220" s="19"/>
    </row>
    <row r="221" spans="1:13" ht="15.75" hidden="1" customHeight="1">
      <c r="A221" s="19" t="s">
        <v>1759</v>
      </c>
      <c r="B221" s="19" t="s">
        <v>1760</v>
      </c>
      <c r="C221" s="20">
        <v>2026</v>
      </c>
      <c r="D221" s="19" t="s">
        <v>1762</v>
      </c>
      <c r="E221" s="19" t="s">
        <v>1763</v>
      </c>
      <c r="F221" s="19" t="s">
        <v>2938</v>
      </c>
      <c r="G221" s="19" t="s">
        <v>2964</v>
      </c>
      <c r="H221" s="19" t="s">
        <v>305</v>
      </c>
      <c r="I221" s="19" t="s">
        <v>2944</v>
      </c>
      <c r="J221" s="19" t="s">
        <v>3407</v>
      </c>
      <c r="K221" s="19" t="s">
        <v>3408</v>
      </c>
      <c r="L221" s="19" t="s">
        <v>2943</v>
      </c>
      <c r="M221" s="19"/>
    </row>
    <row r="222" spans="1:13" ht="15.75" hidden="1" customHeight="1">
      <c r="A222" s="19" t="s">
        <v>1767</v>
      </c>
      <c r="B222" s="19" t="s">
        <v>1768</v>
      </c>
      <c r="C222" s="20">
        <v>2025</v>
      </c>
      <c r="D222" s="19" t="s">
        <v>1770</v>
      </c>
      <c r="E222" s="19" t="s">
        <v>1771</v>
      </c>
      <c r="F222" s="19" t="s">
        <v>2938</v>
      </c>
      <c r="G222" s="19" t="s">
        <v>2964</v>
      </c>
      <c r="H222" s="19" t="s">
        <v>305</v>
      </c>
      <c r="I222" s="19" t="s">
        <v>2944</v>
      </c>
      <c r="J222" s="19" t="s">
        <v>3409</v>
      </c>
      <c r="K222" s="19" t="s">
        <v>3410</v>
      </c>
      <c r="L222" s="19" t="s">
        <v>2943</v>
      </c>
      <c r="M222" s="19"/>
    </row>
    <row r="223" spans="1:13" ht="15.75" customHeight="1">
      <c r="A223" s="19" t="s">
        <v>1774</v>
      </c>
      <c r="B223" s="19" t="s">
        <v>1775</v>
      </c>
      <c r="C223" s="20">
        <v>2024</v>
      </c>
      <c r="D223" s="19" t="s">
        <v>1602</v>
      </c>
      <c r="E223" s="19" t="s">
        <v>1777</v>
      </c>
      <c r="F223" s="19" t="s">
        <v>2938</v>
      </c>
      <c r="G223" s="19" t="s">
        <v>2939</v>
      </c>
      <c r="H223" s="19"/>
      <c r="I223" s="19" t="s">
        <v>2944</v>
      </c>
      <c r="J223" s="19" t="s">
        <v>3411</v>
      </c>
      <c r="K223" s="19" t="s">
        <v>3412</v>
      </c>
      <c r="L223" s="19" t="s">
        <v>2943</v>
      </c>
      <c r="M223" s="19" t="s">
        <v>3413</v>
      </c>
    </row>
    <row r="224" spans="1:13" ht="15.75" hidden="1" customHeight="1">
      <c r="A224" s="19" t="s">
        <v>1781</v>
      </c>
      <c r="B224" s="19" t="s">
        <v>1782</v>
      </c>
      <c r="C224" s="20">
        <v>2025</v>
      </c>
      <c r="D224" s="19" t="s">
        <v>517</v>
      </c>
      <c r="E224" s="19" t="s">
        <v>1784</v>
      </c>
      <c r="F224" s="19" t="s">
        <v>2938</v>
      </c>
      <c r="G224" s="19" t="s">
        <v>2964</v>
      </c>
      <c r="H224" s="19" t="s">
        <v>305</v>
      </c>
      <c r="I224" s="19" t="s">
        <v>2944</v>
      </c>
      <c r="J224" s="19" t="s">
        <v>3414</v>
      </c>
      <c r="K224" s="19" t="s">
        <v>3415</v>
      </c>
      <c r="L224" s="19" t="s">
        <v>2943</v>
      </c>
      <c r="M224" s="19"/>
    </row>
    <row r="225" spans="1:13" ht="15.75" hidden="1" customHeight="1">
      <c r="A225" s="19" t="s">
        <v>1788</v>
      </c>
      <c r="B225" s="19" t="s">
        <v>1789</v>
      </c>
      <c r="C225" s="20">
        <v>2023</v>
      </c>
      <c r="D225" s="19" t="s">
        <v>1791</v>
      </c>
      <c r="E225" s="19" t="s">
        <v>1792</v>
      </c>
      <c r="F225" s="19" t="s">
        <v>2938</v>
      </c>
      <c r="G225" s="19" t="s">
        <v>2964</v>
      </c>
      <c r="H225" s="19" t="s">
        <v>305</v>
      </c>
      <c r="I225" s="19" t="s">
        <v>2944</v>
      </c>
      <c r="J225" s="19" t="s">
        <v>3416</v>
      </c>
      <c r="K225" s="19" t="s">
        <v>3417</v>
      </c>
      <c r="L225" s="19" t="s">
        <v>2943</v>
      </c>
      <c r="M225" s="19"/>
    </row>
    <row r="226" spans="1:13" ht="15.75" hidden="1" customHeight="1">
      <c r="A226" s="19" t="s">
        <v>1796</v>
      </c>
      <c r="B226" s="19" t="s">
        <v>1797</v>
      </c>
      <c r="C226" s="20">
        <v>2025</v>
      </c>
      <c r="D226" s="19" t="s">
        <v>153</v>
      </c>
      <c r="E226" s="19" t="s">
        <v>1799</v>
      </c>
      <c r="F226" s="19" t="s">
        <v>2938</v>
      </c>
      <c r="G226" s="19" t="s">
        <v>2964</v>
      </c>
      <c r="H226" s="19" t="s">
        <v>305</v>
      </c>
      <c r="I226" s="19" t="s">
        <v>2944</v>
      </c>
      <c r="J226" s="19" t="s">
        <v>3418</v>
      </c>
      <c r="K226" s="19" t="s">
        <v>3419</v>
      </c>
      <c r="L226" s="19" t="s">
        <v>2943</v>
      </c>
      <c r="M226" s="19"/>
    </row>
    <row r="227" spans="1:13" ht="15.75" hidden="1" customHeight="1">
      <c r="A227" s="19" t="s">
        <v>1803</v>
      </c>
      <c r="B227" s="19" t="s">
        <v>1804</v>
      </c>
      <c r="C227" s="20">
        <v>2024</v>
      </c>
      <c r="D227" s="19" t="s">
        <v>1806</v>
      </c>
      <c r="E227" s="19" t="s">
        <v>1807</v>
      </c>
      <c r="F227" s="19" t="s">
        <v>2938</v>
      </c>
      <c r="G227" s="19" t="s">
        <v>2964</v>
      </c>
      <c r="H227" s="19" t="s">
        <v>305</v>
      </c>
      <c r="I227" s="19" t="s">
        <v>2944</v>
      </c>
      <c r="J227" s="19" t="s">
        <v>3420</v>
      </c>
      <c r="K227" s="19" t="s">
        <v>3421</v>
      </c>
      <c r="L227" s="19" t="s">
        <v>2943</v>
      </c>
      <c r="M227" s="19"/>
    </row>
    <row r="228" spans="1:13" ht="15.75" hidden="1" customHeight="1">
      <c r="A228" s="19" t="s">
        <v>1811</v>
      </c>
      <c r="B228" s="19" t="s">
        <v>1812</v>
      </c>
      <c r="C228" s="20">
        <v>2021</v>
      </c>
      <c r="D228" s="19" t="s">
        <v>1814</v>
      </c>
      <c r="E228" s="19" t="s">
        <v>1815</v>
      </c>
      <c r="F228" s="19" t="s">
        <v>2938</v>
      </c>
      <c r="G228" s="19" t="s">
        <v>2964</v>
      </c>
      <c r="H228" s="19" t="s">
        <v>305</v>
      </c>
      <c r="I228" s="19" t="s">
        <v>2944</v>
      </c>
      <c r="J228" s="19" t="s">
        <v>3422</v>
      </c>
      <c r="K228" s="19" t="s">
        <v>3423</v>
      </c>
      <c r="L228" s="19" t="s">
        <v>2943</v>
      </c>
      <c r="M228" s="19"/>
    </row>
    <row r="229" spans="1:13" ht="15.75" customHeight="1">
      <c r="A229" s="19" t="s">
        <v>1819</v>
      </c>
      <c r="B229" s="19" t="s">
        <v>1820</v>
      </c>
      <c r="C229" s="20">
        <v>2026</v>
      </c>
      <c r="D229" s="19" t="s">
        <v>501</v>
      </c>
      <c r="E229" s="19" t="s">
        <v>1822</v>
      </c>
      <c r="F229" s="19" t="s">
        <v>2938</v>
      </c>
      <c r="G229" s="19" t="s">
        <v>2939</v>
      </c>
      <c r="H229" s="19"/>
      <c r="I229" s="19" t="s">
        <v>2944</v>
      </c>
      <c r="J229" s="19" t="s">
        <v>3424</v>
      </c>
      <c r="K229" s="19" t="s">
        <v>3425</v>
      </c>
      <c r="L229" s="19" t="s">
        <v>2943</v>
      </c>
      <c r="M229" s="19" t="s">
        <v>3426</v>
      </c>
    </row>
    <row r="230" spans="1:13" ht="15.75" hidden="1" customHeight="1">
      <c r="A230" s="19" t="s">
        <v>1826</v>
      </c>
      <c r="B230" s="19" t="s">
        <v>1827</v>
      </c>
      <c r="C230" s="20">
        <v>2023</v>
      </c>
      <c r="D230" s="19" t="s">
        <v>1676</v>
      </c>
      <c r="E230" s="19" t="s">
        <v>1829</v>
      </c>
      <c r="F230" s="19" t="s">
        <v>2938</v>
      </c>
      <c r="G230" s="19" t="s">
        <v>2964</v>
      </c>
      <c r="H230" s="19" t="s">
        <v>305</v>
      </c>
      <c r="I230" s="19" t="s">
        <v>2944</v>
      </c>
      <c r="J230" s="19" t="s">
        <v>3427</v>
      </c>
      <c r="K230" s="19" t="s">
        <v>3428</v>
      </c>
      <c r="L230" s="19" t="s">
        <v>2943</v>
      </c>
      <c r="M230" s="19"/>
    </row>
    <row r="231" spans="1:13" ht="15.75" hidden="1" customHeight="1">
      <c r="A231" s="19" t="s">
        <v>1833</v>
      </c>
      <c r="B231" s="19" t="s">
        <v>1834</v>
      </c>
      <c r="C231" s="20">
        <v>2026</v>
      </c>
      <c r="D231" s="19" t="s">
        <v>1836</v>
      </c>
      <c r="E231" s="19" t="s">
        <v>1837</v>
      </c>
      <c r="F231" s="19" t="s">
        <v>2938</v>
      </c>
      <c r="G231" s="19" t="s">
        <v>2964</v>
      </c>
      <c r="H231" s="19" t="s">
        <v>305</v>
      </c>
      <c r="I231" s="19" t="s">
        <v>2944</v>
      </c>
      <c r="J231" s="19" t="s">
        <v>3429</v>
      </c>
      <c r="K231" s="19" t="s">
        <v>3430</v>
      </c>
      <c r="L231" s="19" t="s">
        <v>2943</v>
      </c>
    </row>
    <row r="232" spans="1:13" ht="15.75" hidden="1" customHeight="1">
      <c r="A232" s="19" t="s">
        <v>1840</v>
      </c>
      <c r="B232" s="19" t="s">
        <v>1841</v>
      </c>
      <c r="C232" s="20">
        <v>2026</v>
      </c>
      <c r="D232" s="19" t="s">
        <v>1843</v>
      </c>
      <c r="E232" s="19" t="s">
        <v>1844</v>
      </c>
      <c r="F232" s="19" t="s">
        <v>2938</v>
      </c>
      <c r="G232" s="19" t="s">
        <v>2964</v>
      </c>
      <c r="H232" s="19" t="s">
        <v>305</v>
      </c>
      <c r="I232" s="19" t="s">
        <v>2944</v>
      </c>
      <c r="J232" s="19" t="s">
        <v>3431</v>
      </c>
      <c r="K232" s="19" t="s">
        <v>3432</v>
      </c>
      <c r="L232" s="19" t="s">
        <v>2943</v>
      </c>
    </row>
    <row r="233" spans="1:13" ht="15.75" hidden="1" customHeight="1">
      <c r="A233" s="19" t="s">
        <v>1847</v>
      </c>
      <c r="B233" s="19" t="s">
        <v>1848</v>
      </c>
      <c r="C233" s="20">
        <v>2005</v>
      </c>
      <c r="D233" s="19" t="s">
        <v>1850</v>
      </c>
      <c r="E233" s="19"/>
      <c r="F233" s="19" t="s">
        <v>2938</v>
      </c>
      <c r="G233" s="19" t="s">
        <v>2964</v>
      </c>
      <c r="H233" s="19" t="s">
        <v>305</v>
      </c>
      <c r="I233" s="19" t="s">
        <v>2944</v>
      </c>
      <c r="J233" s="19" t="s">
        <v>3433</v>
      </c>
      <c r="K233" s="19" t="s">
        <v>3434</v>
      </c>
      <c r="L233" s="19" t="s">
        <v>2943</v>
      </c>
      <c r="M233" s="19"/>
    </row>
    <row r="234" spans="1:13" ht="15.75" hidden="1" customHeight="1">
      <c r="A234" s="19" t="s">
        <v>1853</v>
      </c>
      <c r="B234" s="19" t="s">
        <v>1854</v>
      </c>
      <c r="C234" s="20">
        <v>2025</v>
      </c>
      <c r="D234" s="19" t="s">
        <v>1856</v>
      </c>
      <c r="E234" s="19" t="s">
        <v>1857</v>
      </c>
      <c r="F234" s="19" t="s">
        <v>2938</v>
      </c>
      <c r="G234" s="19" t="s">
        <v>2964</v>
      </c>
      <c r="H234" s="19" t="s">
        <v>305</v>
      </c>
      <c r="I234" s="19" t="s">
        <v>2944</v>
      </c>
      <c r="J234" s="19" t="s">
        <v>3435</v>
      </c>
      <c r="K234" s="19" t="s">
        <v>3436</v>
      </c>
      <c r="L234" s="19" t="s">
        <v>2943</v>
      </c>
      <c r="M234" s="19"/>
    </row>
    <row r="235" spans="1:13" ht="15.75" hidden="1" customHeight="1">
      <c r="A235" s="19" t="s">
        <v>1860</v>
      </c>
      <c r="B235" s="19" t="s">
        <v>1861</v>
      </c>
      <c r="C235" s="20">
        <v>2026</v>
      </c>
      <c r="D235" s="19" t="s">
        <v>1863</v>
      </c>
      <c r="E235" s="19" t="s">
        <v>1864</v>
      </c>
      <c r="F235" s="19" t="s">
        <v>2938</v>
      </c>
      <c r="G235" s="19" t="s">
        <v>2964</v>
      </c>
      <c r="H235" s="19" t="s">
        <v>305</v>
      </c>
      <c r="I235" s="19" t="s">
        <v>2944</v>
      </c>
      <c r="J235" s="19" t="s">
        <v>3437</v>
      </c>
      <c r="K235" s="19" t="s">
        <v>3438</v>
      </c>
      <c r="L235" s="19" t="s">
        <v>2943</v>
      </c>
      <c r="M235" s="19"/>
    </row>
    <row r="236" spans="1:13" ht="15.75" hidden="1" customHeight="1">
      <c r="A236" s="19" t="s">
        <v>1868</v>
      </c>
      <c r="B236" s="19" t="s">
        <v>1869</v>
      </c>
      <c r="C236" s="20">
        <v>2026</v>
      </c>
      <c r="D236" s="19" t="s">
        <v>1871</v>
      </c>
      <c r="E236" s="19" t="s">
        <v>1872</v>
      </c>
      <c r="F236" s="19" t="s">
        <v>2938</v>
      </c>
      <c r="G236" s="19" t="s">
        <v>2964</v>
      </c>
      <c r="H236" s="19" t="s">
        <v>305</v>
      </c>
      <c r="I236" s="19" t="s">
        <v>2944</v>
      </c>
      <c r="J236" s="19" t="s">
        <v>3439</v>
      </c>
      <c r="K236" s="19" t="s">
        <v>3440</v>
      </c>
      <c r="L236" s="19" t="s">
        <v>2943</v>
      </c>
      <c r="M236" s="19"/>
    </row>
    <row r="237" spans="1:13" ht="15.75" hidden="1" customHeight="1">
      <c r="A237" s="19" t="s">
        <v>1876</v>
      </c>
      <c r="B237" s="19" t="s">
        <v>1877</v>
      </c>
      <c r="C237" s="20">
        <v>2024</v>
      </c>
      <c r="D237" s="19" t="s">
        <v>1879</v>
      </c>
      <c r="E237" s="19" t="s">
        <v>1880</v>
      </c>
      <c r="F237" s="19" t="s">
        <v>2938</v>
      </c>
      <c r="G237" s="19" t="s">
        <v>2964</v>
      </c>
      <c r="H237" s="19" t="s">
        <v>305</v>
      </c>
      <c r="I237" s="19" t="s">
        <v>2944</v>
      </c>
      <c r="J237" s="19" t="s">
        <v>3441</v>
      </c>
      <c r="K237" s="19" t="s">
        <v>3442</v>
      </c>
      <c r="L237" s="19" t="s">
        <v>2943</v>
      </c>
      <c r="M237" s="19"/>
    </row>
    <row r="238" spans="1:13" ht="15.75" hidden="1" customHeight="1">
      <c r="A238" s="19" t="s">
        <v>1884</v>
      </c>
      <c r="B238" s="19" t="s">
        <v>1885</v>
      </c>
      <c r="C238" s="20">
        <v>2015</v>
      </c>
      <c r="D238" s="19" t="s">
        <v>1887</v>
      </c>
      <c r="E238" s="19" t="s">
        <v>1888</v>
      </c>
      <c r="F238" s="19" t="s">
        <v>2938</v>
      </c>
      <c r="G238" s="19" t="s">
        <v>2964</v>
      </c>
      <c r="H238" s="19" t="s">
        <v>305</v>
      </c>
      <c r="I238" s="19" t="s">
        <v>2944</v>
      </c>
      <c r="J238" s="19" t="s">
        <v>3443</v>
      </c>
      <c r="K238" s="19" t="s">
        <v>3444</v>
      </c>
      <c r="L238" s="19" t="s">
        <v>2943</v>
      </c>
      <c r="M238" s="19"/>
    </row>
    <row r="239" spans="1:13" ht="15.75" hidden="1" customHeight="1">
      <c r="A239" s="19" t="s">
        <v>1892</v>
      </c>
      <c r="B239" s="19" t="s">
        <v>1893</v>
      </c>
      <c r="C239" s="20">
        <v>2018</v>
      </c>
      <c r="D239" s="19" t="s">
        <v>1895</v>
      </c>
      <c r="E239" s="19" t="s">
        <v>1896</v>
      </c>
      <c r="F239" s="19" t="s">
        <v>2938</v>
      </c>
      <c r="G239" s="19" t="s">
        <v>2964</v>
      </c>
      <c r="H239" s="19" t="s">
        <v>305</v>
      </c>
      <c r="I239" s="19" t="s">
        <v>2944</v>
      </c>
      <c r="J239" s="19" t="s">
        <v>3445</v>
      </c>
      <c r="K239" s="19" t="s">
        <v>3446</v>
      </c>
      <c r="L239" s="19" t="s">
        <v>2943</v>
      </c>
      <c r="M239" s="19"/>
    </row>
    <row r="240" spans="1:13" ht="15.75" hidden="1" customHeight="1">
      <c r="A240" s="19" t="s">
        <v>1900</v>
      </c>
      <c r="B240" s="19" t="s">
        <v>1901</v>
      </c>
      <c r="C240" s="20">
        <v>2025</v>
      </c>
      <c r="D240" s="19" t="s">
        <v>1903</v>
      </c>
      <c r="E240" s="19" t="s">
        <v>1904</v>
      </c>
      <c r="F240" s="19" t="s">
        <v>2938</v>
      </c>
      <c r="G240" s="19" t="s">
        <v>2964</v>
      </c>
      <c r="H240" s="19" t="s">
        <v>305</v>
      </c>
      <c r="I240" s="19" t="s">
        <v>2944</v>
      </c>
      <c r="J240" s="19" t="s">
        <v>3447</v>
      </c>
      <c r="K240" s="19" t="s">
        <v>3448</v>
      </c>
      <c r="L240" s="19" t="s">
        <v>2943</v>
      </c>
      <c r="M240" s="19"/>
    </row>
    <row r="241" spans="1:13" ht="15.75" hidden="1" customHeight="1">
      <c r="A241" s="19" t="s">
        <v>1907</v>
      </c>
      <c r="B241" s="19" t="s">
        <v>1908</v>
      </c>
      <c r="C241" s="20">
        <v>2023</v>
      </c>
      <c r="D241" s="19" t="s">
        <v>1910</v>
      </c>
      <c r="E241" s="19" t="s">
        <v>1911</v>
      </c>
      <c r="F241" s="19" t="s">
        <v>2938</v>
      </c>
      <c r="G241" s="19" t="s">
        <v>2964</v>
      </c>
      <c r="H241" s="19" t="s">
        <v>305</v>
      </c>
      <c r="I241" s="19" t="s">
        <v>2944</v>
      </c>
      <c r="J241" s="19" t="s">
        <v>3449</v>
      </c>
      <c r="K241" s="19" t="s">
        <v>3450</v>
      </c>
      <c r="L241" s="19" t="s">
        <v>2943</v>
      </c>
      <c r="M241" s="19"/>
    </row>
    <row r="242" spans="1:13" ht="15.75" hidden="1" customHeight="1">
      <c r="A242" s="19" t="s">
        <v>1915</v>
      </c>
      <c r="B242" s="19" t="s">
        <v>1916</v>
      </c>
      <c r="C242" s="20">
        <v>2026</v>
      </c>
      <c r="D242" s="19" t="s">
        <v>1918</v>
      </c>
      <c r="E242" s="19" t="s">
        <v>1919</v>
      </c>
      <c r="F242" s="19" t="s">
        <v>2938</v>
      </c>
      <c r="G242" s="19" t="s">
        <v>2964</v>
      </c>
      <c r="H242" s="19" t="s">
        <v>305</v>
      </c>
      <c r="I242" s="19" t="s">
        <v>2944</v>
      </c>
      <c r="J242" s="19" t="s">
        <v>3451</v>
      </c>
      <c r="K242" s="19" t="s">
        <v>3452</v>
      </c>
      <c r="L242" s="19" t="s">
        <v>2943</v>
      </c>
      <c r="M242" s="19"/>
    </row>
    <row r="243" spans="1:13" ht="15.75" customHeight="1">
      <c r="A243" s="19" t="s">
        <v>1923</v>
      </c>
      <c r="B243" s="19" t="s">
        <v>1924</v>
      </c>
      <c r="C243" s="20">
        <v>2026</v>
      </c>
      <c r="D243" s="19" t="s">
        <v>501</v>
      </c>
      <c r="E243" s="19" t="s">
        <v>1926</v>
      </c>
      <c r="F243" s="19" t="s">
        <v>2938</v>
      </c>
      <c r="G243" s="19" t="s">
        <v>2939</v>
      </c>
      <c r="H243" s="19"/>
      <c r="I243" s="19" t="s">
        <v>2944</v>
      </c>
      <c r="J243" s="19" t="s">
        <v>3453</v>
      </c>
      <c r="K243" s="19" t="s">
        <v>3454</v>
      </c>
      <c r="L243" s="19" t="s">
        <v>2943</v>
      </c>
      <c r="M243" s="19" t="s">
        <v>3455</v>
      </c>
    </row>
    <row r="244" spans="1:13" ht="15.75" hidden="1" customHeight="1">
      <c r="A244" s="19" t="s">
        <v>1930</v>
      </c>
      <c r="B244" s="19" t="s">
        <v>1931</v>
      </c>
      <c r="C244" s="20">
        <v>2025</v>
      </c>
      <c r="D244" s="19" t="s">
        <v>534</v>
      </c>
      <c r="E244" s="19" t="s">
        <v>1933</v>
      </c>
      <c r="F244" s="19" t="s">
        <v>2938</v>
      </c>
      <c r="G244" s="19" t="s">
        <v>2964</v>
      </c>
      <c r="H244" s="19" t="s">
        <v>305</v>
      </c>
      <c r="I244" s="19" t="s">
        <v>2944</v>
      </c>
      <c r="J244" s="19" t="s">
        <v>3456</v>
      </c>
      <c r="K244" s="19" t="s">
        <v>3457</v>
      </c>
      <c r="L244" s="19" t="s">
        <v>2943</v>
      </c>
      <c r="M244" s="19"/>
    </row>
    <row r="245" spans="1:13" ht="15.75" hidden="1" customHeight="1">
      <c r="A245" s="19" t="s">
        <v>1937</v>
      </c>
      <c r="B245" s="19" t="s">
        <v>1938</v>
      </c>
      <c r="C245" s="20">
        <v>2018</v>
      </c>
      <c r="D245" s="19" t="s">
        <v>1940</v>
      </c>
      <c r="E245" s="19" t="s">
        <v>1941</v>
      </c>
      <c r="F245" s="19" t="s">
        <v>2938</v>
      </c>
      <c r="G245" s="19" t="s">
        <v>2964</v>
      </c>
      <c r="H245" s="19" t="s">
        <v>305</v>
      </c>
      <c r="I245" s="19" t="s">
        <v>2944</v>
      </c>
      <c r="J245" s="19" t="s">
        <v>3458</v>
      </c>
      <c r="K245" s="19" t="s">
        <v>3459</v>
      </c>
      <c r="L245" s="19" t="s">
        <v>2943</v>
      </c>
      <c r="M245" s="19"/>
    </row>
    <row r="246" spans="1:13" ht="15.75" hidden="1" customHeight="1">
      <c r="A246" s="19" t="s">
        <v>1945</v>
      </c>
      <c r="B246" s="19" t="s">
        <v>1946</v>
      </c>
      <c r="C246" s="20">
        <v>1989</v>
      </c>
      <c r="D246" s="19" t="s">
        <v>1948</v>
      </c>
      <c r="E246" s="19" t="s">
        <v>1949</v>
      </c>
      <c r="F246" s="19" t="s">
        <v>2938</v>
      </c>
      <c r="G246" s="19" t="s">
        <v>2964</v>
      </c>
      <c r="H246" s="19" t="s">
        <v>305</v>
      </c>
      <c r="I246" s="19" t="s">
        <v>2944</v>
      </c>
      <c r="J246" s="19" t="s">
        <v>3460</v>
      </c>
      <c r="K246" s="19" t="s">
        <v>3461</v>
      </c>
      <c r="L246" s="19" t="s">
        <v>2943</v>
      </c>
      <c r="M246" s="19"/>
    </row>
    <row r="247" spans="1:13" ht="15.75" hidden="1" customHeight="1">
      <c r="A247" s="19" t="s">
        <v>1952</v>
      </c>
      <c r="B247" s="19" t="s">
        <v>1953</v>
      </c>
      <c r="C247" s="20">
        <v>2026</v>
      </c>
      <c r="D247" s="19" t="s">
        <v>1918</v>
      </c>
      <c r="E247" s="19" t="s">
        <v>1955</v>
      </c>
      <c r="F247" s="19" t="s">
        <v>2938</v>
      </c>
      <c r="G247" s="19" t="s">
        <v>2964</v>
      </c>
      <c r="H247" s="19" t="s">
        <v>305</v>
      </c>
      <c r="I247" s="19" t="s">
        <v>2944</v>
      </c>
      <c r="J247" s="19" t="s">
        <v>3462</v>
      </c>
      <c r="K247" s="19" t="s">
        <v>3463</v>
      </c>
      <c r="L247" s="19" t="s">
        <v>2943</v>
      </c>
      <c r="M247" s="19"/>
    </row>
    <row r="248" spans="1:13" ht="15.75" hidden="1" customHeight="1">
      <c r="A248" s="19" t="s">
        <v>1959</v>
      </c>
      <c r="B248" s="19" t="s">
        <v>1960</v>
      </c>
      <c r="C248" s="20">
        <v>2026</v>
      </c>
      <c r="D248" s="19" t="s">
        <v>292</v>
      </c>
      <c r="E248" s="19" t="s">
        <v>1962</v>
      </c>
      <c r="F248" s="19" t="s">
        <v>2938</v>
      </c>
      <c r="G248" s="19" t="s">
        <v>2964</v>
      </c>
      <c r="H248" s="19" t="s">
        <v>305</v>
      </c>
      <c r="I248" s="19" t="s">
        <v>2944</v>
      </c>
      <c r="J248" s="19" t="s">
        <v>3464</v>
      </c>
      <c r="K248" s="19" t="s">
        <v>3465</v>
      </c>
      <c r="L248" s="19" t="s">
        <v>2943</v>
      </c>
      <c r="M248" s="19"/>
    </row>
    <row r="249" spans="1:13" ht="15.75" hidden="1" customHeight="1">
      <c r="A249" s="19" t="s">
        <v>1966</v>
      </c>
      <c r="B249" s="19" t="s">
        <v>1967</v>
      </c>
      <c r="C249" s="20">
        <v>2025</v>
      </c>
      <c r="D249" s="19" t="s">
        <v>1969</v>
      </c>
      <c r="E249" s="19" t="s">
        <v>1970</v>
      </c>
      <c r="F249" s="19" t="s">
        <v>2938</v>
      </c>
      <c r="G249" s="19" t="s">
        <v>2964</v>
      </c>
      <c r="H249" s="19" t="s">
        <v>305</v>
      </c>
      <c r="I249" s="19" t="s">
        <v>2944</v>
      </c>
      <c r="J249" s="19" t="s">
        <v>3466</v>
      </c>
      <c r="K249" s="19" t="s">
        <v>3467</v>
      </c>
      <c r="L249" s="19" t="s">
        <v>2943</v>
      </c>
      <c r="M249" s="19"/>
    </row>
    <row r="250" spans="1:13" ht="15.75" hidden="1" customHeight="1">
      <c r="A250" s="19" t="s">
        <v>1974</v>
      </c>
      <c r="B250" s="19" t="s">
        <v>1975</v>
      </c>
      <c r="C250" s="20">
        <v>2025</v>
      </c>
      <c r="D250" s="19" t="s">
        <v>269</v>
      </c>
      <c r="E250" s="19" t="s">
        <v>1977</v>
      </c>
      <c r="F250" s="19" t="s">
        <v>2938</v>
      </c>
      <c r="G250" s="19" t="s">
        <v>2964</v>
      </c>
      <c r="H250" s="19" t="s">
        <v>305</v>
      </c>
      <c r="I250" s="19" t="s">
        <v>2940</v>
      </c>
      <c r="J250" s="19" t="s">
        <v>3468</v>
      </c>
      <c r="K250" s="19" t="s">
        <v>3469</v>
      </c>
      <c r="L250" s="19" t="s">
        <v>2943</v>
      </c>
      <c r="M250" s="19" t="s">
        <v>3470</v>
      </c>
    </row>
    <row r="251" spans="1:13" ht="15.75" hidden="1" customHeight="1">
      <c r="A251" s="19" t="s">
        <v>1980</v>
      </c>
      <c r="B251" s="19" t="s">
        <v>1981</v>
      </c>
      <c r="C251" s="20">
        <v>2026</v>
      </c>
      <c r="D251" s="19" t="s">
        <v>1983</v>
      </c>
      <c r="E251" s="19" t="s">
        <v>1984</v>
      </c>
      <c r="F251" s="19" t="s">
        <v>2938</v>
      </c>
      <c r="G251" s="19" t="s">
        <v>2964</v>
      </c>
      <c r="H251" s="19" t="s">
        <v>305</v>
      </c>
      <c r="I251" s="19" t="s">
        <v>2944</v>
      </c>
      <c r="J251" s="19" t="s">
        <v>3471</v>
      </c>
      <c r="K251" s="19" t="s">
        <v>3472</v>
      </c>
      <c r="L251" s="19" t="s">
        <v>2943</v>
      </c>
      <c r="M251" s="19"/>
    </row>
    <row r="252" spans="1:13" ht="15.75" hidden="1" customHeight="1">
      <c r="A252" s="19" t="s">
        <v>1988</v>
      </c>
      <c r="B252" s="19" t="s">
        <v>1989</v>
      </c>
      <c r="C252" s="20">
        <v>2026</v>
      </c>
      <c r="D252" s="19" t="s">
        <v>893</v>
      </c>
      <c r="E252" s="19" t="s">
        <v>1991</v>
      </c>
      <c r="F252" s="19" t="s">
        <v>2938</v>
      </c>
      <c r="G252" s="19" t="s">
        <v>2964</v>
      </c>
      <c r="H252" s="19" t="s">
        <v>305</v>
      </c>
      <c r="I252" s="19" t="s">
        <v>2944</v>
      </c>
      <c r="J252" s="19" t="s">
        <v>3473</v>
      </c>
      <c r="K252" s="19" t="s">
        <v>3474</v>
      </c>
      <c r="L252" s="19" t="s">
        <v>2943</v>
      </c>
      <c r="M252" s="19"/>
    </row>
    <row r="253" spans="1:13" ht="15.75" customHeight="1">
      <c r="A253" s="19" t="s">
        <v>1995</v>
      </c>
      <c r="B253" s="19" t="s">
        <v>1996</v>
      </c>
      <c r="C253" s="20">
        <v>2025</v>
      </c>
      <c r="D253" s="19" t="s">
        <v>1998</v>
      </c>
      <c r="E253" s="19" t="s">
        <v>1999</v>
      </c>
      <c r="F253" s="19" t="s">
        <v>2938</v>
      </c>
      <c r="G253" s="19" t="s">
        <v>2939</v>
      </c>
      <c r="H253" s="19"/>
      <c r="I253" s="19" t="s">
        <v>2944</v>
      </c>
      <c r="J253" s="19" t="s">
        <v>3475</v>
      </c>
      <c r="K253" s="19" t="s">
        <v>3476</v>
      </c>
      <c r="L253" s="19" t="s">
        <v>2943</v>
      </c>
      <c r="M253" s="19" t="s">
        <v>3477</v>
      </c>
    </row>
    <row r="254" spans="1:13" ht="15.75" hidden="1" customHeight="1">
      <c r="A254" s="19" t="s">
        <v>2002</v>
      </c>
      <c r="B254" s="19" t="s">
        <v>2003</v>
      </c>
      <c r="C254" s="20">
        <v>2024</v>
      </c>
      <c r="D254" s="19" t="s">
        <v>2005</v>
      </c>
      <c r="E254" s="19" t="s">
        <v>2006</v>
      </c>
      <c r="F254" s="19" t="s">
        <v>2938</v>
      </c>
      <c r="G254" s="19" t="s">
        <v>2964</v>
      </c>
      <c r="H254" s="19" t="s">
        <v>305</v>
      </c>
      <c r="I254" s="19" t="s">
        <v>2944</v>
      </c>
      <c r="J254" s="19" t="s">
        <v>3478</v>
      </c>
      <c r="K254" s="19" t="s">
        <v>3479</v>
      </c>
      <c r="L254" s="19" t="s">
        <v>2943</v>
      </c>
      <c r="M254" s="19"/>
    </row>
    <row r="255" spans="1:13" ht="15.75" hidden="1" customHeight="1">
      <c r="A255" s="19" t="s">
        <v>2009</v>
      </c>
      <c r="B255" s="19" t="s">
        <v>2010</v>
      </c>
      <c r="C255" s="20">
        <v>2022</v>
      </c>
      <c r="D255" s="19" t="s">
        <v>501</v>
      </c>
      <c r="E255" s="19" t="s">
        <v>2012</v>
      </c>
      <c r="F255" s="19" t="s">
        <v>2938</v>
      </c>
      <c r="G255" s="19" t="s">
        <v>2964</v>
      </c>
      <c r="H255" s="19" t="s">
        <v>305</v>
      </c>
      <c r="I255" s="19" t="s">
        <v>2944</v>
      </c>
      <c r="J255" s="19" t="s">
        <v>3480</v>
      </c>
      <c r="K255" s="19" t="s">
        <v>3481</v>
      </c>
      <c r="L255" s="19" t="s">
        <v>2943</v>
      </c>
      <c r="M255" s="19"/>
    </row>
    <row r="256" spans="1:13" ht="15.75" hidden="1" customHeight="1">
      <c r="A256" s="19" t="s">
        <v>2016</v>
      </c>
      <c r="B256" s="19" t="s">
        <v>2017</v>
      </c>
      <c r="C256" s="20">
        <v>2026</v>
      </c>
      <c r="D256" s="19" t="s">
        <v>365</v>
      </c>
      <c r="E256" s="19" t="s">
        <v>2020</v>
      </c>
      <c r="F256" s="19" t="s">
        <v>2938</v>
      </c>
      <c r="G256" s="19" t="s">
        <v>2964</v>
      </c>
      <c r="H256" s="19" t="s">
        <v>305</v>
      </c>
      <c r="I256" s="19" t="s">
        <v>2944</v>
      </c>
      <c r="J256" s="19" t="s">
        <v>3482</v>
      </c>
      <c r="K256" s="19" t="s">
        <v>3483</v>
      </c>
      <c r="L256" s="19" t="s">
        <v>2943</v>
      </c>
    </row>
    <row r="257" spans="1:13" ht="15.75" hidden="1" customHeight="1">
      <c r="A257" s="19" t="s">
        <v>2024</v>
      </c>
      <c r="B257" s="19" t="s">
        <v>2025</v>
      </c>
      <c r="C257" s="20">
        <v>2026</v>
      </c>
      <c r="D257" s="19" t="s">
        <v>2027</v>
      </c>
      <c r="E257" s="19" t="s">
        <v>2028</v>
      </c>
      <c r="F257" s="19" t="s">
        <v>2938</v>
      </c>
      <c r="G257" s="19" t="s">
        <v>2964</v>
      </c>
      <c r="H257" s="19" t="s">
        <v>305</v>
      </c>
      <c r="I257" s="19" t="s">
        <v>2944</v>
      </c>
      <c r="J257" s="19" t="s">
        <v>3484</v>
      </c>
      <c r="K257" s="19" t="s">
        <v>3485</v>
      </c>
      <c r="L257" s="19" t="s">
        <v>2943</v>
      </c>
    </row>
    <row r="258" spans="1:13" ht="15.75" hidden="1" customHeight="1">
      <c r="A258" s="19" t="s">
        <v>2032</v>
      </c>
      <c r="B258" s="19" t="s">
        <v>2033</v>
      </c>
      <c r="C258" s="20">
        <v>2025</v>
      </c>
      <c r="D258" s="19" t="s">
        <v>2035</v>
      </c>
      <c r="E258" s="19" t="s">
        <v>2036</v>
      </c>
      <c r="F258" s="19" t="s">
        <v>2938</v>
      </c>
      <c r="G258" s="19" t="s">
        <v>2964</v>
      </c>
      <c r="H258" s="19" t="s">
        <v>305</v>
      </c>
      <c r="I258" s="19" t="s">
        <v>2944</v>
      </c>
      <c r="J258" s="19" t="s">
        <v>3486</v>
      </c>
      <c r="K258" s="19" t="s">
        <v>3487</v>
      </c>
      <c r="L258" s="19" t="s">
        <v>2943</v>
      </c>
      <c r="M258" s="19"/>
    </row>
    <row r="259" spans="1:13" ht="15.75" hidden="1" customHeight="1">
      <c r="A259" s="19" t="s">
        <v>2040</v>
      </c>
      <c r="B259" s="19" t="s">
        <v>3488</v>
      </c>
      <c r="C259" s="20">
        <v>2026</v>
      </c>
      <c r="D259" s="19" t="s">
        <v>2043</v>
      </c>
      <c r="E259" s="19" t="s">
        <v>2044</v>
      </c>
      <c r="F259" s="19" t="s">
        <v>2938</v>
      </c>
      <c r="G259" s="19" t="s">
        <v>2964</v>
      </c>
      <c r="H259" s="19" t="s">
        <v>305</v>
      </c>
      <c r="I259" s="19" t="s">
        <v>2944</v>
      </c>
      <c r="J259" s="19" t="s">
        <v>3489</v>
      </c>
      <c r="K259" s="19" t="s">
        <v>3490</v>
      </c>
      <c r="L259" s="19" t="s">
        <v>2943</v>
      </c>
      <c r="M259" s="19"/>
    </row>
    <row r="260" spans="1:13" ht="15.75" customHeight="1">
      <c r="A260" s="19" t="s">
        <v>2047</v>
      </c>
      <c r="B260" s="19" t="s">
        <v>2048</v>
      </c>
      <c r="C260" s="20">
        <v>2025</v>
      </c>
      <c r="D260" s="19" t="s">
        <v>393</v>
      </c>
      <c r="E260" s="19" t="s">
        <v>2050</v>
      </c>
      <c r="F260" s="19" t="s">
        <v>2938</v>
      </c>
      <c r="G260" s="19" t="s">
        <v>2939</v>
      </c>
      <c r="H260" s="19"/>
      <c r="I260" s="19" t="s">
        <v>2944</v>
      </c>
      <c r="J260" s="19" t="s">
        <v>3491</v>
      </c>
      <c r="K260" s="19" t="s">
        <v>3492</v>
      </c>
      <c r="L260" s="19" t="s">
        <v>2943</v>
      </c>
      <c r="M260" s="19" t="s">
        <v>3493</v>
      </c>
    </row>
    <row r="261" spans="1:13" ht="15.75" hidden="1" customHeight="1">
      <c r="A261" s="19" t="s">
        <v>2054</v>
      </c>
      <c r="B261" s="19" t="s">
        <v>2055</v>
      </c>
      <c r="C261" s="20">
        <v>2022</v>
      </c>
      <c r="D261" s="19" t="s">
        <v>285</v>
      </c>
      <c r="E261" s="19" t="s">
        <v>2057</v>
      </c>
      <c r="F261" s="19" t="s">
        <v>2938</v>
      </c>
      <c r="G261" s="19" t="s">
        <v>2964</v>
      </c>
      <c r="H261" s="19" t="s">
        <v>305</v>
      </c>
      <c r="I261" s="19" t="s">
        <v>2944</v>
      </c>
      <c r="J261" s="19" t="s">
        <v>3494</v>
      </c>
      <c r="K261" s="19" t="s">
        <v>3495</v>
      </c>
      <c r="L261" s="19" t="s">
        <v>2943</v>
      </c>
      <c r="M261" s="19"/>
    </row>
    <row r="262" spans="1:13" ht="15.75" hidden="1" customHeight="1">
      <c r="A262" s="19" t="s">
        <v>2060</v>
      </c>
      <c r="B262" s="19" t="s">
        <v>2061</v>
      </c>
      <c r="C262" s="20">
        <v>2022</v>
      </c>
      <c r="D262" s="19" t="s">
        <v>2063</v>
      </c>
      <c r="E262" s="19" t="s">
        <v>2064</v>
      </c>
      <c r="F262" s="19" t="s">
        <v>2938</v>
      </c>
      <c r="G262" s="19" t="s">
        <v>2964</v>
      </c>
      <c r="H262" s="19" t="s">
        <v>305</v>
      </c>
      <c r="I262" s="19" t="s">
        <v>2944</v>
      </c>
      <c r="J262" s="19" t="s">
        <v>3496</v>
      </c>
      <c r="K262" s="19" t="s">
        <v>3497</v>
      </c>
      <c r="L262" s="19" t="s">
        <v>2943</v>
      </c>
      <c r="M262" s="19"/>
    </row>
    <row r="263" spans="1:13" ht="15.75" hidden="1" customHeight="1">
      <c r="A263" s="19" t="s">
        <v>2068</v>
      </c>
      <c r="B263" s="19" t="s">
        <v>2069</v>
      </c>
      <c r="C263" s="20">
        <v>2026</v>
      </c>
      <c r="D263" s="19" t="s">
        <v>198</v>
      </c>
      <c r="E263" s="19" t="s">
        <v>2071</v>
      </c>
      <c r="F263" s="19" t="s">
        <v>2938</v>
      </c>
      <c r="G263" s="19" t="s">
        <v>2964</v>
      </c>
      <c r="H263" s="19" t="s">
        <v>971</v>
      </c>
      <c r="I263" s="19" t="s">
        <v>2940</v>
      </c>
      <c r="J263" s="19" t="s">
        <v>3498</v>
      </c>
      <c r="K263" s="19" t="s">
        <v>3499</v>
      </c>
      <c r="L263" s="19" t="s">
        <v>2943</v>
      </c>
      <c r="M263" s="19" t="s">
        <v>3500</v>
      </c>
    </row>
    <row r="264" spans="1:13" ht="15.75" hidden="1" customHeight="1">
      <c r="A264" s="19" t="s">
        <v>2075</v>
      </c>
      <c r="B264" s="19" t="s">
        <v>2076</v>
      </c>
      <c r="C264" s="20">
        <v>2025</v>
      </c>
      <c r="D264" s="19" t="s">
        <v>2078</v>
      </c>
      <c r="E264" s="19" t="s">
        <v>2079</v>
      </c>
      <c r="F264" s="19" t="s">
        <v>2938</v>
      </c>
      <c r="G264" s="19" t="s">
        <v>2964</v>
      </c>
      <c r="H264" s="19" t="s">
        <v>305</v>
      </c>
      <c r="I264" s="19" t="s">
        <v>2944</v>
      </c>
      <c r="J264" s="19" t="s">
        <v>3501</v>
      </c>
      <c r="K264" s="19" t="s">
        <v>3502</v>
      </c>
      <c r="L264" s="19" t="s">
        <v>2943</v>
      </c>
      <c r="M264" s="19"/>
    </row>
    <row r="265" spans="1:13" ht="15.75" hidden="1" customHeight="1">
      <c r="A265" s="19" t="s">
        <v>2082</v>
      </c>
      <c r="B265" s="19" t="s">
        <v>2083</v>
      </c>
      <c r="C265" s="20">
        <v>2025</v>
      </c>
      <c r="D265" s="19" t="s">
        <v>2085</v>
      </c>
      <c r="E265" s="19" t="s">
        <v>2086</v>
      </c>
      <c r="F265" s="19" t="s">
        <v>2938</v>
      </c>
      <c r="G265" s="19" t="s">
        <v>2964</v>
      </c>
      <c r="H265" s="19" t="s">
        <v>305</v>
      </c>
      <c r="I265" s="19" t="s">
        <v>2944</v>
      </c>
      <c r="J265" s="19" t="s">
        <v>3503</v>
      </c>
      <c r="K265" s="19" t="s">
        <v>3504</v>
      </c>
      <c r="L265" s="19" t="s">
        <v>2943</v>
      </c>
      <c r="M265" s="19"/>
    </row>
    <row r="266" spans="1:13" ht="15.75" customHeight="1">
      <c r="A266" s="19" t="s">
        <v>2089</v>
      </c>
      <c r="B266" s="19" t="s">
        <v>2090</v>
      </c>
      <c r="C266" s="20">
        <v>2025</v>
      </c>
      <c r="D266" s="19" t="s">
        <v>1602</v>
      </c>
      <c r="E266" s="19" t="s">
        <v>2092</v>
      </c>
      <c r="F266" s="19" t="s">
        <v>2938</v>
      </c>
      <c r="G266" s="19" t="s">
        <v>2939</v>
      </c>
      <c r="H266" s="19"/>
      <c r="I266" s="19" t="s">
        <v>2940</v>
      </c>
      <c r="J266" s="19" t="s">
        <v>3505</v>
      </c>
      <c r="K266" s="19" t="s">
        <v>3506</v>
      </c>
      <c r="L266" s="19" t="s">
        <v>2943</v>
      </c>
      <c r="M266" s="19" t="s">
        <v>3507</v>
      </c>
    </row>
    <row r="267" spans="1:13" ht="15.75" hidden="1" customHeight="1">
      <c r="A267" s="19" t="s">
        <v>2096</v>
      </c>
      <c r="B267" s="19" t="s">
        <v>2097</v>
      </c>
      <c r="C267" s="20">
        <v>2024</v>
      </c>
      <c r="D267" s="19" t="s">
        <v>2099</v>
      </c>
      <c r="E267" s="19" t="s">
        <v>2100</v>
      </c>
      <c r="F267" s="19" t="s">
        <v>2938</v>
      </c>
      <c r="G267" s="19" t="s">
        <v>2964</v>
      </c>
      <c r="H267" s="19" t="s">
        <v>305</v>
      </c>
      <c r="I267" s="19" t="s">
        <v>2944</v>
      </c>
      <c r="J267" s="19" t="s">
        <v>3508</v>
      </c>
      <c r="K267" s="19" t="s">
        <v>3509</v>
      </c>
      <c r="L267" s="19" t="s">
        <v>2943</v>
      </c>
      <c r="M267" s="19"/>
    </row>
    <row r="268" spans="1:13" ht="15.75" hidden="1" customHeight="1">
      <c r="A268" s="19" t="s">
        <v>2103</v>
      </c>
      <c r="B268" s="19" t="s">
        <v>2104</v>
      </c>
      <c r="C268" s="20">
        <v>2026</v>
      </c>
      <c r="D268" s="19" t="s">
        <v>2106</v>
      </c>
      <c r="E268" s="19" t="s">
        <v>2107</v>
      </c>
      <c r="F268" s="19" t="s">
        <v>2938</v>
      </c>
      <c r="G268" s="19" t="s">
        <v>2964</v>
      </c>
      <c r="H268" s="19" t="s">
        <v>305</v>
      </c>
      <c r="I268" s="19" t="s">
        <v>2944</v>
      </c>
      <c r="J268" s="19" t="s">
        <v>3510</v>
      </c>
      <c r="K268" s="19" t="s">
        <v>3511</v>
      </c>
      <c r="L268" s="19" t="s">
        <v>2943</v>
      </c>
      <c r="M268" s="19"/>
    </row>
    <row r="269" spans="1:13" ht="15.75" hidden="1" customHeight="1">
      <c r="A269" s="19" t="s">
        <v>2111</v>
      </c>
      <c r="B269" s="19" t="s">
        <v>2112</v>
      </c>
      <c r="C269" s="20">
        <v>2026</v>
      </c>
      <c r="D269" s="19" t="s">
        <v>593</v>
      </c>
      <c r="E269" s="19" t="s">
        <v>2114</v>
      </c>
      <c r="F269" s="19" t="s">
        <v>2938</v>
      </c>
      <c r="G269" s="19" t="s">
        <v>2964</v>
      </c>
      <c r="H269" s="19" t="s">
        <v>305</v>
      </c>
      <c r="I269" s="19" t="s">
        <v>2944</v>
      </c>
      <c r="J269" s="19" t="s">
        <v>3512</v>
      </c>
      <c r="K269" s="19" t="s">
        <v>3513</v>
      </c>
      <c r="L269" s="19" t="s">
        <v>2943</v>
      </c>
      <c r="M269" s="19"/>
    </row>
    <row r="270" spans="1:13" ht="15.75" hidden="1" customHeight="1">
      <c r="A270" s="19" t="s">
        <v>2118</v>
      </c>
      <c r="B270" s="19" t="s">
        <v>2119</v>
      </c>
      <c r="C270" s="20">
        <v>2024</v>
      </c>
      <c r="D270" s="19" t="s">
        <v>2121</v>
      </c>
      <c r="E270" s="19" t="s">
        <v>2122</v>
      </c>
      <c r="F270" s="19" t="s">
        <v>2938</v>
      </c>
      <c r="G270" s="19" t="s">
        <v>2964</v>
      </c>
      <c r="H270" s="19" t="s">
        <v>305</v>
      </c>
      <c r="I270" s="19" t="s">
        <v>2944</v>
      </c>
      <c r="J270" s="19" t="s">
        <v>3514</v>
      </c>
      <c r="K270" s="19" t="s">
        <v>3515</v>
      </c>
      <c r="L270" s="19" t="s">
        <v>2943</v>
      </c>
      <c r="M270" s="19"/>
    </row>
    <row r="271" spans="1:13" ht="15.75" hidden="1" customHeight="1">
      <c r="A271" s="19" t="s">
        <v>2126</v>
      </c>
      <c r="B271" s="19" t="s">
        <v>2127</v>
      </c>
      <c r="C271" s="20">
        <v>2023</v>
      </c>
      <c r="D271" s="19" t="s">
        <v>2129</v>
      </c>
      <c r="E271" s="19" t="s">
        <v>2130</v>
      </c>
      <c r="F271" s="19" t="s">
        <v>2938</v>
      </c>
      <c r="G271" s="19" t="s">
        <v>2964</v>
      </c>
      <c r="H271" s="19" t="s">
        <v>305</v>
      </c>
      <c r="I271" s="19" t="s">
        <v>2944</v>
      </c>
      <c r="J271" s="19" t="s">
        <v>3516</v>
      </c>
      <c r="K271" s="19" t="s">
        <v>3517</v>
      </c>
      <c r="L271" s="19" t="s">
        <v>2943</v>
      </c>
      <c r="M271" s="19"/>
    </row>
    <row r="272" spans="1:13" ht="15.75" hidden="1" customHeight="1">
      <c r="A272" s="19" t="s">
        <v>2133</v>
      </c>
      <c r="B272" s="19" t="s">
        <v>2134</v>
      </c>
      <c r="C272" s="20">
        <v>2025</v>
      </c>
      <c r="D272" s="19" t="s">
        <v>2136</v>
      </c>
      <c r="E272" s="19" t="s">
        <v>2137</v>
      </c>
      <c r="F272" s="19" t="s">
        <v>2938</v>
      </c>
      <c r="G272" s="19" t="s">
        <v>2964</v>
      </c>
      <c r="H272" s="19" t="s">
        <v>305</v>
      </c>
      <c r="I272" s="19" t="s">
        <v>2944</v>
      </c>
      <c r="J272" s="19" t="s">
        <v>3518</v>
      </c>
      <c r="K272" s="19" t="s">
        <v>3519</v>
      </c>
      <c r="L272" s="19" t="s">
        <v>2943</v>
      </c>
      <c r="M272" s="19"/>
    </row>
    <row r="273" spans="1:13" ht="15.75" hidden="1" customHeight="1">
      <c r="A273" s="19" t="s">
        <v>2141</v>
      </c>
      <c r="B273" s="19" t="s">
        <v>2142</v>
      </c>
      <c r="C273" s="20">
        <v>2023</v>
      </c>
      <c r="D273" s="19" t="s">
        <v>2144</v>
      </c>
      <c r="E273" s="19" t="s">
        <v>2145</v>
      </c>
      <c r="F273" s="19" t="s">
        <v>2938</v>
      </c>
      <c r="G273" s="19" t="s">
        <v>2964</v>
      </c>
      <c r="H273" s="19" t="s">
        <v>305</v>
      </c>
      <c r="I273" s="19" t="s">
        <v>2944</v>
      </c>
      <c r="J273" s="19" t="s">
        <v>3520</v>
      </c>
      <c r="K273" s="19" t="s">
        <v>3521</v>
      </c>
      <c r="L273" s="19" t="s">
        <v>2943</v>
      </c>
      <c r="M273" s="19"/>
    </row>
    <row r="274" spans="1:13" ht="15.75" hidden="1" customHeight="1">
      <c r="A274" s="19" t="s">
        <v>2148</v>
      </c>
      <c r="B274" s="19" t="s">
        <v>2149</v>
      </c>
      <c r="C274" s="20">
        <v>2022</v>
      </c>
      <c r="D274" s="19" t="s">
        <v>578</v>
      </c>
      <c r="E274" s="19" t="s">
        <v>2151</v>
      </c>
      <c r="F274" s="19" t="s">
        <v>2938</v>
      </c>
      <c r="G274" s="19" t="s">
        <v>2964</v>
      </c>
      <c r="H274" s="19" t="s">
        <v>305</v>
      </c>
      <c r="I274" s="19" t="s">
        <v>2944</v>
      </c>
      <c r="J274" s="19" t="s">
        <v>3522</v>
      </c>
      <c r="K274" s="19" t="s">
        <v>3523</v>
      </c>
      <c r="L274" s="19" t="s">
        <v>2943</v>
      </c>
      <c r="M274" s="19"/>
    </row>
    <row r="275" spans="1:13" ht="15.75" hidden="1" customHeight="1">
      <c r="A275" s="19" t="s">
        <v>2155</v>
      </c>
      <c r="B275" s="19" t="s">
        <v>2156</v>
      </c>
      <c r="C275" s="20">
        <v>2021</v>
      </c>
      <c r="D275" s="19" t="s">
        <v>231</v>
      </c>
      <c r="E275" s="19" t="s">
        <v>2158</v>
      </c>
      <c r="F275" s="19" t="s">
        <v>2938</v>
      </c>
      <c r="G275" s="19" t="s">
        <v>2964</v>
      </c>
      <c r="H275" s="19" t="s">
        <v>305</v>
      </c>
      <c r="I275" s="19" t="s">
        <v>2944</v>
      </c>
      <c r="J275" s="19" t="s">
        <v>3524</v>
      </c>
      <c r="K275" s="19" t="s">
        <v>3525</v>
      </c>
      <c r="L275" s="19" t="s">
        <v>2943</v>
      </c>
      <c r="M275" s="19"/>
    </row>
    <row r="276" spans="1:13" ht="15.75" customHeight="1">
      <c r="A276" s="19" t="s">
        <v>2162</v>
      </c>
      <c r="B276" s="19" t="s">
        <v>2163</v>
      </c>
      <c r="C276" s="20">
        <v>2022</v>
      </c>
      <c r="D276" s="19" t="s">
        <v>2165</v>
      </c>
      <c r="E276" s="19" t="s">
        <v>2166</v>
      </c>
      <c r="F276" s="19" t="s">
        <v>2938</v>
      </c>
      <c r="G276" s="19" t="s">
        <v>2939</v>
      </c>
      <c r="H276" s="19"/>
      <c r="I276" s="19" t="s">
        <v>2940</v>
      </c>
      <c r="J276" s="19" t="s">
        <v>3526</v>
      </c>
      <c r="K276" s="19" t="s">
        <v>3527</v>
      </c>
      <c r="L276" s="19" t="s">
        <v>2943</v>
      </c>
      <c r="M276" s="19" t="s">
        <v>3528</v>
      </c>
    </row>
    <row r="277" spans="1:13" ht="15.75" hidden="1" customHeight="1">
      <c r="A277" s="19" t="s">
        <v>2169</v>
      </c>
      <c r="B277" s="19" t="s">
        <v>2170</v>
      </c>
      <c r="C277" s="20">
        <v>2026</v>
      </c>
      <c r="D277" s="19" t="s">
        <v>2172</v>
      </c>
      <c r="E277" s="19" t="s">
        <v>2173</v>
      </c>
      <c r="F277" s="19" t="s">
        <v>2938</v>
      </c>
      <c r="G277" s="19" t="s">
        <v>2964</v>
      </c>
      <c r="H277" s="19" t="s">
        <v>305</v>
      </c>
      <c r="I277" s="19" t="s">
        <v>2944</v>
      </c>
      <c r="J277" s="19" t="s">
        <v>3529</v>
      </c>
      <c r="K277" s="19" t="s">
        <v>3530</v>
      </c>
      <c r="L277" s="19" t="s">
        <v>2943</v>
      </c>
      <c r="M277" s="19"/>
    </row>
    <row r="278" spans="1:13" ht="15.75" hidden="1" customHeight="1">
      <c r="A278" s="19" t="s">
        <v>2177</v>
      </c>
      <c r="B278" s="19" t="s">
        <v>2178</v>
      </c>
      <c r="C278" s="20">
        <v>2024</v>
      </c>
      <c r="D278" s="19" t="s">
        <v>2180</v>
      </c>
      <c r="E278" s="19" t="s">
        <v>2181</v>
      </c>
      <c r="F278" s="19" t="s">
        <v>2938</v>
      </c>
      <c r="G278" s="19" t="s">
        <v>2964</v>
      </c>
      <c r="H278" s="19" t="s">
        <v>305</v>
      </c>
      <c r="I278" s="19" t="s">
        <v>2944</v>
      </c>
      <c r="J278" s="19" t="s">
        <v>3531</v>
      </c>
      <c r="K278" s="19" t="s">
        <v>3532</v>
      </c>
      <c r="L278" s="19" t="s">
        <v>2943</v>
      </c>
      <c r="M278" s="19"/>
    </row>
    <row r="279" spans="1:13" ht="15.75" hidden="1" customHeight="1">
      <c r="A279" s="19" t="s">
        <v>2184</v>
      </c>
      <c r="B279" s="19" t="s">
        <v>2185</v>
      </c>
      <c r="C279" s="20">
        <v>2014</v>
      </c>
      <c r="D279" s="19" t="s">
        <v>153</v>
      </c>
      <c r="E279" s="19" t="s">
        <v>2187</v>
      </c>
      <c r="F279" s="19" t="s">
        <v>2938</v>
      </c>
      <c r="G279" s="19" t="s">
        <v>2964</v>
      </c>
      <c r="H279" s="19" t="s">
        <v>305</v>
      </c>
      <c r="I279" s="19" t="s">
        <v>2944</v>
      </c>
      <c r="J279" s="19" t="s">
        <v>3533</v>
      </c>
      <c r="K279" s="19" t="s">
        <v>3534</v>
      </c>
      <c r="L279" s="19" t="s">
        <v>2943</v>
      </c>
      <c r="M279" s="19"/>
    </row>
    <row r="280" spans="1:13" ht="15.75" hidden="1" customHeight="1">
      <c r="A280" s="19" t="s">
        <v>2191</v>
      </c>
      <c r="B280" s="19" t="s">
        <v>2192</v>
      </c>
      <c r="C280" s="20">
        <v>2026</v>
      </c>
      <c r="D280" s="19" t="s">
        <v>2194</v>
      </c>
      <c r="E280" s="19" t="s">
        <v>2195</v>
      </c>
      <c r="F280" s="19" t="s">
        <v>2938</v>
      </c>
      <c r="G280" s="19" t="s">
        <v>2964</v>
      </c>
      <c r="H280" s="19" t="s">
        <v>305</v>
      </c>
      <c r="I280" s="19" t="s">
        <v>2944</v>
      </c>
      <c r="J280" s="19" t="s">
        <v>3535</v>
      </c>
      <c r="K280" s="19" t="s">
        <v>3536</v>
      </c>
      <c r="L280" s="19" t="s">
        <v>2943</v>
      </c>
      <c r="M280" s="19"/>
    </row>
    <row r="281" spans="1:13" ht="15.75" hidden="1" customHeight="1">
      <c r="A281" s="19" t="s">
        <v>2198</v>
      </c>
      <c r="B281" s="19" t="s">
        <v>2199</v>
      </c>
      <c r="C281" s="20">
        <v>2025</v>
      </c>
      <c r="D281" s="19" t="s">
        <v>2201</v>
      </c>
      <c r="E281" s="19" t="s">
        <v>2202</v>
      </c>
      <c r="F281" s="19" t="s">
        <v>2938</v>
      </c>
      <c r="G281" s="19" t="s">
        <v>2964</v>
      </c>
      <c r="H281" s="19" t="s">
        <v>305</v>
      </c>
      <c r="I281" s="19" t="s">
        <v>2944</v>
      </c>
      <c r="J281" s="19" t="s">
        <v>3537</v>
      </c>
      <c r="K281" s="19" t="s">
        <v>3538</v>
      </c>
      <c r="L281" s="19" t="s">
        <v>2943</v>
      </c>
    </row>
    <row r="282" spans="1:13" ht="15.75" hidden="1" customHeight="1">
      <c r="A282" s="19" t="s">
        <v>2206</v>
      </c>
      <c r="B282" s="19" t="s">
        <v>2207</v>
      </c>
      <c r="C282" s="20">
        <v>2021</v>
      </c>
      <c r="D282" s="19" t="s">
        <v>1544</v>
      </c>
      <c r="E282" s="19" t="s">
        <v>2209</v>
      </c>
      <c r="F282" s="19" t="s">
        <v>2938</v>
      </c>
      <c r="G282" s="19" t="s">
        <v>2964</v>
      </c>
      <c r="H282" s="19" t="s">
        <v>305</v>
      </c>
      <c r="I282" s="19" t="s">
        <v>2940</v>
      </c>
      <c r="J282" s="19" t="s">
        <v>3539</v>
      </c>
      <c r="K282" s="19" t="s">
        <v>3540</v>
      </c>
      <c r="L282" s="19" t="s">
        <v>2943</v>
      </c>
    </row>
    <row r="283" spans="1:13" ht="15.75" hidden="1" customHeight="1">
      <c r="A283" s="19" t="s">
        <v>2212</v>
      </c>
      <c r="B283" s="19" t="s">
        <v>2213</v>
      </c>
      <c r="C283" s="20">
        <v>2026</v>
      </c>
      <c r="D283" s="19" t="s">
        <v>2215</v>
      </c>
      <c r="E283" s="19" t="s">
        <v>2216</v>
      </c>
      <c r="F283" s="19" t="s">
        <v>2938</v>
      </c>
      <c r="G283" s="19" t="s">
        <v>2964</v>
      </c>
      <c r="H283" s="19" t="s">
        <v>305</v>
      </c>
      <c r="I283" s="19" t="s">
        <v>2944</v>
      </c>
      <c r="J283" s="19" t="s">
        <v>3541</v>
      </c>
      <c r="K283" s="19" t="s">
        <v>3542</v>
      </c>
      <c r="L283" s="19" t="s">
        <v>2943</v>
      </c>
      <c r="M283" s="19"/>
    </row>
    <row r="284" spans="1:13" ht="15.75" hidden="1" customHeight="1">
      <c r="A284" s="19" t="s">
        <v>2220</v>
      </c>
      <c r="B284" s="19" t="s">
        <v>2221</v>
      </c>
      <c r="C284" s="20">
        <v>2026</v>
      </c>
      <c r="D284" s="19" t="s">
        <v>1423</v>
      </c>
      <c r="E284" s="19" t="s">
        <v>2223</v>
      </c>
      <c r="F284" s="19" t="s">
        <v>2938</v>
      </c>
      <c r="G284" s="19" t="s">
        <v>2964</v>
      </c>
      <c r="H284" s="19" t="s">
        <v>305</v>
      </c>
      <c r="I284" s="19" t="s">
        <v>2944</v>
      </c>
      <c r="J284" s="19" t="s">
        <v>3543</v>
      </c>
      <c r="K284" s="19" t="s">
        <v>3544</v>
      </c>
      <c r="L284" s="19" t="s">
        <v>2943</v>
      </c>
      <c r="M284" s="19"/>
    </row>
    <row r="285" spans="1:13" ht="15.75" hidden="1" customHeight="1">
      <c r="A285" s="19" t="s">
        <v>2227</v>
      </c>
      <c r="B285" s="19" t="s">
        <v>2228</v>
      </c>
      <c r="C285" s="20">
        <v>1996</v>
      </c>
      <c r="D285" s="19" t="s">
        <v>2230</v>
      </c>
      <c r="E285" s="19"/>
      <c r="F285" s="19" t="s">
        <v>2938</v>
      </c>
      <c r="G285" s="19" t="s">
        <v>2964</v>
      </c>
      <c r="H285" s="19" t="s">
        <v>305</v>
      </c>
      <c r="I285" s="19" t="s">
        <v>2944</v>
      </c>
      <c r="J285" s="19" t="s">
        <v>3545</v>
      </c>
      <c r="K285" s="19" t="s">
        <v>3546</v>
      </c>
      <c r="L285" s="19" t="s">
        <v>2943</v>
      </c>
      <c r="M285" s="19"/>
    </row>
    <row r="286" spans="1:13" ht="15.75" hidden="1" customHeight="1">
      <c r="A286" s="19" t="s">
        <v>2233</v>
      </c>
      <c r="B286" s="19" t="s">
        <v>2234</v>
      </c>
      <c r="C286" s="20">
        <v>2024</v>
      </c>
      <c r="D286" s="19" t="s">
        <v>2236</v>
      </c>
      <c r="E286" s="19" t="s">
        <v>2237</v>
      </c>
      <c r="F286" s="19" t="s">
        <v>2938</v>
      </c>
      <c r="G286" s="19" t="s">
        <v>2964</v>
      </c>
      <c r="H286" s="19" t="s">
        <v>305</v>
      </c>
      <c r="I286" s="19" t="s">
        <v>2944</v>
      </c>
      <c r="J286" s="19" t="s">
        <v>3547</v>
      </c>
      <c r="K286" s="19" t="s">
        <v>3548</v>
      </c>
      <c r="L286" s="19" t="s">
        <v>2943</v>
      </c>
      <c r="M286" s="19"/>
    </row>
    <row r="287" spans="1:13" ht="15.75" hidden="1" customHeight="1">
      <c r="A287" s="19" t="s">
        <v>2241</v>
      </c>
      <c r="B287" s="19" t="s">
        <v>2242</v>
      </c>
      <c r="C287" s="20">
        <v>2026</v>
      </c>
      <c r="D287" s="19" t="s">
        <v>438</v>
      </c>
      <c r="E287" s="19" t="s">
        <v>2244</v>
      </c>
      <c r="F287" s="19" t="s">
        <v>2938</v>
      </c>
      <c r="G287" s="19" t="s">
        <v>2964</v>
      </c>
      <c r="H287" s="19" t="s">
        <v>305</v>
      </c>
      <c r="I287" s="19" t="s">
        <v>2944</v>
      </c>
      <c r="J287" s="19" t="s">
        <v>3549</v>
      </c>
      <c r="K287" s="19" t="s">
        <v>3550</v>
      </c>
      <c r="L287" s="19" t="s">
        <v>2943</v>
      </c>
      <c r="M287" s="19"/>
    </row>
    <row r="288" spans="1:13" ht="15.75" hidden="1" customHeight="1">
      <c r="A288" s="19" t="s">
        <v>2248</v>
      </c>
      <c r="B288" s="19" t="s">
        <v>2249</v>
      </c>
      <c r="C288" s="20">
        <v>2025</v>
      </c>
      <c r="D288" s="19" t="s">
        <v>517</v>
      </c>
      <c r="E288" s="19" t="s">
        <v>2251</v>
      </c>
      <c r="F288" s="19" t="s">
        <v>2938</v>
      </c>
      <c r="G288" s="19" t="s">
        <v>2964</v>
      </c>
      <c r="H288" s="19" t="s">
        <v>305</v>
      </c>
      <c r="I288" s="19" t="s">
        <v>2944</v>
      </c>
      <c r="J288" s="19" t="s">
        <v>3551</v>
      </c>
      <c r="K288" s="19" t="s">
        <v>3552</v>
      </c>
      <c r="L288" s="19" t="s">
        <v>2943</v>
      </c>
      <c r="M288" s="19"/>
    </row>
    <row r="289" spans="1:13" ht="15.75" hidden="1" customHeight="1">
      <c r="A289" s="19" t="s">
        <v>2255</v>
      </c>
      <c r="B289" s="19" t="s">
        <v>2256</v>
      </c>
      <c r="C289" s="20">
        <v>2025</v>
      </c>
      <c r="D289" s="19" t="s">
        <v>476</v>
      </c>
      <c r="E289" s="19" t="s">
        <v>2258</v>
      </c>
      <c r="F289" s="19" t="s">
        <v>2938</v>
      </c>
      <c r="G289" s="19" t="s">
        <v>2964</v>
      </c>
      <c r="H289" s="19" t="s">
        <v>305</v>
      </c>
      <c r="I289" s="19" t="s">
        <v>2944</v>
      </c>
      <c r="J289" s="19" t="s">
        <v>3553</v>
      </c>
      <c r="K289" s="19" t="s">
        <v>3554</v>
      </c>
      <c r="L289" s="19" t="s">
        <v>2943</v>
      </c>
      <c r="M289" s="19"/>
    </row>
    <row r="290" spans="1:13" ht="15.75" hidden="1" customHeight="1">
      <c r="A290" s="19" t="s">
        <v>2262</v>
      </c>
      <c r="B290" s="19" t="s">
        <v>2263</v>
      </c>
      <c r="C290" s="20">
        <v>2022</v>
      </c>
      <c r="D290" s="19" t="s">
        <v>1836</v>
      </c>
      <c r="E290" s="19" t="s">
        <v>2265</v>
      </c>
      <c r="F290" s="19" t="s">
        <v>2938</v>
      </c>
      <c r="G290" s="19" t="s">
        <v>2964</v>
      </c>
      <c r="H290" s="19" t="s">
        <v>305</v>
      </c>
      <c r="I290" s="19" t="s">
        <v>2944</v>
      </c>
      <c r="J290" s="19" t="s">
        <v>3555</v>
      </c>
      <c r="K290" s="19" t="s">
        <v>3556</v>
      </c>
      <c r="L290" s="19" t="s">
        <v>2943</v>
      </c>
      <c r="M290" s="19"/>
    </row>
    <row r="291" spans="1:13" ht="15.75" hidden="1" customHeight="1">
      <c r="A291" s="19" t="s">
        <v>2269</v>
      </c>
      <c r="B291" s="19" t="s">
        <v>3557</v>
      </c>
      <c r="C291" s="20">
        <v>2026</v>
      </c>
      <c r="D291" s="19" t="s">
        <v>3558</v>
      </c>
      <c r="E291" s="19" t="s">
        <v>2273</v>
      </c>
      <c r="F291" s="19" t="s">
        <v>2938</v>
      </c>
      <c r="G291" s="19" t="s">
        <v>2964</v>
      </c>
      <c r="H291" s="19" t="s">
        <v>305</v>
      </c>
      <c r="I291" s="19" t="s">
        <v>2944</v>
      </c>
      <c r="J291" s="19" t="s">
        <v>3559</v>
      </c>
      <c r="K291" s="19" t="s">
        <v>3560</v>
      </c>
      <c r="L291" s="19" t="s">
        <v>2943</v>
      </c>
      <c r="M291" s="19"/>
    </row>
    <row r="292" spans="1:13" ht="15.75" hidden="1" customHeight="1">
      <c r="A292" s="19" t="s">
        <v>2277</v>
      </c>
      <c r="B292" s="19" t="s">
        <v>2278</v>
      </c>
      <c r="C292" s="20">
        <v>2024</v>
      </c>
      <c r="D292" s="19" t="s">
        <v>438</v>
      </c>
      <c r="E292" s="19" t="s">
        <v>2280</v>
      </c>
      <c r="F292" s="19" t="s">
        <v>2938</v>
      </c>
      <c r="G292" s="19" t="s">
        <v>2964</v>
      </c>
      <c r="H292" s="19" t="s">
        <v>305</v>
      </c>
      <c r="I292" s="19" t="s">
        <v>2940</v>
      </c>
      <c r="J292" s="19" t="s">
        <v>3561</v>
      </c>
      <c r="K292" s="19" t="s">
        <v>3562</v>
      </c>
      <c r="L292" s="19" t="s">
        <v>2943</v>
      </c>
      <c r="M292" s="19" t="s">
        <v>3563</v>
      </c>
    </row>
    <row r="293" spans="1:13" ht="15.75" hidden="1" customHeight="1">
      <c r="A293" s="19" t="s">
        <v>2284</v>
      </c>
      <c r="B293" s="19" t="s">
        <v>2285</v>
      </c>
      <c r="C293" s="20">
        <v>2022</v>
      </c>
      <c r="D293" s="19" t="s">
        <v>2286</v>
      </c>
      <c r="E293" s="19" t="s">
        <v>2287</v>
      </c>
      <c r="F293" s="19" t="s">
        <v>2938</v>
      </c>
      <c r="G293" s="19" t="s">
        <v>2964</v>
      </c>
      <c r="H293" s="19" t="s">
        <v>305</v>
      </c>
      <c r="I293" s="19" t="s">
        <v>2944</v>
      </c>
      <c r="J293" s="19" t="s">
        <v>3564</v>
      </c>
      <c r="K293" s="19" t="s">
        <v>3565</v>
      </c>
      <c r="L293" s="19" t="s">
        <v>2943</v>
      </c>
      <c r="M293" s="19"/>
    </row>
    <row r="294" spans="1:13" ht="15.75" hidden="1" customHeight="1">
      <c r="A294" s="19" t="s">
        <v>2291</v>
      </c>
      <c r="B294" s="19" t="s">
        <v>2292</v>
      </c>
      <c r="C294" s="20">
        <v>2026</v>
      </c>
      <c r="D294" s="19" t="s">
        <v>2294</v>
      </c>
      <c r="E294" s="19" t="s">
        <v>2295</v>
      </c>
      <c r="F294" s="19" t="s">
        <v>2938</v>
      </c>
      <c r="G294" s="19" t="s">
        <v>2964</v>
      </c>
      <c r="H294" s="19" t="s">
        <v>305</v>
      </c>
      <c r="I294" s="19" t="s">
        <v>2944</v>
      </c>
      <c r="J294" s="19" t="s">
        <v>3566</v>
      </c>
      <c r="K294" s="19" t="s">
        <v>3567</v>
      </c>
      <c r="L294" s="19" t="s">
        <v>2943</v>
      </c>
      <c r="M294" s="19"/>
    </row>
    <row r="295" spans="1:13" ht="15.75" hidden="1" customHeight="1">
      <c r="A295" s="19" t="s">
        <v>2299</v>
      </c>
      <c r="B295" s="19" t="s">
        <v>2300</v>
      </c>
      <c r="C295" s="20">
        <v>2012</v>
      </c>
      <c r="D295" s="19" t="s">
        <v>2302</v>
      </c>
      <c r="E295" s="19" t="s">
        <v>2303</v>
      </c>
      <c r="F295" s="19" t="s">
        <v>2938</v>
      </c>
      <c r="G295" s="19" t="s">
        <v>2964</v>
      </c>
      <c r="H295" s="19" t="s">
        <v>305</v>
      </c>
      <c r="I295" s="19" t="s">
        <v>2944</v>
      </c>
      <c r="J295" s="19" t="s">
        <v>3568</v>
      </c>
      <c r="K295" s="19" t="s">
        <v>3569</v>
      </c>
      <c r="L295" s="19" t="s">
        <v>2943</v>
      </c>
      <c r="M295" s="19"/>
    </row>
    <row r="296" spans="1:13" ht="15.75" hidden="1" customHeight="1">
      <c r="A296" s="19" t="s">
        <v>2306</v>
      </c>
      <c r="B296" s="19" t="s">
        <v>2307</v>
      </c>
      <c r="C296" s="20">
        <v>2026</v>
      </c>
      <c r="D296" s="19" t="s">
        <v>2201</v>
      </c>
      <c r="E296" s="19" t="s">
        <v>2309</v>
      </c>
      <c r="F296" s="19" t="s">
        <v>2938</v>
      </c>
      <c r="G296" s="19" t="s">
        <v>2964</v>
      </c>
      <c r="H296" s="19" t="s">
        <v>305</v>
      </c>
      <c r="I296" s="19" t="s">
        <v>2944</v>
      </c>
      <c r="J296" s="19" t="s">
        <v>3570</v>
      </c>
      <c r="K296" s="19" t="s">
        <v>3571</v>
      </c>
      <c r="L296" s="19" t="s">
        <v>2943</v>
      </c>
      <c r="M296" s="19"/>
    </row>
    <row r="297" spans="1:13" ht="15.75" hidden="1" customHeight="1">
      <c r="A297" s="19" t="s">
        <v>2313</v>
      </c>
      <c r="B297" s="19" t="s">
        <v>2314</v>
      </c>
      <c r="C297" s="20">
        <v>2025</v>
      </c>
      <c r="D297" s="19" t="s">
        <v>2316</v>
      </c>
      <c r="E297" s="19" t="s">
        <v>2317</v>
      </c>
      <c r="F297" s="19" t="s">
        <v>2938</v>
      </c>
      <c r="G297" s="19" t="s">
        <v>2964</v>
      </c>
      <c r="H297" s="19" t="s">
        <v>305</v>
      </c>
      <c r="I297" s="19" t="s">
        <v>2944</v>
      </c>
      <c r="J297" s="19" t="s">
        <v>3572</v>
      </c>
      <c r="K297" s="19" t="s">
        <v>3573</v>
      </c>
      <c r="L297" s="19" t="s">
        <v>2943</v>
      </c>
      <c r="M297" s="19"/>
    </row>
    <row r="298" spans="1:13" ht="15.75" hidden="1" customHeight="1">
      <c r="A298" s="19" t="s">
        <v>2320</v>
      </c>
      <c r="B298" s="19" t="s">
        <v>2321</v>
      </c>
      <c r="C298" s="20">
        <v>2026</v>
      </c>
      <c r="D298" s="19" t="s">
        <v>1322</v>
      </c>
      <c r="E298" s="19" t="s">
        <v>2323</v>
      </c>
      <c r="F298" s="19" t="s">
        <v>2938</v>
      </c>
      <c r="G298" s="19" t="s">
        <v>2964</v>
      </c>
      <c r="H298" s="19" t="s">
        <v>305</v>
      </c>
      <c r="I298" s="19" t="s">
        <v>2944</v>
      </c>
      <c r="J298" s="19" t="s">
        <v>3574</v>
      </c>
      <c r="K298" s="19" t="s">
        <v>3575</v>
      </c>
      <c r="L298" s="19" t="s">
        <v>2943</v>
      </c>
      <c r="M298" s="19"/>
    </row>
    <row r="299" spans="1:13" ht="15.75" hidden="1" customHeight="1">
      <c r="A299" s="19" t="s">
        <v>2327</v>
      </c>
      <c r="B299" s="19" t="s">
        <v>2328</v>
      </c>
      <c r="C299" s="20">
        <v>2025</v>
      </c>
      <c r="D299" s="19" t="s">
        <v>255</v>
      </c>
      <c r="E299" s="19" t="s">
        <v>2330</v>
      </c>
      <c r="F299" s="19" t="s">
        <v>2938</v>
      </c>
      <c r="G299" s="19" t="s">
        <v>2964</v>
      </c>
      <c r="H299" s="19" t="s">
        <v>305</v>
      </c>
      <c r="I299" s="19" t="s">
        <v>2944</v>
      </c>
      <c r="J299" s="19" t="s">
        <v>3576</v>
      </c>
      <c r="K299" s="19" t="s">
        <v>3577</v>
      </c>
      <c r="L299" s="19" t="s">
        <v>2943</v>
      </c>
      <c r="M299" s="19"/>
    </row>
    <row r="300" spans="1:13" ht="15.75" hidden="1" customHeight="1">
      <c r="A300" s="19" t="s">
        <v>2334</v>
      </c>
      <c r="B300" s="19" t="s">
        <v>2335</v>
      </c>
      <c r="C300" s="20">
        <v>2024</v>
      </c>
      <c r="D300" s="19" t="s">
        <v>1747</v>
      </c>
      <c r="E300" s="19"/>
      <c r="F300" s="19" t="s">
        <v>2938</v>
      </c>
      <c r="G300" s="19" t="s">
        <v>2964</v>
      </c>
      <c r="H300" s="19" t="s">
        <v>305</v>
      </c>
      <c r="I300" s="19" t="s">
        <v>2944</v>
      </c>
      <c r="J300" s="19" t="s">
        <v>3578</v>
      </c>
      <c r="K300" s="19" t="s">
        <v>3579</v>
      </c>
      <c r="L300" s="19" t="s">
        <v>2943</v>
      </c>
      <c r="M300" s="19"/>
    </row>
    <row r="301" spans="1:13" ht="15.75" hidden="1" customHeight="1">
      <c r="A301" s="19" t="s">
        <v>2339</v>
      </c>
      <c r="B301" s="19" t="s">
        <v>2340</v>
      </c>
      <c r="C301" s="20">
        <v>2026</v>
      </c>
      <c r="D301" s="19" t="s">
        <v>2342</v>
      </c>
      <c r="E301" s="19" t="s">
        <v>2343</v>
      </c>
      <c r="F301" s="19" t="s">
        <v>2938</v>
      </c>
      <c r="G301" s="19" t="s">
        <v>2964</v>
      </c>
      <c r="H301" s="19" t="s">
        <v>305</v>
      </c>
      <c r="I301" s="19" t="s">
        <v>2944</v>
      </c>
      <c r="J301" s="19" t="s">
        <v>3580</v>
      </c>
      <c r="K301" s="19" t="s">
        <v>3581</v>
      </c>
      <c r="L301" s="19" t="s">
        <v>2943</v>
      </c>
      <c r="M301" s="19"/>
    </row>
    <row r="302" spans="1:13" ht="15.75" customHeight="1">
      <c r="A302" s="19" t="s">
        <v>2346</v>
      </c>
      <c r="B302" s="19" t="s">
        <v>2347</v>
      </c>
      <c r="C302" s="20">
        <v>2024</v>
      </c>
      <c r="D302" s="19" t="s">
        <v>540</v>
      </c>
      <c r="E302" s="19" t="s">
        <v>2349</v>
      </c>
      <c r="F302" s="19" t="s">
        <v>2938</v>
      </c>
      <c r="G302" s="19" t="s">
        <v>2939</v>
      </c>
      <c r="H302" s="19"/>
      <c r="I302" s="19" t="s">
        <v>2944</v>
      </c>
      <c r="J302" s="19" t="s">
        <v>3582</v>
      </c>
      <c r="K302" s="19" t="s">
        <v>3583</v>
      </c>
      <c r="L302" s="19" t="s">
        <v>2943</v>
      </c>
      <c r="M302" s="19" t="s">
        <v>3584</v>
      </c>
    </row>
    <row r="303" spans="1:13" ht="15.75" customHeight="1">
      <c r="A303" s="19" t="s">
        <v>2353</v>
      </c>
      <c r="B303" s="19" t="s">
        <v>2354</v>
      </c>
      <c r="C303" s="20">
        <v>2026</v>
      </c>
      <c r="D303" s="19" t="s">
        <v>153</v>
      </c>
      <c r="E303" s="19" t="s">
        <v>2356</v>
      </c>
      <c r="F303" s="19" t="s">
        <v>2938</v>
      </c>
      <c r="G303" s="19" t="s">
        <v>2939</v>
      </c>
      <c r="H303" s="19"/>
      <c r="I303" s="19" t="s">
        <v>2944</v>
      </c>
      <c r="J303" s="19" t="s">
        <v>3585</v>
      </c>
      <c r="K303" s="19" t="s">
        <v>3586</v>
      </c>
      <c r="L303" s="19" t="s">
        <v>2943</v>
      </c>
      <c r="M303" s="19" t="s">
        <v>3587</v>
      </c>
    </row>
    <row r="304" spans="1:13" ht="15.75" hidden="1" customHeight="1">
      <c r="A304" s="19" t="s">
        <v>2360</v>
      </c>
      <c r="B304" s="19" t="s">
        <v>2361</v>
      </c>
      <c r="C304" s="20">
        <v>2025</v>
      </c>
      <c r="D304" s="19" t="s">
        <v>2363</v>
      </c>
      <c r="E304" s="19" t="s">
        <v>2364</v>
      </c>
      <c r="F304" s="19" t="s">
        <v>2938</v>
      </c>
      <c r="G304" s="19" t="s">
        <v>2964</v>
      </c>
      <c r="H304" s="19" t="s">
        <v>305</v>
      </c>
      <c r="I304" s="19" t="s">
        <v>2944</v>
      </c>
      <c r="J304" s="19" t="s">
        <v>3588</v>
      </c>
      <c r="K304" s="19" t="s">
        <v>3589</v>
      </c>
      <c r="L304" s="19" t="s">
        <v>2943</v>
      </c>
      <c r="M304" s="19"/>
    </row>
    <row r="305" spans="1:13" ht="15.75" hidden="1" customHeight="1">
      <c r="A305" s="19" t="s">
        <v>2368</v>
      </c>
      <c r="B305" s="19" t="s">
        <v>2369</v>
      </c>
      <c r="C305" s="20">
        <v>2023</v>
      </c>
      <c r="D305" s="19" t="s">
        <v>380</v>
      </c>
      <c r="E305" s="19" t="s">
        <v>2371</v>
      </c>
      <c r="F305" s="19" t="s">
        <v>2938</v>
      </c>
      <c r="G305" s="19" t="s">
        <v>2964</v>
      </c>
      <c r="H305" s="19" t="s">
        <v>305</v>
      </c>
      <c r="I305" s="19" t="s">
        <v>2944</v>
      </c>
      <c r="J305" s="19" t="s">
        <v>3590</v>
      </c>
      <c r="K305" s="19" t="s">
        <v>3591</v>
      </c>
      <c r="L305" s="19" t="s">
        <v>2943</v>
      </c>
      <c r="M305" s="19"/>
    </row>
    <row r="306" spans="1:13" ht="15.75" hidden="1" customHeight="1">
      <c r="A306" s="19" t="s">
        <v>2375</v>
      </c>
      <c r="B306" s="19" t="s">
        <v>2376</v>
      </c>
      <c r="C306" s="20">
        <v>2024</v>
      </c>
      <c r="D306" s="19" t="s">
        <v>2378</v>
      </c>
      <c r="E306" s="19" t="s">
        <v>2379</v>
      </c>
      <c r="F306" s="19" t="s">
        <v>2938</v>
      </c>
      <c r="G306" s="19" t="s">
        <v>2964</v>
      </c>
      <c r="H306" s="19" t="s">
        <v>305</v>
      </c>
      <c r="I306" s="19" t="s">
        <v>2944</v>
      </c>
      <c r="J306" s="19" t="s">
        <v>3592</v>
      </c>
      <c r="K306" s="19" t="s">
        <v>3593</v>
      </c>
      <c r="L306" s="19" t="s">
        <v>2943</v>
      </c>
    </row>
    <row r="307" spans="1:13" ht="15.75" hidden="1" customHeight="1">
      <c r="A307" s="19" t="s">
        <v>2383</v>
      </c>
      <c r="B307" s="19" t="s">
        <v>2384</v>
      </c>
      <c r="C307" s="20">
        <v>2023</v>
      </c>
      <c r="D307" s="19" t="s">
        <v>2386</v>
      </c>
      <c r="E307" s="19" t="s">
        <v>2387</v>
      </c>
      <c r="F307" s="19" t="s">
        <v>2938</v>
      </c>
      <c r="G307" s="19" t="s">
        <v>2964</v>
      </c>
      <c r="H307" s="19" t="s">
        <v>305</v>
      </c>
      <c r="I307" s="19" t="s">
        <v>2944</v>
      </c>
      <c r="J307" s="19" t="s">
        <v>3594</v>
      </c>
      <c r="K307" s="19" t="s">
        <v>3595</v>
      </c>
      <c r="L307" s="19" t="s">
        <v>2943</v>
      </c>
    </row>
    <row r="308" spans="1:13" ht="15.75" hidden="1" customHeight="1">
      <c r="A308" s="19" t="s">
        <v>2391</v>
      </c>
      <c r="B308" s="19" t="s">
        <v>2392</v>
      </c>
      <c r="C308" s="20">
        <v>2025</v>
      </c>
      <c r="D308" s="19" t="s">
        <v>2394</v>
      </c>
      <c r="E308" s="19" t="s">
        <v>2395</v>
      </c>
      <c r="F308" s="19" t="s">
        <v>2938</v>
      </c>
      <c r="G308" s="19" t="s">
        <v>2964</v>
      </c>
      <c r="H308" s="19" t="s">
        <v>305</v>
      </c>
      <c r="I308" s="19" t="s">
        <v>2944</v>
      </c>
      <c r="J308" s="19" t="s">
        <v>3596</v>
      </c>
      <c r="K308" s="19" t="s">
        <v>3597</v>
      </c>
      <c r="L308" s="19" t="s">
        <v>2943</v>
      </c>
      <c r="M308" s="19"/>
    </row>
    <row r="309" spans="1:13" ht="15.75" hidden="1" customHeight="1">
      <c r="A309" s="19" t="s">
        <v>2399</v>
      </c>
      <c r="B309" s="19" t="s">
        <v>2400</v>
      </c>
      <c r="C309" s="20">
        <v>2025</v>
      </c>
      <c r="D309" s="19" t="s">
        <v>356</v>
      </c>
      <c r="E309" s="19" t="s">
        <v>2402</v>
      </c>
      <c r="F309" s="19" t="s">
        <v>2938</v>
      </c>
      <c r="G309" s="19" t="s">
        <v>2964</v>
      </c>
      <c r="H309" s="19" t="s">
        <v>305</v>
      </c>
      <c r="I309" s="19" t="s">
        <v>2944</v>
      </c>
      <c r="J309" s="19" t="s">
        <v>3598</v>
      </c>
      <c r="K309" s="19" t="s">
        <v>3599</v>
      </c>
      <c r="L309" s="19" t="s">
        <v>2943</v>
      </c>
      <c r="M309" s="19" t="s">
        <v>3600</v>
      </c>
    </row>
    <row r="310" spans="1:13" ht="15.75" customHeight="1">
      <c r="A310" s="19" t="s">
        <v>2405</v>
      </c>
      <c r="B310" s="19" t="s">
        <v>2406</v>
      </c>
      <c r="C310" s="20">
        <v>2024</v>
      </c>
      <c r="D310" s="19" t="s">
        <v>325</v>
      </c>
      <c r="E310" s="19" t="s">
        <v>2408</v>
      </c>
      <c r="F310" s="19" t="s">
        <v>2938</v>
      </c>
      <c r="G310" s="19" t="s">
        <v>2939</v>
      </c>
      <c r="H310" s="19"/>
      <c r="I310" s="19" t="s">
        <v>2940</v>
      </c>
      <c r="J310" s="19" t="s">
        <v>3601</v>
      </c>
      <c r="K310" s="19" t="s">
        <v>3602</v>
      </c>
      <c r="L310" s="19" t="s">
        <v>2943</v>
      </c>
      <c r="M310" s="19" t="s">
        <v>3603</v>
      </c>
    </row>
    <row r="311" spans="1:13" ht="15.75" hidden="1" customHeight="1">
      <c r="A311" s="19" t="s">
        <v>2411</v>
      </c>
      <c r="B311" s="19" t="s">
        <v>2412</v>
      </c>
      <c r="C311" s="20">
        <v>2023</v>
      </c>
      <c r="D311" s="19" t="s">
        <v>438</v>
      </c>
      <c r="E311" s="19" t="s">
        <v>2414</v>
      </c>
      <c r="F311" s="19" t="s">
        <v>2938</v>
      </c>
      <c r="G311" s="19" t="s">
        <v>2964</v>
      </c>
      <c r="H311" s="19" t="s">
        <v>305</v>
      </c>
      <c r="I311" s="19" t="s">
        <v>2944</v>
      </c>
      <c r="J311" s="19" t="s">
        <v>3604</v>
      </c>
      <c r="K311" s="19" t="s">
        <v>3605</v>
      </c>
      <c r="L311" s="19" t="s">
        <v>2943</v>
      </c>
      <c r="M311" s="19"/>
    </row>
    <row r="312" spans="1:13" ht="15.75" hidden="1" customHeight="1">
      <c r="A312" s="19" t="s">
        <v>2418</v>
      </c>
      <c r="B312" s="19" t="s">
        <v>2419</v>
      </c>
      <c r="C312" s="20">
        <v>2022</v>
      </c>
      <c r="D312" s="19" t="s">
        <v>570</v>
      </c>
      <c r="E312" s="19" t="s">
        <v>2421</v>
      </c>
      <c r="F312" s="19" t="s">
        <v>2938</v>
      </c>
      <c r="G312" s="19" t="s">
        <v>2964</v>
      </c>
      <c r="H312" s="19" t="s">
        <v>305</v>
      </c>
      <c r="I312" s="19" t="s">
        <v>2944</v>
      </c>
      <c r="J312" s="19" t="s">
        <v>3606</v>
      </c>
      <c r="K312" s="19" t="s">
        <v>3607</v>
      </c>
      <c r="L312" s="19" t="s">
        <v>2943</v>
      </c>
      <c r="M312" s="19"/>
    </row>
    <row r="313" spans="1:13" ht="15.75" hidden="1" customHeight="1">
      <c r="A313" s="19" t="s">
        <v>2425</v>
      </c>
      <c r="B313" s="19" t="s">
        <v>2426</v>
      </c>
      <c r="C313" s="20">
        <v>2026</v>
      </c>
      <c r="D313" s="19" t="s">
        <v>2428</v>
      </c>
      <c r="E313" s="19" t="s">
        <v>2429</v>
      </c>
      <c r="F313" s="19" t="s">
        <v>2938</v>
      </c>
      <c r="G313" s="19" t="s">
        <v>2964</v>
      </c>
      <c r="H313" s="19" t="s">
        <v>305</v>
      </c>
      <c r="I313" s="19" t="s">
        <v>2944</v>
      </c>
      <c r="J313" s="19" t="s">
        <v>3608</v>
      </c>
      <c r="K313" s="19" t="s">
        <v>3609</v>
      </c>
      <c r="L313" s="19" t="s">
        <v>2943</v>
      </c>
      <c r="M313" s="19"/>
    </row>
    <row r="314" spans="1:13" ht="15.75" hidden="1" customHeight="1">
      <c r="A314" s="19" t="s">
        <v>2433</v>
      </c>
      <c r="B314" s="19" t="s">
        <v>2434</v>
      </c>
      <c r="C314" s="20">
        <v>2021</v>
      </c>
      <c r="D314" s="19" t="s">
        <v>2136</v>
      </c>
      <c r="E314" s="19" t="s">
        <v>2436</v>
      </c>
      <c r="F314" s="19" t="s">
        <v>2938</v>
      </c>
      <c r="G314" s="19" t="s">
        <v>2964</v>
      </c>
      <c r="H314" s="19" t="s">
        <v>305</v>
      </c>
      <c r="I314" s="19" t="s">
        <v>2944</v>
      </c>
      <c r="J314" s="19" t="s">
        <v>3610</v>
      </c>
      <c r="K314" s="19" t="s">
        <v>3611</v>
      </c>
      <c r="L314" s="19" t="s">
        <v>2943</v>
      </c>
      <c r="M314" s="19"/>
    </row>
    <row r="315" spans="1:13" ht="15.75" hidden="1" customHeight="1">
      <c r="A315" s="19" t="s">
        <v>2440</v>
      </c>
      <c r="B315" s="19" t="s">
        <v>2441</v>
      </c>
      <c r="C315" s="20">
        <v>2023</v>
      </c>
      <c r="D315" s="19" t="s">
        <v>2443</v>
      </c>
      <c r="E315" s="19" t="s">
        <v>2444</v>
      </c>
      <c r="F315" s="19" t="s">
        <v>2938</v>
      </c>
      <c r="G315" s="19" t="s">
        <v>2964</v>
      </c>
      <c r="H315" s="19" t="s">
        <v>305</v>
      </c>
      <c r="I315" s="19" t="s">
        <v>2944</v>
      </c>
      <c r="J315" s="19" t="s">
        <v>3612</v>
      </c>
      <c r="K315" s="19" t="s">
        <v>3613</v>
      </c>
      <c r="L315" s="19" t="s">
        <v>2943</v>
      </c>
      <c r="M315" s="19"/>
    </row>
    <row r="316" spans="1:13" ht="15.75" hidden="1" customHeight="1">
      <c r="A316" s="19" t="s">
        <v>2448</v>
      </c>
      <c r="B316" s="19" t="s">
        <v>2449</v>
      </c>
      <c r="C316" s="20">
        <v>2023</v>
      </c>
      <c r="D316" s="19" t="s">
        <v>2451</v>
      </c>
      <c r="E316" s="19" t="s">
        <v>2452</v>
      </c>
      <c r="F316" s="19" t="s">
        <v>2938</v>
      </c>
      <c r="G316" s="19" t="s">
        <v>2964</v>
      </c>
      <c r="H316" s="19" t="s">
        <v>305</v>
      </c>
      <c r="I316" s="19" t="s">
        <v>2940</v>
      </c>
      <c r="J316" s="19" t="s">
        <v>3614</v>
      </c>
      <c r="K316" s="19" t="s">
        <v>3615</v>
      </c>
      <c r="L316" s="19" t="s">
        <v>2943</v>
      </c>
      <c r="M316" s="19" t="s">
        <v>3616</v>
      </c>
    </row>
    <row r="317" spans="1:13" ht="15.75" hidden="1" customHeight="1">
      <c r="A317" s="19" t="s">
        <v>2454</v>
      </c>
      <c r="B317" s="19" t="s">
        <v>2455</v>
      </c>
      <c r="C317" s="20">
        <v>2022</v>
      </c>
      <c r="D317" s="19" t="s">
        <v>1239</v>
      </c>
      <c r="E317" s="19" t="s">
        <v>2457</v>
      </c>
      <c r="F317" s="19" t="s">
        <v>2938</v>
      </c>
      <c r="G317" s="19" t="s">
        <v>2964</v>
      </c>
      <c r="H317" s="19" t="s">
        <v>305</v>
      </c>
      <c r="I317" s="19" t="s">
        <v>2944</v>
      </c>
      <c r="J317" s="19" t="s">
        <v>3617</v>
      </c>
      <c r="K317" s="19" t="s">
        <v>3618</v>
      </c>
      <c r="L317" s="19" t="s">
        <v>2943</v>
      </c>
      <c r="M317" s="19"/>
    </row>
    <row r="318" spans="1:13" ht="15.75" hidden="1" customHeight="1">
      <c r="A318" s="19" t="s">
        <v>2461</v>
      </c>
      <c r="B318" s="19" t="s">
        <v>2462</v>
      </c>
      <c r="C318" s="20">
        <v>2025</v>
      </c>
      <c r="D318" s="19" t="s">
        <v>2464</v>
      </c>
      <c r="E318" s="19" t="s">
        <v>2465</v>
      </c>
      <c r="F318" s="19" t="s">
        <v>2938</v>
      </c>
      <c r="G318" s="19" t="s">
        <v>2964</v>
      </c>
      <c r="H318" s="19" t="s">
        <v>305</v>
      </c>
      <c r="I318" s="19" t="s">
        <v>2944</v>
      </c>
      <c r="J318" s="19" t="s">
        <v>3619</v>
      </c>
      <c r="K318" s="19" t="s">
        <v>3620</v>
      </c>
      <c r="L318" s="19" t="s">
        <v>2943</v>
      </c>
      <c r="M318" s="19"/>
    </row>
    <row r="319" spans="1:13" ht="15.75" hidden="1" customHeight="1">
      <c r="A319" s="19" t="s">
        <v>2468</v>
      </c>
      <c r="B319" s="19" t="s">
        <v>2469</v>
      </c>
      <c r="C319" s="20">
        <v>2025</v>
      </c>
      <c r="D319" s="19" t="s">
        <v>2471</v>
      </c>
      <c r="E319" s="19" t="s">
        <v>2472</v>
      </c>
      <c r="F319" s="19" t="s">
        <v>2938</v>
      </c>
      <c r="G319" s="19" t="s">
        <v>2964</v>
      </c>
      <c r="H319" s="19" t="s">
        <v>305</v>
      </c>
      <c r="I319" s="19" t="s">
        <v>2944</v>
      </c>
      <c r="J319" s="19" t="s">
        <v>3621</v>
      </c>
      <c r="K319" s="19" t="s">
        <v>3622</v>
      </c>
      <c r="L319" s="19" t="s">
        <v>2943</v>
      </c>
      <c r="M319" s="19"/>
    </row>
    <row r="320" spans="1:13" ht="15.75" hidden="1" customHeight="1">
      <c r="A320" s="19" t="s">
        <v>2476</v>
      </c>
      <c r="B320" s="19" t="s">
        <v>2477</v>
      </c>
      <c r="C320" s="20">
        <v>2024</v>
      </c>
      <c r="D320" s="19" t="s">
        <v>673</v>
      </c>
      <c r="E320" s="19" t="s">
        <v>2479</v>
      </c>
      <c r="F320" s="19" t="s">
        <v>2938</v>
      </c>
      <c r="G320" s="19" t="s">
        <v>2964</v>
      </c>
      <c r="H320" s="19" t="s">
        <v>305</v>
      </c>
      <c r="I320" s="19" t="s">
        <v>2944</v>
      </c>
      <c r="J320" s="19" t="s">
        <v>3623</v>
      </c>
      <c r="K320" s="19" t="s">
        <v>3624</v>
      </c>
      <c r="L320" s="19" t="s">
        <v>2943</v>
      </c>
      <c r="M320" s="19"/>
    </row>
    <row r="321" spans="1:13" ht="15.75" hidden="1" customHeight="1">
      <c r="A321" s="19" t="s">
        <v>2483</v>
      </c>
      <c r="B321" s="19" t="s">
        <v>2484</v>
      </c>
      <c r="C321" s="20">
        <v>2025</v>
      </c>
      <c r="D321" s="19" t="s">
        <v>2486</v>
      </c>
      <c r="E321" s="19" t="s">
        <v>2487</v>
      </c>
      <c r="F321" s="19" t="s">
        <v>2938</v>
      </c>
      <c r="G321" s="19" t="s">
        <v>2964</v>
      </c>
      <c r="H321" s="19" t="s">
        <v>305</v>
      </c>
      <c r="I321" s="19" t="s">
        <v>2944</v>
      </c>
      <c r="J321" s="19" t="s">
        <v>3625</v>
      </c>
      <c r="K321" s="19" t="s">
        <v>3626</v>
      </c>
      <c r="L321" s="19" t="s">
        <v>2943</v>
      </c>
      <c r="M321" s="19"/>
    </row>
    <row r="322" spans="1:13" ht="15.75" customHeight="1">
      <c r="A322" s="19" t="s">
        <v>2491</v>
      </c>
      <c r="B322" s="19" t="s">
        <v>2492</v>
      </c>
      <c r="C322" s="20">
        <v>2025</v>
      </c>
      <c r="D322" s="19" t="s">
        <v>255</v>
      </c>
      <c r="E322" s="19" t="s">
        <v>2494</v>
      </c>
      <c r="F322" s="19" t="s">
        <v>2938</v>
      </c>
      <c r="G322" s="19" t="s">
        <v>2939</v>
      </c>
      <c r="H322" s="19"/>
      <c r="I322" s="19" t="s">
        <v>2944</v>
      </c>
      <c r="J322" s="19" t="s">
        <v>3627</v>
      </c>
      <c r="K322" s="19" t="s">
        <v>3628</v>
      </c>
      <c r="L322" s="19" t="s">
        <v>2943</v>
      </c>
      <c r="M322" s="19" t="s">
        <v>3629</v>
      </c>
    </row>
    <row r="323" spans="1:13" ht="15.75" hidden="1" customHeight="1">
      <c r="A323" s="19" t="s">
        <v>2498</v>
      </c>
      <c r="B323" s="19" t="s">
        <v>2499</v>
      </c>
      <c r="C323" s="20">
        <v>2025</v>
      </c>
      <c r="D323" s="19" t="s">
        <v>901</v>
      </c>
      <c r="E323" s="19" t="s">
        <v>2501</v>
      </c>
      <c r="F323" s="19" t="s">
        <v>2938</v>
      </c>
      <c r="G323" s="19" t="s">
        <v>2964</v>
      </c>
      <c r="H323" s="19" t="s">
        <v>305</v>
      </c>
      <c r="I323" s="19" t="s">
        <v>2944</v>
      </c>
      <c r="J323" s="19" t="s">
        <v>3630</v>
      </c>
      <c r="K323" s="19" t="s">
        <v>3631</v>
      </c>
      <c r="L323" s="19" t="s">
        <v>2943</v>
      </c>
      <c r="M323" s="19"/>
    </row>
    <row r="324" spans="1:13" ht="15.75" hidden="1" customHeight="1">
      <c r="A324" s="19" t="s">
        <v>2505</v>
      </c>
      <c r="B324" s="19" t="s">
        <v>2506</v>
      </c>
      <c r="C324" s="20">
        <v>2023</v>
      </c>
      <c r="D324" s="19" t="s">
        <v>2508</v>
      </c>
      <c r="E324" s="19" t="s">
        <v>2509</v>
      </c>
      <c r="F324" s="19" t="s">
        <v>2938</v>
      </c>
      <c r="G324" s="19" t="s">
        <v>2964</v>
      </c>
      <c r="H324" s="19" t="s">
        <v>305</v>
      </c>
      <c r="I324" s="19" t="s">
        <v>2944</v>
      </c>
      <c r="J324" s="19" t="s">
        <v>3632</v>
      </c>
      <c r="K324" s="19" t="s">
        <v>3633</v>
      </c>
      <c r="L324" s="19" t="s">
        <v>2943</v>
      </c>
      <c r="M324" s="19"/>
    </row>
    <row r="325" spans="1:13" ht="15.75" hidden="1" customHeight="1">
      <c r="A325" s="19" t="s">
        <v>2513</v>
      </c>
      <c r="B325" s="19" t="s">
        <v>2514</v>
      </c>
      <c r="C325" s="20">
        <v>2021</v>
      </c>
      <c r="D325" s="19" t="s">
        <v>2486</v>
      </c>
      <c r="E325" s="19" t="s">
        <v>2516</v>
      </c>
      <c r="F325" s="19" t="s">
        <v>2938</v>
      </c>
      <c r="G325" s="19" t="s">
        <v>2964</v>
      </c>
      <c r="H325" s="19" t="s">
        <v>305</v>
      </c>
      <c r="I325" s="19" t="s">
        <v>2944</v>
      </c>
      <c r="J325" s="19" t="s">
        <v>3634</v>
      </c>
      <c r="K325" s="19" t="s">
        <v>3635</v>
      </c>
      <c r="L325" s="19" t="s">
        <v>2943</v>
      </c>
      <c r="M325" s="19"/>
    </row>
    <row r="326" spans="1:13" ht="15.75" customHeight="1">
      <c r="A326" s="19" t="s">
        <v>2520</v>
      </c>
      <c r="B326" s="19" t="s">
        <v>2521</v>
      </c>
      <c r="C326" s="20">
        <v>2025</v>
      </c>
      <c r="D326" s="19" t="s">
        <v>198</v>
      </c>
      <c r="E326" s="19" t="s">
        <v>2523</v>
      </c>
      <c r="F326" s="19" t="s">
        <v>2938</v>
      </c>
      <c r="G326" s="19" t="s">
        <v>2939</v>
      </c>
      <c r="H326" s="19"/>
      <c r="I326" s="19" t="s">
        <v>2944</v>
      </c>
      <c r="J326" s="19" t="s">
        <v>3636</v>
      </c>
      <c r="K326" s="19" t="s">
        <v>3637</v>
      </c>
      <c r="L326" s="19" t="s">
        <v>2943</v>
      </c>
      <c r="M326" s="19" t="s">
        <v>3638</v>
      </c>
    </row>
    <row r="327" spans="1:13" ht="15.75" hidden="1" customHeight="1">
      <c r="A327" s="19" t="s">
        <v>2527</v>
      </c>
      <c r="B327" s="19" t="s">
        <v>2528</v>
      </c>
      <c r="C327" s="20">
        <v>2025</v>
      </c>
      <c r="D327" s="19" t="s">
        <v>715</v>
      </c>
      <c r="E327" s="19" t="s">
        <v>2531</v>
      </c>
      <c r="F327" s="19" t="s">
        <v>2938</v>
      </c>
      <c r="G327" s="19" t="s">
        <v>2964</v>
      </c>
      <c r="H327" s="19" t="s">
        <v>305</v>
      </c>
      <c r="I327" s="19" t="s">
        <v>2944</v>
      </c>
      <c r="J327" s="19" t="s">
        <v>3639</v>
      </c>
      <c r="K327" s="19" t="s">
        <v>3640</v>
      </c>
      <c r="L327" s="19" t="s">
        <v>2943</v>
      </c>
      <c r="M327" s="19"/>
    </row>
    <row r="328" spans="1:13" ht="15.75" hidden="1" customHeight="1">
      <c r="A328" s="19" t="s">
        <v>2534</v>
      </c>
      <c r="B328" s="19" t="s">
        <v>2535</v>
      </c>
      <c r="C328" s="20">
        <v>2024</v>
      </c>
      <c r="D328" s="19" t="s">
        <v>2508</v>
      </c>
      <c r="E328" s="19" t="s">
        <v>2537</v>
      </c>
      <c r="F328" s="19" t="s">
        <v>2938</v>
      </c>
      <c r="G328" s="19" t="s">
        <v>2964</v>
      </c>
      <c r="H328" s="19" t="s">
        <v>305</v>
      </c>
      <c r="I328" s="19" t="s">
        <v>2944</v>
      </c>
      <c r="J328" s="19" t="s">
        <v>3641</v>
      </c>
      <c r="K328" s="19" t="s">
        <v>3642</v>
      </c>
      <c r="L328" s="19" t="s">
        <v>2943</v>
      </c>
      <c r="M328" s="19"/>
    </row>
    <row r="329" spans="1:13" ht="15.75" hidden="1" customHeight="1">
      <c r="A329" s="19" t="s">
        <v>2541</v>
      </c>
      <c r="B329" s="19" t="s">
        <v>2542</v>
      </c>
      <c r="C329" s="20">
        <v>1998</v>
      </c>
      <c r="D329" s="19" t="s">
        <v>2544</v>
      </c>
      <c r="E329" s="19"/>
      <c r="F329" s="19" t="s">
        <v>2938</v>
      </c>
      <c r="G329" s="19" t="s">
        <v>2964</v>
      </c>
      <c r="H329" s="19" t="s">
        <v>305</v>
      </c>
      <c r="I329" s="19" t="s">
        <v>2944</v>
      </c>
      <c r="J329" s="19" t="s">
        <v>3643</v>
      </c>
      <c r="K329" s="19" t="s">
        <v>3644</v>
      </c>
      <c r="L329" s="19" t="s">
        <v>2943</v>
      </c>
      <c r="M329" s="19"/>
    </row>
    <row r="330" spans="1:13" ht="15.75" customHeight="1">
      <c r="A330" s="19" t="s">
        <v>2548</v>
      </c>
      <c r="B330" s="19" t="s">
        <v>2549</v>
      </c>
      <c r="C330" s="20">
        <v>2024</v>
      </c>
      <c r="D330" s="19" t="s">
        <v>325</v>
      </c>
      <c r="E330" s="19" t="s">
        <v>2551</v>
      </c>
      <c r="F330" s="19" t="s">
        <v>2938</v>
      </c>
      <c r="G330" s="19" t="s">
        <v>2939</v>
      </c>
      <c r="H330" s="19"/>
      <c r="I330" s="19" t="s">
        <v>2940</v>
      </c>
      <c r="J330" s="19" t="s">
        <v>3645</v>
      </c>
      <c r="K330" s="19" t="s">
        <v>3646</v>
      </c>
      <c r="L330" s="19" t="s">
        <v>2943</v>
      </c>
      <c r="M330" s="19" t="s">
        <v>3647</v>
      </c>
    </row>
    <row r="331" spans="1:13" ht="15.75" hidden="1" customHeight="1">
      <c r="A331" s="19" t="s">
        <v>2554</v>
      </c>
      <c r="B331" s="19" t="s">
        <v>2555</v>
      </c>
      <c r="C331" s="20">
        <v>2026</v>
      </c>
      <c r="D331" s="19" t="s">
        <v>2557</v>
      </c>
      <c r="E331" s="19" t="s">
        <v>2558</v>
      </c>
      <c r="F331" s="19" t="s">
        <v>2938</v>
      </c>
      <c r="G331" s="19" t="s">
        <v>2964</v>
      </c>
      <c r="H331" s="19" t="s">
        <v>305</v>
      </c>
      <c r="I331" s="19" t="s">
        <v>2944</v>
      </c>
      <c r="J331" s="19" t="s">
        <v>3648</v>
      </c>
      <c r="K331" s="19" t="s">
        <v>3649</v>
      </c>
      <c r="L331" s="19" t="s">
        <v>2943</v>
      </c>
    </row>
    <row r="332" spans="1:13" ht="15.75" hidden="1" customHeight="1">
      <c r="A332" s="19" t="s">
        <v>2562</v>
      </c>
      <c r="B332" s="19" t="s">
        <v>2563</v>
      </c>
      <c r="C332" s="20">
        <v>2025</v>
      </c>
      <c r="D332" s="19" t="s">
        <v>2565</v>
      </c>
      <c r="E332" s="19" t="s">
        <v>2566</v>
      </c>
      <c r="F332" s="19" t="s">
        <v>2938</v>
      </c>
      <c r="G332" s="19" t="s">
        <v>2964</v>
      </c>
      <c r="H332" s="19" t="s">
        <v>305</v>
      </c>
      <c r="I332" s="19" t="s">
        <v>2944</v>
      </c>
      <c r="J332" s="19" t="s">
        <v>3650</v>
      </c>
      <c r="K332" s="19" t="s">
        <v>3651</v>
      </c>
      <c r="L332" s="19" t="s">
        <v>2943</v>
      </c>
    </row>
    <row r="333" spans="1:13" ht="15.75" hidden="1" customHeight="1">
      <c r="A333" s="19" t="s">
        <v>2570</v>
      </c>
      <c r="B333" s="19" t="s">
        <v>2571</v>
      </c>
      <c r="C333" s="20">
        <v>2025</v>
      </c>
      <c r="D333" s="19" t="s">
        <v>255</v>
      </c>
      <c r="E333" s="19" t="s">
        <v>2573</v>
      </c>
      <c r="F333" s="19" t="s">
        <v>2938</v>
      </c>
      <c r="G333" s="19" t="s">
        <v>2964</v>
      </c>
      <c r="H333" s="19" t="s">
        <v>305</v>
      </c>
      <c r="I333" s="19" t="s">
        <v>2944</v>
      </c>
      <c r="J333" s="19" t="s">
        <v>3652</v>
      </c>
      <c r="K333" s="19" t="s">
        <v>3653</v>
      </c>
      <c r="L333" s="19" t="s">
        <v>2943</v>
      </c>
      <c r="M333" s="19"/>
    </row>
    <row r="334" spans="1:13" ht="15.75" hidden="1" customHeight="1">
      <c r="A334" s="19" t="s">
        <v>2577</v>
      </c>
      <c r="B334" s="19" t="s">
        <v>2578</v>
      </c>
      <c r="C334" s="20">
        <v>2026</v>
      </c>
      <c r="D334" s="19" t="s">
        <v>2580</v>
      </c>
      <c r="E334" s="19" t="s">
        <v>2581</v>
      </c>
      <c r="F334" s="19" t="s">
        <v>2938</v>
      </c>
      <c r="G334" s="19" t="s">
        <v>2964</v>
      </c>
      <c r="H334" s="19" t="s">
        <v>305</v>
      </c>
      <c r="I334" s="19" t="s">
        <v>2944</v>
      </c>
      <c r="J334" s="19" t="s">
        <v>3654</v>
      </c>
      <c r="K334" s="19" t="s">
        <v>3655</v>
      </c>
      <c r="L334" s="19" t="s">
        <v>2943</v>
      </c>
      <c r="M334" s="19"/>
    </row>
    <row r="335" spans="1:13" ht="15.75" hidden="1" customHeight="1">
      <c r="A335" s="19" t="s">
        <v>2584</v>
      </c>
      <c r="B335" s="19" t="s">
        <v>2585</v>
      </c>
      <c r="C335" s="20">
        <v>2026</v>
      </c>
      <c r="D335" s="19" t="s">
        <v>808</v>
      </c>
      <c r="E335" s="19" t="s">
        <v>2587</v>
      </c>
      <c r="F335" s="19" t="s">
        <v>2938</v>
      </c>
      <c r="G335" s="19" t="s">
        <v>2964</v>
      </c>
      <c r="H335" s="19" t="s">
        <v>305</v>
      </c>
      <c r="I335" s="19" t="s">
        <v>2944</v>
      </c>
      <c r="J335" s="19" t="s">
        <v>3656</v>
      </c>
      <c r="K335" s="19" t="s">
        <v>3657</v>
      </c>
      <c r="L335" s="19" t="s">
        <v>2943</v>
      </c>
      <c r="M335" s="19"/>
    </row>
    <row r="336" spans="1:13" ht="15.75" hidden="1" customHeight="1">
      <c r="A336" s="19" t="s">
        <v>2590</v>
      </c>
      <c r="B336" s="19" t="s">
        <v>2591</v>
      </c>
      <c r="C336" s="20">
        <v>2023</v>
      </c>
      <c r="D336" s="19" t="s">
        <v>1158</v>
      </c>
      <c r="E336" s="19" t="s">
        <v>2593</v>
      </c>
      <c r="F336" s="19" t="s">
        <v>2938</v>
      </c>
      <c r="G336" s="19" t="s">
        <v>2964</v>
      </c>
      <c r="H336" s="19" t="s">
        <v>305</v>
      </c>
      <c r="I336" s="19" t="s">
        <v>2944</v>
      </c>
      <c r="J336" s="19" t="s">
        <v>3658</v>
      </c>
      <c r="K336" s="19" t="s">
        <v>3659</v>
      </c>
      <c r="L336" s="19" t="s">
        <v>2943</v>
      </c>
      <c r="M336" s="19"/>
    </row>
    <row r="337" spans="1:13" ht="15.75" hidden="1" customHeight="1">
      <c r="A337" s="19" t="s">
        <v>2597</v>
      </c>
      <c r="B337" s="19" t="s">
        <v>2598</v>
      </c>
      <c r="C337" s="20">
        <v>2026</v>
      </c>
      <c r="D337" s="19" t="s">
        <v>2600</v>
      </c>
      <c r="E337" s="19" t="s">
        <v>2601</v>
      </c>
      <c r="F337" s="19" t="s">
        <v>2938</v>
      </c>
      <c r="G337" s="19" t="s">
        <v>2964</v>
      </c>
      <c r="H337" s="19" t="s">
        <v>305</v>
      </c>
      <c r="I337" s="19" t="s">
        <v>2944</v>
      </c>
      <c r="J337" s="19" t="s">
        <v>3660</v>
      </c>
      <c r="K337" s="19" t="s">
        <v>3661</v>
      </c>
      <c r="L337" s="19" t="s">
        <v>2943</v>
      </c>
      <c r="M337" s="19"/>
    </row>
    <row r="338" spans="1:13" ht="15.75" hidden="1" customHeight="1">
      <c r="A338" s="19" t="s">
        <v>2604</v>
      </c>
      <c r="B338" s="19" t="s">
        <v>2605</v>
      </c>
      <c r="C338" s="20">
        <v>2023</v>
      </c>
      <c r="D338" s="19" t="s">
        <v>2607</v>
      </c>
      <c r="E338" s="19" t="s">
        <v>2608</v>
      </c>
      <c r="F338" s="19" t="s">
        <v>2938</v>
      </c>
      <c r="G338" s="19" t="s">
        <v>2964</v>
      </c>
      <c r="H338" s="19" t="s">
        <v>305</v>
      </c>
      <c r="I338" s="19" t="s">
        <v>2944</v>
      </c>
      <c r="J338" s="19" t="s">
        <v>3662</v>
      </c>
      <c r="K338" s="19" t="s">
        <v>3663</v>
      </c>
      <c r="L338" s="19" t="s">
        <v>2943</v>
      </c>
      <c r="M338" s="19"/>
    </row>
    <row r="339" spans="1:13" ht="15.75" hidden="1" customHeight="1">
      <c r="A339" s="19" t="s">
        <v>2612</v>
      </c>
      <c r="B339" s="19" t="s">
        <v>2613</v>
      </c>
      <c r="C339" s="20">
        <v>2014</v>
      </c>
      <c r="D339" s="19" t="s">
        <v>2615</v>
      </c>
      <c r="E339" s="19" t="s">
        <v>2616</v>
      </c>
      <c r="F339" s="19" t="s">
        <v>2938</v>
      </c>
      <c r="G339" s="19" t="s">
        <v>2964</v>
      </c>
      <c r="H339" s="19" t="s">
        <v>305</v>
      </c>
      <c r="I339" s="19" t="s">
        <v>2944</v>
      </c>
      <c r="J339" s="19" t="s">
        <v>3664</v>
      </c>
      <c r="K339" s="19" t="s">
        <v>3665</v>
      </c>
      <c r="L339" s="19" t="s">
        <v>2943</v>
      </c>
      <c r="M339" s="19"/>
    </row>
    <row r="340" spans="1:13" ht="15.75" customHeight="1">
      <c r="A340" s="19" t="s">
        <v>2620</v>
      </c>
      <c r="B340" s="19" t="s">
        <v>2621</v>
      </c>
      <c r="C340" s="20">
        <v>2026</v>
      </c>
      <c r="D340" s="19" t="s">
        <v>438</v>
      </c>
      <c r="E340" s="19" t="s">
        <v>2623</v>
      </c>
      <c r="F340" s="19" t="s">
        <v>2938</v>
      </c>
      <c r="G340" s="19" t="s">
        <v>2939</v>
      </c>
      <c r="H340" s="19"/>
      <c r="I340" s="19" t="s">
        <v>2944</v>
      </c>
      <c r="J340" s="19" t="s">
        <v>3666</v>
      </c>
      <c r="K340" s="19" t="s">
        <v>3667</v>
      </c>
      <c r="L340" s="19" t="s">
        <v>2943</v>
      </c>
      <c r="M340" s="19" t="s">
        <v>3668</v>
      </c>
    </row>
    <row r="341" spans="1:13" ht="15.75" hidden="1" customHeight="1">
      <c r="A341" s="19" t="s">
        <v>2627</v>
      </c>
      <c r="B341" s="19" t="s">
        <v>2628</v>
      </c>
      <c r="C341" s="20">
        <v>2025</v>
      </c>
      <c r="D341" s="19" t="s">
        <v>2630</v>
      </c>
      <c r="E341" s="19" t="s">
        <v>2631</v>
      </c>
      <c r="F341" s="19" t="s">
        <v>2938</v>
      </c>
      <c r="G341" s="19" t="s">
        <v>2964</v>
      </c>
      <c r="H341" s="19" t="s">
        <v>305</v>
      </c>
      <c r="I341" s="19" t="s">
        <v>2944</v>
      </c>
      <c r="J341" s="19" t="s">
        <v>3669</v>
      </c>
      <c r="K341" s="19" t="s">
        <v>3670</v>
      </c>
      <c r="L341" s="19" t="s">
        <v>2943</v>
      </c>
      <c r="M341" s="19"/>
    </row>
    <row r="342" spans="1:13" ht="15.75" hidden="1" customHeight="1">
      <c r="A342" s="19" t="s">
        <v>2635</v>
      </c>
      <c r="B342" s="19" t="s">
        <v>2636</v>
      </c>
      <c r="C342" s="20">
        <v>2019</v>
      </c>
      <c r="D342" s="19" t="s">
        <v>540</v>
      </c>
      <c r="E342" s="19" t="s">
        <v>2638</v>
      </c>
      <c r="F342" s="19" t="s">
        <v>2938</v>
      </c>
      <c r="G342" s="19" t="s">
        <v>2964</v>
      </c>
      <c r="H342" s="19" t="s">
        <v>481</v>
      </c>
      <c r="I342" s="19" t="s">
        <v>2944</v>
      </c>
      <c r="J342" s="19" t="s">
        <v>3671</v>
      </c>
      <c r="K342" s="19" t="s">
        <v>3672</v>
      </c>
      <c r="L342" s="19" t="s">
        <v>2943</v>
      </c>
      <c r="M342" s="19"/>
    </row>
    <row r="343" spans="1:13" ht="15.75" hidden="1" customHeight="1">
      <c r="A343" s="19" t="s">
        <v>2642</v>
      </c>
      <c r="B343" s="19" t="s">
        <v>2643</v>
      </c>
      <c r="C343" s="20">
        <v>2024</v>
      </c>
      <c r="D343" s="19" t="s">
        <v>2645</v>
      </c>
      <c r="E343" s="19" t="s">
        <v>2646</v>
      </c>
      <c r="F343" s="19" t="s">
        <v>2938</v>
      </c>
      <c r="G343" s="19" t="s">
        <v>2964</v>
      </c>
      <c r="H343" s="19" t="s">
        <v>305</v>
      </c>
      <c r="I343" s="19" t="s">
        <v>2944</v>
      </c>
      <c r="J343" s="19" t="s">
        <v>3673</v>
      </c>
      <c r="K343" s="19" t="s">
        <v>3674</v>
      </c>
      <c r="L343" s="19" t="s">
        <v>2943</v>
      </c>
      <c r="M343" s="19"/>
    </row>
    <row r="344" spans="1:13" ht="15.75" hidden="1" customHeight="1">
      <c r="A344" s="19" t="s">
        <v>2650</v>
      </c>
      <c r="B344" s="19" t="s">
        <v>2651</v>
      </c>
      <c r="C344" s="20">
        <v>2016</v>
      </c>
      <c r="D344" s="19" t="s">
        <v>2653</v>
      </c>
      <c r="E344" s="19" t="s">
        <v>2654</v>
      </c>
      <c r="F344" s="19" t="s">
        <v>2938</v>
      </c>
      <c r="G344" s="19" t="s">
        <v>2964</v>
      </c>
      <c r="H344" s="19" t="s">
        <v>305</v>
      </c>
      <c r="I344" s="19" t="s">
        <v>2944</v>
      </c>
      <c r="J344" s="19" t="s">
        <v>3675</v>
      </c>
      <c r="K344" s="19" t="s">
        <v>3676</v>
      </c>
      <c r="L344" s="19" t="s">
        <v>2943</v>
      </c>
      <c r="M344" s="19"/>
    </row>
    <row r="345" spans="1:13" ht="15.75" hidden="1" customHeight="1">
      <c r="A345" s="19" t="s">
        <v>2658</v>
      </c>
      <c r="B345" s="19" t="s">
        <v>2659</v>
      </c>
      <c r="C345" s="20">
        <v>2025</v>
      </c>
      <c r="D345" s="19" t="s">
        <v>438</v>
      </c>
      <c r="E345" s="19" t="s">
        <v>2661</v>
      </c>
      <c r="F345" s="19" t="s">
        <v>2938</v>
      </c>
      <c r="G345" s="19" t="s">
        <v>2964</v>
      </c>
      <c r="H345" s="19" t="s">
        <v>305</v>
      </c>
      <c r="I345" s="19" t="s">
        <v>2944</v>
      </c>
      <c r="J345" s="19" t="s">
        <v>3677</v>
      </c>
      <c r="K345" s="19" t="s">
        <v>3678</v>
      </c>
      <c r="L345" s="19" t="s">
        <v>2943</v>
      </c>
      <c r="M345" s="19"/>
    </row>
    <row r="346" spans="1:13" ht="15.75" customHeight="1">
      <c r="A346" s="19" t="s">
        <v>2665</v>
      </c>
      <c r="B346" s="19" t="s">
        <v>2666</v>
      </c>
      <c r="C346" s="20">
        <v>2023</v>
      </c>
      <c r="D346" s="19" t="s">
        <v>2668</v>
      </c>
      <c r="E346" s="19" t="s">
        <v>2669</v>
      </c>
      <c r="F346" s="19" t="s">
        <v>2938</v>
      </c>
      <c r="G346" s="19" t="s">
        <v>2939</v>
      </c>
      <c r="H346" s="19"/>
      <c r="I346" s="19" t="s">
        <v>2940</v>
      </c>
      <c r="J346" s="19" t="s">
        <v>3679</v>
      </c>
      <c r="K346" s="19" t="s">
        <v>3680</v>
      </c>
      <c r="L346" s="19" t="s">
        <v>2943</v>
      </c>
      <c r="M346" s="19" t="s">
        <v>3681</v>
      </c>
    </row>
    <row r="347" spans="1:13" ht="15.75" hidden="1" customHeight="1">
      <c r="A347" s="19" t="s">
        <v>2673</v>
      </c>
      <c r="B347" s="19" t="s">
        <v>2674</v>
      </c>
      <c r="C347" s="20">
        <v>2025</v>
      </c>
      <c r="D347" s="19" t="s">
        <v>438</v>
      </c>
      <c r="E347" s="19" t="s">
        <v>2676</v>
      </c>
      <c r="F347" s="19" t="s">
        <v>2938</v>
      </c>
      <c r="G347" s="19" t="s">
        <v>2964</v>
      </c>
      <c r="H347" s="19" t="s">
        <v>305</v>
      </c>
      <c r="I347" s="19" t="s">
        <v>2944</v>
      </c>
      <c r="J347" s="19" t="s">
        <v>3682</v>
      </c>
      <c r="K347" s="19" t="s">
        <v>3683</v>
      </c>
      <c r="L347" s="19" t="s">
        <v>2943</v>
      </c>
      <c r="M347" s="19"/>
    </row>
    <row r="348" spans="1:13" ht="15.75" hidden="1" customHeight="1">
      <c r="A348" s="19" t="s">
        <v>2680</v>
      </c>
      <c r="B348" s="19" t="s">
        <v>2681</v>
      </c>
      <c r="C348" s="20">
        <v>2025</v>
      </c>
      <c r="D348" s="19" t="s">
        <v>3339</v>
      </c>
      <c r="E348" s="19" t="s">
        <v>2683</v>
      </c>
      <c r="F348" s="19" t="s">
        <v>2938</v>
      </c>
      <c r="G348" s="19" t="s">
        <v>2964</v>
      </c>
      <c r="H348" s="19" t="s">
        <v>305</v>
      </c>
      <c r="I348" s="19" t="s">
        <v>2944</v>
      </c>
      <c r="J348" s="19" t="s">
        <v>3684</v>
      </c>
      <c r="K348" s="19" t="s">
        <v>3685</v>
      </c>
      <c r="L348" s="19" t="s">
        <v>2943</v>
      </c>
      <c r="M348" s="19"/>
    </row>
    <row r="349" spans="1:13" ht="15.75" hidden="1" customHeight="1">
      <c r="A349" s="19" t="s">
        <v>2687</v>
      </c>
      <c r="B349" s="19" t="s">
        <v>3686</v>
      </c>
      <c r="C349" s="20">
        <v>2024</v>
      </c>
      <c r="D349" s="19" t="s">
        <v>2690</v>
      </c>
      <c r="E349" s="19" t="s">
        <v>2691</v>
      </c>
      <c r="F349" s="19" t="s">
        <v>2938</v>
      </c>
      <c r="G349" s="19" t="s">
        <v>2964</v>
      </c>
      <c r="H349" s="19" t="s">
        <v>305</v>
      </c>
      <c r="I349" s="19" t="s">
        <v>2944</v>
      </c>
      <c r="J349" s="19" t="s">
        <v>3687</v>
      </c>
      <c r="K349" s="19" t="s">
        <v>3688</v>
      </c>
      <c r="L349" s="19" t="s">
        <v>2943</v>
      </c>
      <c r="M349" s="19"/>
    </row>
    <row r="350" spans="1:13" ht="15.75" hidden="1" customHeight="1">
      <c r="A350" s="19" t="s">
        <v>2695</v>
      </c>
      <c r="B350" s="19" t="s">
        <v>2696</v>
      </c>
      <c r="C350" s="20">
        <v>2026</v>
      </c>
      <c r="D350" s="19" t="s">
        <v>2698</v>
      </c>
      <c r="E350" s="19" t="s">
        <v>2699</v>
      </c>
      <c r="F350" s="19" t="s">
        <v>2938</v>
      </c>
      <c r="G350" s="19" t="s">
        <v>2964</v>
      </c>
      <c r="H350" s="19" t="s">
        <v>305</v>
      </c>
      <c r="I350" s="19" t="s">
        <v>2944</v>
      </c>
      <c r="J350" s="19" t="s">
        <v>3689</v>
      </c>
      <c r="K350" s="19" t="s">
        <v>3690</v>
      </c>
      <c r="L350" s="19" t="s">
        <v>2943</v>
      </c>
      <c r="M350" s="19"/>
    </row>
    <row r="351" spans="1:13" ht="15.75" hidden="1" customHeight="1">
      <c r="A351" s="19" t="s">
        <v>2703</v>
      </c>
      <c r="B351" s="19" t="s">
        <v>2704</v>
      </c>
      <c r="C351" s="20">
        <v>2026</v>
      </c>
      <c r="D351" s="19" t="s">
        <v>2706</v>
      </c>
      <c r="E351" s="19" t="s">
        <v>2707</v>
      </c>
      <c r="F351" s="19" t="s">
        <v>2938</v>
      </c>
      <c r="G351" s="19" t="s">
        <v>2964</v>
      </c>
      <c r="H351" s="19" t="s">
        <v>305</v>
      </c>
      <c r="I351" s="19" t="s">
        <v>2944</v>
      </c>
      <c r="J351" s="19" t="s">
        <v>3691</v>
      </c>
      <c r="K351" s="19" t="s">
        <v>3692</v>
      </c>
      <c r="L351" s="19" t="s">
        <v>2943</v>
      </c>
      <c r="M351" s="19"/>
    </row>
    <row r="352" spans="1:13" ht="15.75" hidden="1" customHeight="1">
      <c r="A352" s="19" t="s">
        <v>2710</v>
      </c>
      <c r="B352" s="19" t="s">
        <v>2711</v>
      </c>
      <c r="C352" s="20">
        <v>2008</v>
      </c>
      <c r="D352" s="19" t="s">
        <v>2713</v>
      </c>
      <c r="E352" s="19" t="s">
        <v>2714</v>
      </c>
      <c r="F352" s="19" t="s">
        <v>2938</v>
      </c>
      <c r="G352" s="19" t="s">
        <v>2964</v>
      </c>
      <c r="H352" s="19" t="s">
        <v>305</v>
      </c>
      <c r="I352" s="19" t="s">
        <v>2944</v>
      </c>
      <c r="J352" s="19" t="s">
        <v>3693</v>
      </c>
      <c r="K352" s="19" t="s">
        <v>3694</v>
      </c>
      <c r="L352" s="19" t="s">
        <v>2943</v>
      </c>
      <c r="M352" s="19"/>
    </row>
    <row r="353" spans="1:13" ht="15.75" hidden="1" customHeight="1">
      <c r="A353" s="19" t="s">
        <v>2717</v>
      </c>
      <c r="B353" s="19" t="s">
        <v>2718</v>
      </c>
      <c r="C353" s="20">
        <v>2025</v>
      </c>
      <c r="D353" s="19" t="s">
        <v>2720</v>
      </c>
      <c r="E353" s="19" t="s">
        <v>2721</v>
      </c>
      <c r="F353" s="19" t="s">
        <v>2938</v>
      </c>
      <c r="G353" s="19" t="s">
        <v>2964</v>
      </c>
      <c r="H353" s="19" t="s">
        <v>305</v>
      </c>
      <c r="I353" s="19" t="s">
        <v>2944</v>
      </c>
      <c r="J353" s="19" t="s">
        <v>3695</v>
      </c>
      <c r="K353" s="19" t="s">
        <v>3696</v>
      </c>
      <c r="L353" s="19" t="s">
        <v>2943</v>
      </c>
      <c r="M353" s="19"/>
    </row>
    <row r="354" spans="1:13" ht="15.75" hidden="1" customHeight="1">
      <c r="A354" s="19" t="s">
        <v>2724</v>
      </c>
      <c r="B354" s="19" t="s">
        <v>2725</v>
      </c>
      <c r="C354" s="20">
        <v>2025</v>
      </c>
      <c r="D354" s="19" t="s">
        <v>2005</v>
      </c>
      <c r="E354" s="19" t="s">
        <v>2727</v>
      </c>
      <c r="F354" s="19" t="s">
        <v>2938</v>
      </c>
      <c r="G354" s="19" t="s">
        <v>2964</v>
      </c>
      <c r="H354" s="19" t="s">
        <v>305</v>
      </c>
      <c r="I354" s="19" t="s">
        <v>2944</v>
      </c>
      <c r="J354" s="19" t="s">
        <v>3697</v>
      </c>
      <c r="K354" s="19" t="s">
        <v>3698</v>
      </c>
      <c r="L354" s="19" t="s">
        <v>2943</v>
      </c>
      <c r="M354" s="19"/>
    </row>
    <row r="355" spans="1:13" ht="15.75" hidden="1" customHeight="1">
      <c r="A355" s="19" t="s">
        <v>2730</v>
      </c>
      <c r="B355" s="19" t="s">
        <v>2731</v>
      </c>
      <c r="C355" s="20">
        <v>2024</v>
      </c>
      <c r="D355" s="19" t="s">
        <v>1747</v>
      </c>
      <c r="E355" s="19"/>
      <c r="F355" s="19" t="s">
        <v>2938</v>
      </c>
      <c r="G355" s="19" t="s">
        <v>2964</v>
      </c>
      <c r="H355" s="19" t="s">
        <v>305</v>
      </c>
      <c r="I355" s="19" t="s">
        <v>2944</v>
      </c>
      <c r="J355" s="19" t="s">
        <v>3699</v>
      </c>
      <c r="K355" s="19" t="s">
        <v>3700</v>
      </c>
      <c r="L355" s="19" t="s">
        <v>2943</v>
      </c>
      <c r="M355" s="19"/>
    </row>
    <row r="356" spans="1:13" ht="15.75" hidden="1" customHeight="1">
      <c r="A356" s="19" t="s">
        <v>2735</v>
      </c>
      <c r="B356" s="19" t="s">
        <v>2736</v>
      </c>
      <c r="C356" s="20">
        <v>2026</v>
      </c>
      <c r="D356" s="19" t="s">
        <v>1662</v>
      </c>
      <c r="E356" s="19" t="s">
        <v>2738</v>
      </c>
      <c r="F356" s="19" t="s">
        <v>2938</v>
      </c>
      <c r="G356" s="19" t="s">
        <v>2964</v>
      </c>
      <c r="H356" s="19" t="s">
        <v>305</v>
      </c>
      <c r="I356" s="19" t="s">
        <v>2944</v>
      </c>
      <c r="J356" s="19" t="s">
        <v>3701</v>
      </c>
      <c r="K356" s="19" t="s">
        <v>3702</v>
      </c>
      <c r="L356" s="19" t="s">
        <v>2943</v>
      </c>
    </row>
    <row r="357" spans="1:13" ht="15.75" hidden="1" customHeight="1">
      <c r="A357" s="19" t="s">
        <v>2741</v>
      </c>
      <c r="B357" s="19" t="s">
        <v>2742</v>
      </c>
      <c r="C357" s="20">
        <v>2024</v>
      </c>
      <c r="D357" s="19" t="s">
        <v>2744</v>
      </c>
      <c r="E357" s="19" t="s">
        <v>2745</v>
      </c>
      <c r="F357" s="19" t="s">
        <v>2938</v>
      </c>
      <c r="G357" s="19" t="s">
        <v>2964</v>
      </c>
      <c r="H357" s="19" t="s">
        <v>305</v>
      </c>
      <c r="I357" s="19" t="s">
        <v>2944</v>
      </c>
      <c r="J357" s="19" t="s">
        <v>3703</v>
      </c>
      <c r="K357" s="19" t="s">
        <v>3704</v>
      </c>
      <c r="L357" s="19" t="s">
        <v>2943</v>
      </c>
    </row>
    <row r="358" spans="1:13" ht="15.75" hidden="1" customHeight="1">
      <c r="A358" s="19" t="s">
        <v>2748</v>
      </c>
      <c r="B358" s="19" t="s">
        <v>2749</v>
      </c>
      <c r="C358" s="20">
        <v>2024</v>
      </c>
      <c r="D358" s="19" t="s">
        <v>2751</v>
      </c>
      <c r="E358" s="19" t="s">
        <v>2752</v>
      </c>
      <c r="F358" s="19" t="s">
        <v>2938</v>
      </c>
      <c r="G358" s="19" t="s">
        <v>2964</v>
      </c>
      <c r="H358" s="19" t="s">
        <v>3004</v>
      </c>
      <c r="I358" s="19" t="s">
        <v>2944</v>
      </c>
      <c r="J358" s="19" t="s">
        <v>3705</v>
      </c>
      <c r="K358" s="19" t="s">
        <v>3706</v>
      </c>
      <c r="L358" s="19" t="s">
        <v>2943</v>
      </c>
      <c r="M358" s="19" t="s">
        <v>3707</v>
      </c>
    </row>
    <row r="359" spans="1:13" ht="15.75" hidden="1" customHeight="1">
      <c r="A359" s="19" t="s">
        <v>2755</v>
      </c>
      <c r="B359" s="19" t="s">
        <v>2756</v>
      </c>
      <c r="C359" s="20">
        <v>2025</v>
      </c>
      <c r="D359" s="19" t="s">
        <v>2428</v>
      </c>
      <c r="E359" s="19" t="s">
        <v>2758</v>
      </c>
      <c r="F359" s="19" t="s">
        <v>2938</v>
      </c>
      <c r="G359" s="19" t="s">
        <v>2964</v>
      </c>
      <c r="H359" s="19" t="s">
        <v>305</v>
      </c>
      <c r="I359" s="19" t="s">
        <v>2944</v>
      </c>
      <c r="J359" s="19" t="s">
        <v>3708</v>
      </c>
      <c r="K359" s="19" t="s">
        <v>3709</v>
      </c>
      <c r="L359" s="19" t="s">
        <v>2943</v>
      </c>
      <c r="M359" s="19"/>
    </row>
    <row r="360" spans="1:13" ht="15.75" hidden="1" customHeight="1">
      <c r="A360" s="19" t="s">
        <v>2762</v>
      </c>
      <c r="B360" s="19" t="s">
        <v>2763</v>
      </c>
      <c r="C360" s="20">
        <v>2022</v>
      </c>
      <c r="D360" s="19" t="s">
        <v>2063</v>
      </c>
      <c r="E360" s="19" t="s">
        <v>2765</v>
      </c>
      <c r="F360" s="19" t="s">
        <v>2938</v>
      </c>
      <c r="G360" s="19" t="s">
        <v>2964</v>
      </c>
      <c r="H360" s="19" t="s">
        <v>305</v>
      </c>
      <c r="I360" s="19" t="s">
        <v>2944</v>
      </c>
      <c r="J360" s="19" t="s">
        <v>3710</v>
      </c>
      <c r="K360" s="19" t="s">
        <v>3711</v>
      </c>
      <c r="L360" s="19" t="s">
        <v>2943</v>
      </c>
      <c r="M360" s="19"/>
    </row>
    <row r="361" spans="1:13" ht="15.75" hidden="1" customHeight="1">
      <c r="A361" s="19" t="s">
        <v>2769</v>
      </c>
      <c r="B361" s="19" t="s">
        <v>2770</v>
      </c>
      <c r="C361" s="20">
        <v>2017</v>
      </c>
      <c r="D361" s="19" t="s">
        <v>2772</v>
      </c>
      <c r="E361" s="19" t="s">
        <v>2773</v>
      </c>
      <c r="F361" s="19" t="s">
        <v>2938</v>
      </c>
      <c r="G361" s="19" t="s">
        <v>2964</v>
      </c>
      <c r="H361" s="19" t="s">
        <v>481</v>
      </c>
      <c r="I361" s="19" t="s">
        <v>2944</v>
      </c>
      <c r="J361" s="19" t="s">
        <v>3712</v>
      </c>
      <c r="K361" s="19" t="s">
        <v>3713</v>
      </c>
      <c r="L361" s="19" t="s">
        <v>2943</v>
      </c>
      <c r="M361" s="19"/>
    </row>
    <row r="362" spans="1:13" ht="15.75" hidden="1" customHeight="1">
      <c r="A362" s="19" t="s">
        <v>2776</v>
      </c>
      <c r="B362" s="19" t="s">
        <v>2777</v>
      </c>
      <c r="C362" s="20">
        <v>2023</v>
      </c>
      <c r="D362" s="19" t="s">
        <v>2779</v>
      </c>
      <c r="E362" s="19" t="s">
        <v>2780</v>
      </c>
      <c r="F362" s="19" t="s">
        <v>2938</v>
      </c>
      <c r="G362" s="19" t="s">
        <v>2964</v>
      </c>
      <c r="H362" s="19" t="s">
        <v>305</v>
      </c>
      <c r="I362" s="19" t="s">
        <v>2944</v>
      </c>
      <c r="J362" s="19" t="s">
        <v>3714</v>
      </c>
      <c r="K362" s="19" t="s">
        <v>3715</v>
      </c>
      <c r="L362" s="19" t="s">
        <v>2943</v>
      </c>
      <c r="M362" s="19"/>
    </row>
    <row r="363" spans="1:13" ht="15.75" hidden="1" customHeight="1">
      <c r="A363" s="19" t="s">
        <v>2784</v>
      </c>
      <c r="B363" s="19" t="s">
        <v>2785</v>
      </c>
      <c r="C363" s="20">
        <v>2021</v>
      </c>
      <c r="D363" s="19" t="s">
        <v>277</v>
      </c>
      <c r="E363" s="19" t="s">
        <v>2787</v>
      </c>
      <c r="F363" s="19" t="s">
        <v>2938</v>
      </c>
      <c r="G363" s="19" t="s">
        <v>2964</v>
      </c>
      <c r="H363" s="19" t="s">
        <v>305</v>
      </c>
      <c r="I363" s="19" t="s">
        <v>2944</v>
      </c>
      <c r="J363" s="19" t="s">
        <v>3716</v>
      </c>
      <c r="K363" s="19" t="s">
        <v>3717</v>
      </c>
      <c r="L363" s="19" t="s">
        <v>2943</v>
      </c>
      <c r="M363" s="19"/>
    </row>
    <row r="364" spans="1:13" ht="15.75" hidden="1" customHeight="1">
      <c r="A364" s="19" t="s">
        <v>2791</v>
      </c>
      <c r="B364" s="19" t="s">
        <v>2792</v>
      </c>
      <c r="C364" s="20">
        <v>2025</v>
      </c>
      <c r="D364" s="19" t="s">
        <v>2794</v>
      </c>
      <c r="E364" s="19" t="s">
        <v>2795</v>
      </c>
      <c r="F364" s="19" t="s">
        <v>2938</v>
      </c>
      <c r="G364" s="19" t="s">
        <v>2964</v>
      </c>
      <c r="H364" s="19" t="s">
        <v>305</v>
      </c>
      <c r="I364" s="19" t="s">
        <v>2944</v>
      </c>
      <c r="J364" s="19" t="s">
        <v>3718</v>
      </c>
      <c r="K364" s="19" t="s">
        <v>3719</v>
      </c>
      <c r="L364" s="19" t="s">
        <v>2943</v>
      </c>
      <c r="M364" s="19"/>
    </row>
    <row r="365" spans="1:13" ht="15.75" hidden="1" customHeight="1">
      <c r="A365" s="19" t="s">
        <v>2798</v>
      </c>
      <c r="B365" s="19" t="s">
        <v>2799</v>
      </c>
      <c r="C365" s="20">
        <v>2026</v>
      </c>
      <c r="D365" s="19" t="s">
        <v>1762</v>
      </c>
      <c r="E365" s="19" t="s">
        <v>2801</v>
      </c>
      <c r="F365" s="19" t="s">
        <v>2938</v>
      </c>
      <c r="G365" s="19" t="s">
        <v>2964</v>
      </c>
      <c r="H365" s="19" t="s">
        <v>305</v>
      </c>
      <c r="I365" s="19" t="s">
        <v>2944</v>
      </c>
      <c r="J365" s="19" t="s">
        <v>3720</v>
      </c>
      <c r="K365" s="19" t="s">
        <v>3721</v>
      </c>
      <c r="L365" s="19" t="s">
        <v>2943</v>
      </c>
      <c r="M365" s="19"/>
    </row>
    <row r="366" spans="1:13" ht="15.75" hidden="1" customHeight="1">
      <c r="A366" s="19" t="s">
        <v>2805</v>
      </c>
      <c r="B366" s="19" t="s">
        <v>2806</v>
      </c>
      <c r="C366" s="20">
        <v>2025</v>
      </c>
      <c r="D366" s="19" t="s">
        <v>2808</v>
      </c>
      <c r="E366" s="19" t="s">
        <v>2809</v>
      </c>
      <c r="F366" s="19" t="s">
        <v>2938</v>
      </c>
      <c r="G366" s="19" t="s">
        <v>2964</v>
      </c>
      <c r="H366" s="19" t="s">
        <v>305</v>
      </c>
      <c r="I366" s="19" t="s">
        <v>2944</v>
      </c>
      <c r="J366" s="19" t="s">
        <v>3722</v>
      </c>
      <c r="K366" s="19" t="s">
        <v>3723</v>
      </c>
      <c r="L366" s="19" t="s">
        <v>2943</v>
      </c>
      <c r="M366" s="19"/>
    </row>
    <row r="367" spans="1:13" ht="15.75" hidden="1" customHeight="1">
      <c r="A367" s="19" t="s">
        <v>2812</v>
      </c>
      <c r="B367" s="19" t="s">
        <v>2813</v>
      </c>
      <c r="C367" s="20">
        <v>2019</v>
      </c>
      <c r="D367" s="19" t="s">
        <v>1770</v>
      </c>
      <c r="E367" s="19" t="s">
        <v>2815</v>
      </c>
      <c r="F367" s="19" t="s">
        <v>2938</v>
      </c>
      <c r="G367" s="19" t="s">
        <v>2964</v>
      </c>
      <c r="H367" s="19" t="s">
        <v>481</v>
      </c>
      <c r="I367" s="19" t="s">
        <v>2944</v>
      </c>
      <c r="J367" s="19" t="s">
        <v>3724</v>
      </c>
      <c r="K367" s="19" t="s">
        <v>3725</v>
      </c>
      <c r="L367" s="19" t="s">
        <v>2943</v>
      </c>
      <c r="M367" s="19"/>
    </row>
    <row r="368" spans="1:13" ht="15.75" hidden="1" customHeight="1">
      <c r="A368" s="19" t="s">
        <v>2818</v>
      </c>
      <c r="B368" s="19" t="s">
        <v>2819</v>
      </c>
      <c r="C368" s="20">
        <v>2024</v>
      </c>
      <c r="D368" s="19" t="s">
        <v>2821</v>
      </c>
      <c r="E368" s="19" t="s">
        <v>2822</v>
      </c>
      <c r="F368" s="19" t="s">
        <v>2938</v>
      </c>
      <c r="G368" s="19" t="s">
        <v>2964</v>
      </c>
      <c r="H368" s="19" t="s">
        <v>305</v>
      </c>
      <c r="I368" s="19" t="s">
        <v>2944</v>
      </c>
      <c r="J368" s="19" t="s">
        <v>3726</v>
      </c>
      <c r="K368" s="19" t="s">
        <v>3727</v>
      </c>
      <c r="L368" s="19" t="s">
        <v>2943</v>
      </c>
      <c r="M368" s="19"/>
    </row>
    <row r="369" spans="1:13" ht="15.75" hidden="1" customHeight="1">
      <c r="A369" s="19" t="s">
        <v>2826</v>
      </c>
      <c r="B369" s="19" t="s">
        <v>2827</v>
      </c>
      <c r="C369" s="20">
        <v>2022</v>
      </c>
      <c r="D369" s="19" t="s">
        <v>2829</v>
      </c>
      <c r="E369" s="19" t="s">
        <v>2830</v>
      </c>
      <c r="F369" s="19" t="s">
        <v>2938</v>
      </c>
      <c r="G369" s="19" t="s">
        <v>2964</v>
      </c>
      <c r="H369" s="19" t="s">
        <v>305</v>
      </c>
      <c r="I369" s="19" t="s">
        <v>2944</v>
      </c>
      <c r="J369" s="19" t="s">
        <v>3728</v>
      </c>
      <c r="K369" s="19" t="s">
        <v>3729</v>
      </c>
      <c r="L369" s="19" t="s">
        <v>2943</v>
      </c>
      <c r="M369" s="19"/>
    </row>
    <row r="370" spans="1:13" ht="15.75" hidden="1" customHeight="1">
      <c r="A370" s="19" t="s">
        <v>2834</v>
      </c>
      <c r="B370" s="19" t="s">
        <v>2835</v>
      </c>
      <c r="C370" s="20">
        <v>2025</v>
      </c>
      <c r="D370" s="19" t="s">
        <v>430</v>
      </c>
      <c r="E370" s="19" t="s">
        <v>2837</v>
      </c>
      <c r="F370" s="19" t="s">
        <v>2938</v>
      </c>
      <c r="G370" s="19" t="s">
        <v>2964</v>
      </c>
      <c r="H370" s="19" t="s">
        <v>305</v>
      </c>
      <c r="I370" s="19" t="s">
        <v>2944</v>
      </c>
      <c r="J370" s="19" t="s">
        <v>3730</v>
      </c>
      <c r="K370" s="19" t="s">
        <v>3731</v>
      </c>
      <c r="L370" s="19" t="s">
        <v>2943</v>
      </c>
      <c r="M370" s="19"/>
    </row>
    <row r="371" spans="1:13" ht="15.75" hidden="1" customHeight="1">
      <c r="A371" s="19" t="s">
        <v>2840</v>
      </c>
      <c r="B371" s="19" t="s">
        <v>2841</v>
      </c>
      <c r="C371" s="20">
        <v>2022</v>
      </c>
      <c r="D371" s="19" t="s">
        <v>2843</v>
      </c>
      <c r="E371" s="19" t="s">
        <v>2844</v>
      </c>
      <c r="F371" s="19" t="s">
        <v>2938</v>
      </c>
      <c r="G371" s="19" t="s">
        <v>2964</v>
      </c>
      <c r="H371" s="19" t="s">
        <v>305</v>
      </c>
      <c r="I371" s="19" t="s">
        <v>2944</v>
      </c>
      <c r="J371" s="19" t="s">
        <v>3732</v>
      </c>
      <c r="K371" s="19" t="s">
        <v>3733</v>
      </c>
      <c r="L371" s="19" t="s">
        <v>2943</v>
      </c>
      <c r="M371" s="19"/>
    </row>
    <row r="372" spans="1:13" ht="15.75" hidden="1" customHeight="1">
      <c r="A372" s="19" t="s">
        <v>2848</v>
      </c>
      <c r="B372" s="19" t="s">
        <v>2849</v>
      </c>
      <c r="C372" s="20">
        <v>2020</v>
      </c>
      <c r="D372" s="19" t="s">
        <v>182</v>
      </c>
      <c r="E372" s="19" t="s">
        <v>2851</v>
      </c>
      <c r="F372" s="19" t="s">
        <v>2938</v>
      </c>
      <c r="G372" s="19" t="s">
        <v>2964</v>
      </c>
      <c r="H372" s="19" t="s">
        <v>305</v>
      </c>
      <c r="I372" s="19" t="s">
        <v>2944</v>
      </c>
      <c r="J372" s="19" t="s">
        <v>3734</v>
      </c>
      <c r="K372" s="19" t="s">
        <v>3735</v>
      </c>
      <c r="L372" s="19" t="s">
        <v>2943</v>
      </c>
      <c r="M372" s="19"/>
    </row>
    <row r="373" spans="1:13" ht="15.75" hidden="1" customHeight="1">
      <c r="A373" s="19" t="s">
        <v>2855</v>
      </c>
      <c r="B373" s="19" t="s">
        <v>2856</v>
      </c>
      <c r="C373" s="20">
        <v>2025</v>
      </c>
      <c r="D373" s="19" t="s">
        <v>2451</v>
      </c>
      <c r="E373" s="19" t="s">
        <v>2858</v>
      </c>
      <c r="F373" s="19" t="s">
        <v>2938</v>
      </c>
      <c r="G373" s="19" t="s">
        <v>2964</v>
      </c>
      <c r="H373" s="19" t="s">
        <v>305</v>
      </c>
      <c r="I373" s="19" t="s">
        <v>2944</v>
      </c>
      <c r="J373" s="19" t="s">
        <v>3736</v>
      </c>
      <c r="K373" s="19" t="s">
        <v>3737</v>
      </c>
      <c r="L373" s="19" t="s">
        <v>2943</v>
      </c>
      <c r="M373" s="19"/>
    </row>
    <row r="374" spans="1:13" ht="15.75" hidden="1" customHeight="1">
      <c r="A374" s="19" t="s">
        <v>2860</v>
      </c>
      <c r="B374" s="19" t="s">
        <v>2861</v>
      </c>
      <c r="C374" s="20">
        <v>2024</v>
      </c>
      <c r="D374" s="19" t="s">
        <v>2863</v>
      </c>
      <c r="E374" s="19"/>
      <c r="F374" s="19" t="s">
        <v>2938</v>
      </c>
      <c r="G374" s="19" t="s">
        <v>2964</v>
      </c>
      <c r="H374" s="19" t="s">
        <v>305</v>
      </c>
      <c r="I374" s="19" t="s">
        <v>2944</v>
      </c>
      <c r="J374" s="19" t="s">
        <v>3738</v>
      </c>
      <c r="K374" s="19" t="s">
        <v>3579</v>
      </c>
      <c r="L374" s="19" t="s">
        <v>2943</v>
      </c>
      <c r="M374" s="19"/>
    </row>
    <row r="375" spans="1:13" ht="15.75" hidden="1" customHeight="1">
      <c r="A375" s="19" t="s">
        <v>2866</v>
      </c>
      <c r="B375" s="19" t="s">
        <v>2867</v>
      </c>
      <c r="C375" s="20">
        <v>2025</v>
      </c>
      <c r="D375" s="19" t="s">
        <v>578</v>
      </c>
      <c r="E375" s="19" t="s">
        <v>2869</v>
      </c>
      <c r="F375" s="19" t="s">
        <v>2938</v>
      </c>
      <c r="G375" s="19" t="s">
        <v>2964</v>
      </c>
      <c r="H375" s="19" t="s">
        <v>305</v>
      </c>
      <c r="I375" s="19" t="s">
        <v>2944</v>
      </c>
      <c r="J375" s="19" t="s">
        <v>3739</v>
      </c>
      <c r="K375" s="19" t="s">
        <v>3740</v>
      </c>
      <c r="L375" s="19" t="s">
        <v>2943</v>
      </c>
      <c r="M375" s="19"/>
    </row>
    <row r="376" spans="1:13" ht="15.75" hidden="1" customHeight="1">
      <c r="A376" s="19" t="s">
        <v>2873</v>
      </c>
      <c r="B376" s="19" t="s">
        <v>2874</v>
      </c>
      <c r="C376" s="20">
        <v>2025</v>
      </c>
      <c r="D376" s="19" t="s">
        <v>1459</v>
      </c>
      <c r="E376" s="19" t="s">
        <v>2876</v>
      </c>
      <c r="F376" s="19" t="s">
        <v>2938</v>
      </c>
      <c r="G376" s="19" t="s">
        <v>2964</v>
      </c>
      <c r="H376" s="19" t="s">
        <v>305</v>
      </c>
      <c r="I376" s="19" t="s">
        <v>2944</v>
      </c>
      <c r="J376" s="19" t="s">
        <v>3741</v>
      </c>
      <c r="K376" s="19" t="s">
        <v>3742</v>
      </c>
      <c r="L376" s="19" t="s">
        <v>2943</v>
      </c>
      <c r="M376" s="19"/>
    </row>
    <row r="377" spans="1:13" ht="15.75" hidden="1" customHeight="1">
      <c r="A377" s="19" t="s">
        <v>2880</v>
      </c>
      <c r="B377" s="19" t="s">
        <v>2881</v>
      </c>
      <c r="C377" s="20">
        <v>2023</v>
      </c>
      <c r="D377" s="19" t="s">
        <v>2883</v>
      </c>
      <c r="E377" s="19" t="s">
        <v>2884</v>
      </c>
      <c r="F377" s="19" t="s">
        <v>2938</v>
      </c>
      <c r="G377" s="19" t="s">
        <v>2964</v>
      </c>
      <c r="H377" s="19" t="s">
        <v>305</v>
      </c>
      <c r="I377" s="19" t="s">
        <v>2944</v>
      </c>
      <c r="J377" s="19" t="s">
        <v>3743</v>
      </c>
      <c r="K377" s="19" t="s">
        <v>3744</v>
      </c>
      <c r="L377" s="19" t="s">
        <v>2943</v>
      </c>
      <c r="M377" s="19"/>
    </row>
    <row r="378" spans="1:13" ht="15.75" hidden="1" customHeight="1">
      <c r="A378" s="19" t="s">
        <v>2887</v>
      </c>
      <c r="B378" s="19" t="s">
        <v>2888</v>
      </c>
      <c r="C378" s="20">
        <v>2026</v>
      </c>
      <c r="D378" s="19" t="s">
        <v>2890</v>
      </c>
      <c r="E378" s="19" t="s">
        <v>2891</v>
      </c>
      <c r="F378" s="19" t="s">
        <v>2938</v>
      </c>
      <c r="G378" s="19" t="s">
        <v>2964</v>
      </c>
      <c r="H378" s="19" t="s">
        <v>305</v>
      </c>
      <c r="I378" s="19" t="s">
        <v>2944</v>
      </c>
      <c r="J378" s="19" t="s">
        <v>3745</v>
      </c>
      <c r="K378" s="19" t="s">
        <v>3746</v>
      </c>
      <c r="L378" s="19" t="s">
        <v>2943</v>
      </c>
      <c r="M378" s="19"/>
    </row>
    <row r="379" spans="1:13" ht="15.75" hidden="1" customHeight="1">
      <c r="A379" s="19" t="s">
        <v>2895</v>
      </c>
      <c r="B379" s="19" t="s">
        <v>2896</v>
      </c>
      <c r="C379" s="20">
        <v>2022</v>
      </c>
      <c r="D379" s="19" t="s">
        <v>2898</v>
      </c>
      <c r="E379" s="19" t="s">
        <v>2899</v>
      </c>
      <c r="F379" s="19" t="s">
        <v>2938</v>
      </c>
      <c r="G379" s="19" t="s">
        <v>2964</v>
      </c>
      <c r="H379" s="19" t="s">
        <v>305</v>
      </c>
      <c r="I379" s="19" t="s">
        <v>2944</v>
      </c>
      <c r="J379" s="19" t="s">
        <v>3747</v>
      </c>
      <c r="K379" s="19" t="s">
        <v>3748</v>
      </c>
      <c r="L379" s="19" t="s">
        <v>2943</v>
      </c>
      <c r="M379" s="19"/>
    </row>
    <row r="380" spans="1:13" ht="15.75" hidden="1" customHeight="1">
      <c r="A380" s="19" t="s">
        <v>2903</v>
      </c>
      <c r="B380" s="19" t="s">
        <v>2904</v>
      </c>
      <c r="C380" s="20">
        <v>2025</v>
      </c>
      <c r="D380" s="19" t="s">
        <v>2906</v>
      </c>
      <c r="E380" s="19" t="s">
        <v>2907</v>
      </c>
      <c r="F380" s="19" t="s">
        <v>2938</v>
      </c>
      <c r="G380" s="19" t="s">
        <v>2964</v>
      </c>
      <c r="H380" s="19" t="s">
        <v>305</v>
      </c>
      <c r="I380" s="19" t="s">
        <v>2944</v>
      </c>
      <c r="J380" s="19" t="s">
        <v>3749</v>
      </c>
      <c r="K380" s="19" t="s">
        <v>3750</v>
      </c>
      <c r="L380" s="19" t="s">
        <v>2943</v>
      </c>
      <c r="M380" s="19"/>
    </row>
    <row r="381" spans="1:13" ht="15.75" hidden="1" customHeight="1">
      <c r="A381" s="19" t="s">
        <v>2911</v>
      </c>
      <c r="B381" s="19" t="s">
        <v>2912</v>
      </c>
      <c r="C381" s="20">
        <v>2024</v>
      </c>
      <c r="D381" s="19" t="s">
        <v>438</v>
      </c>
      <c r="E381" s="19" t="s">
        <v>2914</v>
      </c>
      <c r="F381" s="19" t="s">
        <v>2938</v>
      </c>
      <c r="G381" s="19" t="s">
        <v>2964</v>
      </c>
      <c r="H381" s="19" t="s">
        <v>305</v>
      </c>
      <c r="I381" s="19" t="s">
        <v>2944</v>
      </c>
      <c r="J381" s="19" t="s">
        <v>3751</v>
      </c>
      <c r="K381" s="19" t="s">
        <v>3752</v>
      </c>
      <c r="L381" s="19" t="s">
        <v>2943</v>
      </c>
      <c r="M381" s="19"/>
    </row>
    <row r="382" spans="1:13" ht="15.75" hidden="1" customHeight="1">
      <c r="A382" s="19" t="s">
        <v>2918</v>
      </c>
      <c r="B382" s="19" t="s">
        <v>2919</v>
      </c>
      <c r="C382" s="20">
        <v>2023</v>
      </c>
      <c r="D382" s="19" t="s">
        <v>1239</v>
      </c>
      <c r="E382" s="19" t="s">
        <v>2921</v>
      </c>
      <c r="F382" s="19" t="s">
        <v>2938</v>
      </c>
      <c r="G382" s="19" t="s">
        <v>2964</v>
      </c>
      <c r="H382" s="19" t="s">
        <v>305</v>
      </c>
      <c r="I382" s="19" t="s">
        <v>2944</v>
      </c>
      <c r="J382" s="19" t="s">
        <v>3753</v>
      </c>
      <c r="K382" s="19" t="s">
        <v>3754</v>
      </c>
      <c r="L382" s="19" t="s">
        <v>2943</v>
      </c>
      <c r="M382" s="19"/>
    </row>
    <row r="383" spans="1:13" ht="15.75" hidden="1" customHeight="1">
      <c r="A383" s="19" t="s">
        <v>2925</v>
      </c>
      <c r="B383" s="19" t="s">
        <v>2926</v>
      </c>
      <c r="C383" s="20">
        <v>2023</v>
      </c>
      <c r="D383" s="19" t="s">
        <v>1314</v>
      </c>
      <c r="E383" s="19" t="s">
        <v>2928</v>
      </c>
      <c r="F383" s="19" t="s">
        <v>2938</v>
      </c>
      <c r="G383" s="19" t="s">
        <v>2964</v>
      </c>
      <c r="H383" s="19" t="s">
        <v>305</v>
      </c>
      <c r="I383" s="19" t="s">
        <v>2944</v>
      </c>
      <c r="J383" s="19" t="s">
        <v>3755</v>
      </c>
      <c r="K383" s="19" t="s">
        <v>3756</v>
      </c>
      <c r="L383" s="19" t="s">
        <v>2943</v>
      </c>
    </row>
    <row r="384" spans="1:13" ht="15.75" hidden="1" customHeight="1">
      <c r="E384" s="5"/>
    </row>
    <row r="385" spans="5:5" ht="15.75" hidden="1" customHeight="1">
      <c r="E385" s="5"/>
    </row>
    <row r="386" spans="5:5" ht="15.75" hidden="1" customHeight="1">
      <c r="E386" s="5"/>
    </row>
    <row r="387" spans="5:5" ht="15.75" hidden="1" customHeight="1">
      <c r="E387" s="5"/>
    </row>
    <row r="388" spans="5:5" ht="15.75" hidden="1" customHeight="1">
      <c r="E388" s="5"/>
    </row>
    <row r="389" spans="5:5" ht="15.75" hidden="1" customHeight="1">
      <c r="E389" s="5"/>
    </row>
    <row r="390" spans="5:5" ht="15.75" hidden="1" customHeight="1">
      <c r="E390" s="5"/>
    </row>
    <row r="391" spans="5:5" ht="15.75" hidden="1" customHeight="1">
      <c r="E391" s="5"/>
    </row>
    <row r="392" spans="5:5" ht="15.75" hidden="1" customHeight="1">
      <c r="E392" s="5"/>
    </row>
    <row r="393" spans="5:5" ht="15.75" hidden="1" customHeight="1">
      <c r="E393" s="5"/>
    </row>
    <row r="394" spans="5:5" ht="15.75" hidden="1" customHeight="1">
      <c r="E394" s="5"/>
    </row>
    <row r="395" spans="5:5" ht="15.75" hidden="1" customHeight="1">
      <c r="E395" s="5"/>
    </row>
    <row r="396" spans="5:5" ht="15.75" hidden="1" customHeight="1">
      <c r="E396" s="5"/>
    </row>
    <row r="397" spans="5:5" ht="15.75" hidden="1" customHeight="1">
      <c r="E397" s="5"/>
    </row>
    <row r="398" spans="5:5" ht="15.75" hidden="1" customHeight="1">
      <c r="E398" s="5"/>
    </row>
    <row r="399" spans="5:5" ht="15.75" hidden="1" customHeight="1">
      <c r="E399" s="5"/>
    </row>
    <row r="400" spans="5:5" ht="15.75" hidden="1" customHeight="1">
      <c r="E400" s="5"/>
    </row>
    <row r="401" spans="5:5" ht="15.75" hidden="1" customHeight="1">
      <c r="E401" s="5"/>
    </row>
    <row r="402" spans="5:5" ht="15.75" hidden="1" customHeight="1">
      <c r="E402" s="5"/>
    </row>
    <row r="403" spans="5:5" ht="15.75" hidden="1" customHeight="1">
      <c r="E403" s="5"/>
    </row>
    <row r="404" spans="5:5" ht="15.75" hidden="1" customHeight="1">
      <c r="E404" s="5"/>
    </row>
    <row r="405" spans="5:5" ht="15.75" hidden="1" customHeight="1">
      <c r="E405" s="5"/>
    </row>
    <row r="406" spans="5:5" ht="15.75" hidden="1" customHeight="1">
      <c r="E406" s="5"/>
    </row>
    <row r="407" spans="5:5" ht="15.75" hidden="1" customHeight="1">
      <c r="E407" s="5"/>
    </row>
    <row r="408" spans="5:5" ht="15.75" hidden="1" customHeight="1">
      <c r="E408" s="5"/>
    </row>
    <row r="409" spans="5:5" ht="15.75" hidden="1" customHeight="1">
      <c r="E409" s="5"/>
    </row>
    <row r="410" spans="5:5" ht="15.75" hidden="1" customHeight="1">
      <c r="E410" s="5"/>
    </row>
    <row r="411" spans="5:5" ht="15.75" hidden="1" customHeight="1">
      <c r="E411" s="5"/>
    </row>
    <row r="412" spans="5:5" ht="15.75" hidden="1" customHeight="1">
      <c r="E412" s="5"/>
    </row>
    <row r="413" spans="5:5" ht="15.75" hidden="1" customHeight="1">
      <c r="E413" s="5"/>
    </row>
    <row r="414" spans="5:5" ht="15.75" hidden="1" customHeight="1">
      <c r="E414" s="5"/>
    </row>
    <row r="415" spans="5:5" ht="15.75" hidden="1" customHeight="1">
      <c r="E415" s="5"/>
    </row>
    <row r="416" spans="5:5" ht="15.75" hidden="1" customHeight="1">
      <c r="E416" s="5"/>
    </row>
    <row r="417" spans="5:5" ht="15.75" hidden="1" customHeight="1">
      <c r="E417" s="5"/>
    </row>
    <row r="418" spans="5:5" ht="15.75" hidden="1" customHeight="1">
      <c r="E418" s="5"/>
    </row>
    <row r="419" spans="5:5" ht="15.75" hidden="1" customHeight="1">
      <c r="E419" s="5"/>
    </row>
    <row r="420" spans="5:5" ht="15.75" hidden="1" customHeight="1">
      <c r="E420" s="5"/>
    </row>
    <row r="421" spans="5:5" ht="15.75" hidden="1" customHeight="1">
      <c r="E421" s="5"/>
    </row>
    <row r="422" spans="5:5" ht="15.75" hidden="1" customHeight="1">
      <c r="E422" s="5"/>
    </row>
    <row r="423" spans="5:5" ht="15.75" hidden="1" customHeight="1">
      <c r="E423" s="5"/>
    </row>
    <row r="424" spans="5:5" ht="15.75" hidden="1" customHeight="1">
      <c r="E424" s="5"/>
    </row>
    <row r="425" spans="5:5" ht="15.75" hidden="1" customHeight="1">
      <c r="E425" s="5"/>
    </row>
    <row r="426" spans="5:5" ht="15.75" hidden="1" customHeight="1">
      <c r="E426" s="5"/>
    </row>
    <row r="427" spans="5:5" ht="15.75" hidden="1" customHeight="1">
      <c r="E427" s="5"/>
    </row>
    <row r="428" spans="5:5" ht="15.75" hidden="1" customHeight="1">
      <c r="E428" s="5"/>
    </row>
    <row r="429" spans="5:5" ht="15.75" hidden="1" customHeight="1">
      <c r="E429" s="5"/>
    </row>
    <row r="430" spans="5:5" ht="15.75" hidden="1" customHeight="1">
      <c r="E430" s="5"/>
    </row>
    <row r="431" spans="5:5" ht="15.75" hidden="1" customHeight="1">
      <c r="E431" s="5"/>
    </row>
    <row r="432" spans="5:5" ht="15.75" hidden="1" customHeight="1">
      <c r="E432" s="5"/>
    </row>
    <row r="433" spans="5:5" ht="15.75" hidden="1" customHeight="1">
      <c r="E433" s="5"/>
    </row>
    <row r="434" spans="5:5" ht="15.75" hidden="1" customHeight="1">
      <c r="E434" s="5"/>
    </row>
    <row r="435" spans="5:5" ht="15.75" hidden="1" customHeight="1">
      <c r="E435" s="5"/>
    </row>
    <row r="436" spans="5:5" ht="15.75" hidden="1" customHeight="1">
      <c r="E436" s="5"/>
    </row>
    <row r="437" spans="5:5" ht="15.75" hidden="1" customHeight="1">
      <c r="E437" s="5"/>
    </row>
    <row r="438" spans="5:5" ht="15.75" hidden="1" customHeight="1">
      <c r="E438" s="5"/>
    </row>
    <row r="439" spans="5:5" ht="15.75" hidden="1" customHeight="1">
      <c r="E439" s="5"/>
    </row>
    <row r="440" spans="5:5" ht="15.75" hidden="1" customHeight="1">
      <c r="E440" s="5"/>
    </row>
    <row r="441" spans="5:5" ht="15.75" hidden="1" customHeight="1">
      <c r="E441" s="5"/>
    </row>
    <row r="442" spans="5:5" ht="15.75" hidden="1" customHeight="1">
      <c r="E442" s="5"/>
    </row>
    <row r="443" spans="5:5" ht="15.75" hidden="1" customHeight="1">
      <c r="E443" s="5"/>
    </row>
    <row r="444" spans="5:5" ht="15.75" hidden="1" customHeight="1">
      <c r="E444" s="5"/>
    </row>
    <row r="445" spans="5:5" ht="15.75" hidden="1" customHeight="1">
      <c r="E445" s="5"/>
    </row>
    <row r="446" spans="5:5" ht="15.75" hidden="1" customHeight="1">
      <c r="E446" s="5"/>
    </row>
    <row r="447" spans="5:5" ht="15.75" hidden="1" customHeight="1">
      <c r="E447" s="5"/>
    </row>
    <row r="448" spans="5:5" ht="15.75" hidden="1" customHeight="1">
      <c r="E448" s="5"/>
    </row>
    <row r="449" spans="5:5" ht="15.75" hidden="1" customHeight="1">
      <c r="E449" s="5"/>
    </row>
    <row r="450" spans="5:5" ht="15.75" hidden="1" customHeight="1">
      <c r="E450" s="5"/>
    </row>
    <row r="451" spans="5:5" ht="15.75" hidden="1" customHeight="1">
      <c r="E451" s="5"/>
    </row>
    <row r="452" spans="5:5" ht="15.75" hidden="1" customHeight="1">
      <c r="E452" s="5"/>
    </row>
    <row r="453" spans="5:5" ht="15.75" hidden="1" customHeight="1">
      <c r="E453" s="5"/>
    </row>
    <row r="454" spans="5:5" ht="15.75" hidden="1" customHeight="1">
      <c r="E454" s="5"/>
    </row>
    <row r="455" spans="5:5" ht="15.75" hidden="1" customHeight="1">
      <c r="E455" s="5"/>
    </row>
    <row r="456" spans="5:5" ht="15.75" hidden="1" customHeight="1">
      <c r="E456" s="5"/>
    </row>
    <row r="457" spans="5:5" ht="15.75" hidden="1" customHeight="1">
      <c r="E457" s="5"/>
    </row>
    <row r="458" spans="5:5" ht="15.75" hidden="1" customHeight="1">
      <c r="E458" s="5"/>
    </row>
    <row r="459" spans="5:5" ht="15.75" hidden="1" customHeight="1">
      <c r="E459" s="5"/>
    </row>
    <row r="460" spans="5:5" ht="15.75" hidden="1" customHeight="1">
      <c r="E460" s="5"/>
    </row>
    <row r="461" spans="5:5" ht="15.75" hidden="1" customHeight="1">
      <c r="E461" s="5"/>
    </row>
    <row r="462" spans="5:5" ht="15.75" hidden="1" customHeight="1">
      <c r="E462" s="5"/>
    </row>
    <row r="463" spans="5:5" ht="15.75" hidden="1" customHeight="1">
      <c r="E463" s="5"/>
    </row>
    <row r="464" spans="5:5" ht="15.75" hidden="1" customHeight="1">
      <c r="E464" s="5"/>
    </row>
    <row r="465" spans="5:5" ht="15.75" hidden="1" customHeight="1">
      <c r="E465" s="5"/>
    </row>
    <row r="466" spans="5:5" ht="15.75" hidden="1" customHeight="1">
      <c r="E466" s="5"/>
    </row>
    <row r="467" spans="5:5" ht="15.75" hidden="1" customHeight="1">
      <c r="E467" s="5"/>
    </row>
    <row r="468" spans="5:5" ht="15.75" hidden="1" customHeight="1">
      <c r="E468" s="5"/>
    </row>
    <row r="469" spans="5:5" ht="15.75" hidden="1" customHeight="1">
      <c r="E469" s="5"/>
    </row>
    <row r="470" spans="5:5" ht="15.75" hidden="1" customHeight="1">
      <c r="E470" s="5"/>
    </row>
    <row r="471" spans="5:5" ht="15.75" hidden="1" customHeight="1">
      <c r="E471" s="5"/>
    </row>
    <row r="472" spans="5:5" ht="15.75" hidden="1" customHeight="1">
      <c r="E472" s="5"/>
    </row>
    <row r="473" spans="5:5" ht="15.75" hidden="1" customHeight="1">
      <c r="E473" s="5"/>
    </row>
    <row r="474" spans="5:5" ht="15.75" hidden="1" customHeight="1">
      <c r="E474" s="5"/>
    </row>
    <row r="475" spans="5:5" ht="15.75" hidden="1" customHeight="1">
      <c r="E475" s="5"/>
    </row>
    <row r="476" spans="5:5" ht="15.75" hidden="1" customHeight="1">
      <c r="E476" s="5"/>
    </row>
    <row r="477" spans="5:5" ht="15.75" hidden="1" customHeight="1">
      <c r="E477" s="5"/>
    </row>
    <row r="478" spans="5:5" ht="15.75" hidden="1" customHeight="1">
      <c r="E478" s="5"/>
    </row>
    <row r="479" spans="5:5" ht="15.75" hidden="1" customHeight="1">
      <c r="E479" s="5"/>
    </row>
    <row r="480" spans="5:5" ht="15.75" hidden="1" customHeight="1">
      <c r="E480" s="5"/>
    </row>
    <row r="481" spans="5:5" ht="15.75" hidden="1" customHeight="1">
      <c r="E481" s="5"/>
    </row>
    <row r="482" spans="5:5" ht="15.75" hidden="1" customHeight="1">
      <c r="E482" s="5"/>
    </row>
    <row r="483" spans="5:5" ht="15.75" hidden="1" customHeight="1">
      <c r="E483" s="5"/>
    </row>
    <row r="484" spans="5:5" ht="15.75" hidden="1" customHeight="1">
      <c r="E484" s="5"/>
    </row>
    <row r="485" spans="5:5" ht="15.75" hidden="1" customHeight="1">
      <c r="E485" s="5"/>
    </row>
    <row r="486" spans="5:5" ht="15.75" hidden="1" customHeight="1">
      <c r="E486" s="5"/>
    </row>
    <row r="487" spans="5:5" ht="15.75" hidden="1" customHeight="1">
      <c r="E487" s="5"/>
    </row>
    <row r="488" spans="5:5" ht="15.75" hidden="1" customHeight="1">
      <c r="E488" s="5"/>
    </row>
    <row r="489" spans="5:5" ht="15.75" hidden="1" customHeight="1">
      <c r="E489" s="5"/>
    </row>
    <row r="490" spans="5:5" ht="15.75" hidden="1" customHeight="1">
      <c r="E490" s="5"/>
    </row>
    <row r="491" spans="5:5" ht="15.75" hidden="1" customHeight="1">
      <c r="E491" s="5"/>
    </row>
    <row r="492" spans="5:5" ht="15.75" hidden="1" customHeight="1">
      <c r="E492" s="5"/>
    </row>
    <row r="493" spans="5:5" ht="15.75" hidden="1" customHeight="1">
      <c r="E493" s="5"/>
    </row>
    <row r="494" spans="5:5" ht="15.75" hidden="1" customHeight="1">
      <c r="E494" s="5"/>
    </row>
    <row r="495" spans="5:5" ht="15.75" hidden="1" customHeight="1">
      <c r="E495" s="5"/>
    </row>
    <row r="496" spans="5:5" ht="15.75" hidden="1" customHeight="1">
      <c r="E496" s="5"/>
    </row>
    <row r="497" spans="5:5" ht="15.75" hidden="1" customHeight="1">
      <c r="E497" s="5"/>
    </row>
    <row r="498" spans="5:5" ht="15.75" hidden="1" customHeight="1">
      <c r="E498" s="5"/>
    </row>
    <row r="499" spans="5:5" ht="15.75" hidden="1" customHeight="1">
      <c r="E499" s="5"/>
    </row>
    <row r="500" spans="5:5" ht="15.75" hidden="1" customHeight="1">
      <c r="E500" s="5"/>
    </row>
    <row r="501" spans="5:5" ht="15.75" hidden="1" customHeight="1">
      <c r="E501" s="5"/>
    </row>
    <row r="502" spans="5:5" ht="15.75" hidden="1" customHeight="1">
      <c r="E502" s="5"/>
    </row>
    <row r="503" spans="5:5" ht="15.75" hidden="1" customHeight="1">
      <c r="E503" s="5"/>
    </row>
    <row r="504" spans="5:5" ht="15.75" hidden="1" customHeight="1">
      <c r="E504" s="5"/>
    </row>
    <row r="505" spans="5:5" ht="15.75" hidden="1" customHeight="1">
      <c r="E505" s="5"/>
    </row>
    <row r="506" spans="5:5" ht="15.75" hidden="1" customHeight="1">
      <c r="E506" s="5"/>
    </row>
    <row r="507" spans="5:5" ht="15.75" hidden="1" customHeight="1">
      <c r="E507" s="5"/>
    </row>
    <row r="508" spans="5:5" ht="15.75" hidden="1" customHeight="1">
      <c r="E508" s="5"/>
    </row>
    <row r="509" spans="5:5" ht="15.75" hidden="1" customHeight="1">
      <c r="E509" s="5"/>
    </row>
    <row r="510" spans="5:5" ht="15.75" hidden="1" customHeight="1">
      <c r="E510" s="5"/>
    </row>
    <row r="511" spans="5:5" ht="15.75" hidden="1" customHeight="1">
      <c r="E511" s="5"/>
    </row>
    <row r="512" spans="5:5" ht="15.75" hidden="1" customHeight="1">
      <c r="E512" s="5"/>
    </row>
    <row r="513" spans="5:5" ht="15.75" hidden="1" customHeight="1">
      <c r="E513" s="5"/>
    </row>
    <row r="514" spans="5:5" ht="15.75" hidden="1" customHeight="1">
      <c r="E514" s="5"/>
    </row>
    <row r="515" spans="5:5" ht="15.75" hidden="1" customHeight="1">
      <c r="E515" s="5"/>
    </row>
    <row r="516" spans="5:5" ht="15.75" hidden="1" customHeight="1">
      <c r="E516" s="5"/>
    </row>
    <row r="517" spans="5:5" ht="15.75" hidden="1" customHeight="1">
      <c r="E517" s="5"/>
    </row>
    <row r="518" spans="5:5" ht="15.75" hidden="1" customHeight="1">
      <c r="E518" s="5"/>
    </row>
    <row r="519" spans="5:5" ht="15.75" hidden="1" customHeight="1">
      <c r="E519" s="5"/>
    </row>
    <row r="520" spans="5:5" ht="15.75" hidden="1" customHeight="1">
      <c r="E520" s="5"/>
    </row>
    <row r="521" spans="5:5" ht="15.75" hidden="1" customHeight="1">
      <c r="E521" s="5"/>
    </row>
    <row r="522" spans="5:5" ht="15.75" hidden="1" customHeight="1">
      <c r="E522" s="5"/>
    </row>
    <row r="523" spans="5:5" ht="15.75" hidden="1" customHeight="1">
      <c r="E523" s="5"/>
    </row>
    <row r="524" spans="5:5" ht="15.75" hidden="1" customHeight="1">
      <c r="E524" s="5"/>
    </row>
    <row r="525" spans="5:5" ht="15.75" hidden="1" customHeight="1">
      <c r="E525" s="5"/>
    </row>
    <row r="526" spans="5:5" ht="15.75" hidden="1" customHeight="1">
      <c r="E526" s="5"/>
    </row>
    <row r="527" spans="5:5" ht="15.75" hidden="1" customHeight="1">
      <c r="E527" s="5"/>
    </row>
    <row r="528" spans="5:5" ht="15.75" hidden="1" customHeight="1">
      <c r="E528" s="5"/>
    </row>
    <row r="529" spans="5:5" ht="15.75" hidden="1" customHeight="1">
      <c r="E529" s="5"/>
    </row>
    <row r="530" spans="5:5" ht="15.75" hidden="1" customHeight="1">
      <c r="E530" s="5"/>
    </row>
    <row r="531" spans="5:5" ht="15.75" hidden="1" customHeight="1">
      <c r="E531" s="5"/>
    </row>
    <row r="532" spans="5:5" ht="15.75" hidden="1" customHeight="1">
      <c r="E532" s="5"/>
    </row>
    <row r="533" spans="5:5" ht="15.75" hidden="1" customHeight="1">
      <c r="E533" s="5"/>
    </row>
    <row r="534" spans="5:5" ht="15.75" hidden="1" customHeight="1">
      <c r="E534" s="5"/>
    </row>
    <row r="535" spans="5:5" ht="15.75" hidden="1" customHeight="1">
      <c r="E535" s="5"/>
    </row>
    <row r="536" spans="5:5" ht="15.75" hidden="1" customHeight="1">
      <c r="E536" s="5"/>
    </row>
    <row r="537" spans="5:5" ht="15.75" hidden="1" customHeight="1">
      <c r="E537" s="5"/>
    </row>
    <row r="538" spans="5:5" ht="15.75" hidden="1" customHeight="1">
      <c r="E538" s="5"/>
    </row>
    <row r="539" spans="5:5" ht="15.75" hidden="1" customHeight="1">
      <c r="E539" s="5"/>
    </row>
    <row r="540" spans="5:5" ht="15.75" hidden="1" customHeight="1">
      <c r="E540" s="5"/>
    </row>
    <row r="541" spans="5:5" ht="15.75" hidden="1" customHeight="1">
      <c r="E541" s="5"/>
    </row>
    <row r="542" spans="5:5" ht="15.75" hidden="1" customHeight="1">
      <c r="E542" s="5"/>
    </row>
    <row r="543" spans="5:5" ht="15.75" hidden="1" customHeight="1">
      <c r="E543" s="5"/>
    </row>
    <row r="544" spans="5:5" ht="15.75" hidden="1" customHeight="1">
      <c r="E544" s="5"/>
    </row>
    <row r="545" spans="5:5" ht="15.75" hidden="1" customHeight="1">
      <c r="E545" s="5"/>
    </row>
    <row r="546" spans="5:5" ht="15.75" hidden="1" customHeight="1">
      <c r="E546" s="5"/>
    </row>
    <row r="547" spans="5:5" ht="15.75" hidden="1" customHeight="1">
      <c r="E547" s="5"/>
    </row>
    <row r="548" spans="5:5" ht="15.75" hidden="1" customHeight="1">
      <c r="E548" s="5"/>
    </row>
    <row r="549" spans="5:5" ht="15.75" hidden="1" customHeight="1">
      <c r="E549" s="5"/>
    </row>
    <row r="550" spans="5:5" ht="15.75" hidden="1" customHeight="1">
      <c r="E550" s="5"/>
    </row>
    <row r="551" spans="5:5" ht="15.75" hidden="1" customHeight="1">
      <c r="E551" s="5"/>
    </row>
    <row r="552" spans="5:5" ht="15.75" hidden="1" customHeight="1">
      <c r="E552" s="5"/>
    </row>
    <row r="553" spans="5:5" ht="15.75" hidden="1" customHeight="1">
      <c r="E553" s="5"/>
    </row>
    <row r="554" spans="5:5" ht="15.75" hidden="1" customHeight="1">
      <c r="E554" s="5"/>
    </row>
    <row r="555" spans="5:5" ht="15.75" hidden="1" customHeight="1">
      <c r="E555" s="5"/>
    </row>
    <row r="556" spans="5:5" ht="15.75" hidden="1" customHeight="1">
      <c r="E556" s="5"/>
    </row>
    <row r="557" spans="5:5" ht="15.75" hidden="1" customHeight="1">
      <c r="E557" s="5"/>
    </row>
    <row r="558" spans="5:5" ht="15.75" hidden="1" customHeight="1">
      <c r="E558" s="5"/>
    </row>
    <row r="559" spans="5:5" ht="15.75" hidden="1" customHeight="1">
      <c r="E559" s="5"/>
    </row>
    <row r="560" spans="5:5" ht="15.75" hidden="1" customHeight="1">
      <c r="E560" s="5"/>
    </row>
    <row r="561" spans="5:5" ht="15.75" hidden="1" customHeight="1">
      <c r="E561" s="5"/>
    </row>
    <row r="562" spans="5:5" ht="15.75" hidden="1" customHeight="1">
      <c r="E562" s="5"/>
    </row>
    <row r="563" spans="5:5" ht="15.75" hidden="1" customHeight="1">
      <c r="E563" s="5"/>
    </row>
    <row r="564" spans="5:5" ht="15.75" hidden="1" customHeight="1">
      <c r="E564" s="5"/>
    </row>
    <row r="565" spans="5:5" ht="15.75" hidden="1" customHeight="1">
      <c r="E565" s="5"/>
    </row>
    <row r="566" spans="5:5" ht="15.75" hidden="1" customHeight="1">
      <c r="E566" s="5"/>
    </row>
    <row r="567" spans="5:5" ht="15.75" hidden="1" customHeight="1">
      <c r="E567" s="5"/>
    </row>
    <row r="568" spans="5:5" ht="15.75" hidden="1" customHeight="1">
      <c r="E568" s="5"/>
    </row>
    <row r="569" spans="5:5" ht="15.75" hidden="1" customHeight="1">
      <c r="E569" s="5"/>
    </row>
    <row r="570" spans="5:5" ht="15.75" hidden="1" customHeight="1">
      <c r="E570" s="5"/>
    </row>
    <row r="571" spans="5:5" ht="15.75" hidden="1" customHeight="1">
      <c r="E571" s="5"/>
    </row>
    <row r="572" spans="5:5" ht="15.75" hidden="1" customHeight="1">
      <c r="E572" s="5"/>
    </row>
    <row r="573" spans="5:5" ht="15.75" hidden="1" customHeight="1">
      <c r="E573" s="5"/>
    </row>
    <row r="574" spans="5:5" ht="15.75" hidden="1" customHeight="1">
      <c r="E574" s="5"/>
    </row>
    <row r="575" spans="5:5" ht="15.75" hidden="1" customHeight="1">
      <c r="E575" s="5"/>
    </row>
    <row r="576" spans="5:5" ht="15.75" hidden="1" customHeight="1">
      <c r="E576" s="5"/>
    </row>
    <row r="577" spans="5:5" ht="15.75" hidden="1" customHeight="1">
      <c r="E577" s="5"/>
    </row>
    <row r="578" spans="5:5" ht="15.75" hidden="1" customHeight="1">
      <c r="E578" s="5"/>
    </row>
    <row r="579" spans="5:5" ht="15.75" hidden="1" customHeight="1">
      <c r="E579" s="5"/>
    </row>
    <row r="580" spans="5:5" ht="15.75" hidden="1" customHeight="1">
      <c r="E580" s="5"/>
    </row>
    <row r="581" spans="5:5" ht="15.75" hidden="1" customHeight="1">
      <c r="E581" s="5"/>
    </row>
    <row r="582" spans="5:5" ht="15.75" hidden="1" customHeight="1">
      <c r="E582" s="5"/>
    </row>
    <row r="583" spans="5:5" ht="15.75" hidden="1" customHeight="1">
      <c r="E583" s="5"/>
    </row>
    <row r="584" spans="5:5" ht="15.75" customHeight="1">
      <c r="E584" s="40"/>
    </row>
    <row r="585" spans="5:5" ht="15.75" customHeight="1">
      <c r="E585" s="40"/>
    </row>
    <row r="586" spans="5:5" ht="15.75" customHeight="1">
      <c r="E586" s="40"/>
    </row>
    <row r="587" spans="5:5" ht="15.75" customHeight="1">
      <c r="E587" s="40"/>
    </row>
    <row r="588" spans="5:5" ht="15.75" customHeight="1">
      <c r="E588" s="40"/>
    </row>
    <row r="589" spans="5:5" ht="15.75" customHeight="1">
      <c r="E589" s="40"/>
    </row>
    <row r="590" spans="5:5" ht="15.75" customHeight="1">
      <c r="E590" s="40"/>
    </row>
    <row r="591" spans="5:5" ht="15.75" customHeight="1">
      <c r="E591" s="40"/>
    </row>
    <row r="592" spans="5:5" ht="15.75" customHeight="1">
      <c r="E592" s="40"/>
    </row>
    <row r="593" spans="5:5" ht="15.75" customHeight="1">
      <c r="E593" s="40"/>
    </row>
    <row r="594" spans="5:5" ht="15.75" customHeight="1">
      <c r="E594" s="40"/>
    </row>
    <row r="595" spans="5:5" ht="15.75" customHeight="1">
      <c r="E595" s="40"/>
    </row>
    <row r="596" spans="5:5" ht="15.75" customHeight="1">
      <c r="E596" s="40"/>
    </row>
    <row r="597" spans="5:5" ht="15.75" customHeight="1">
      <c r="E597" s="40"/>
    </row>
    <row r="598" spans="5:5" ht="15.75" customHeight="1">
      <c r="E598" s="40"/>
    </row>
    <row r="599" spans="5:5" ht="15.75" customHeight="1">
      <c r="E599" s="40"/>
    </row>
    <row r="600" spans="5:5" ht="15.75" customHeight="1">
      <c r="E600" s="40"/>
    </row>
    <row r="601" spans="5:5" ht="15.75" customHeight="1">
      <c r="E601" s="40"/>
    </row>
    <row r="602" spans="5:5" ht="15.75" customHeight="1">
      <c r="E602" s="40"/>
    </row>
    <row r="603" spans="5:5" ht="15.75" customHeight="1">
      <c r="E603" s="40"/>
    </row>
    <row r="604" spans="5:5" ht="15.75" customHeight="1">
      <c r="E604" s="40"/>
    </row>
    <row r="605" spans="5:5" ht="15.75" customHeight="1">
      <c r="E605" s="40"/>
    </row>
    <row r="606" spans="5:5" ht="15.75" customHeight="1">
      <c r="E606" s="40"/>
    </row>
    <row r="607" spans="5:5" ht="15.75" customHeight="1">
      <c r="E607" s="40"/>
    </row>
    <row r="608" spans="5:5" ht="15.75" customHeight="1">
      <c r="E608" s="40"/>
    </row>
    <row r="609" spans="5:5" ht="15.75" customHeight="1">
      <c r="E609" s="40"/>
    </row>
    <row r="610" spans="5:5" ht="15.75" customHeight="1">
      <c r="E610" s="40"/>
    </row>
    <row r="611" spans="5:5" ht="15.75" customHeight="1">
      <c r="E611" s="40"/>
    </row>
    <row r="612" spans="5:5" ht="15.75" customHeight="1">
      <c r="E612" s="40"/>
    </row>
    <row r="613" spans="5:5" ht="15.75" customHeight="1">
      <c r="E613" s="40"/>
    </row>
    <row r="614" spans="5:5" ht="15.75" customHeight="1">
      <c r="E614" s="40"/>
    </row>
    <row r="615" spans="5:5" ht="15.75" customHeight="1">
      <c r="E615" s="40"/>
    </row>
    <row r="616" spans="5:5" ht="15.75" customHeight="1">
      <c r="E616" s="40"/>
    </row>
    <row r="617" spans="5:5" ht="15.75" customHeight="1">
      <c r="E617" s="40"/>
    </row>
    <row r="618" spans="5:5" ht="15.75" customHeight="1">
      <c r="E618" s="40"/>
    </row>
    <row r="619" spans="5:5" ht="15.75" customHeight="1">
      <c r="E619" s="40"/>
    </row>
    <row r="620" spans="5:5" ht="15.75" customHeight="1">
      <c r="E620" s="40"/>
    </row>
    <row r="621" spans="5:5" ht="15.75" customHeight="1">
      <c r="E621" s="40"/>
    </row>
    <row r="622" spans="5:5" ht="15.75" customHeight="1">
      <c r="E622" s="40"/>
    </row>
    <row r="623" spans="5:5" ht="15.75" customHeight="1">
      <c r="E623" s="40"/>
    </row>
    <row r="624" spans="5:5" ht="15.75" customHeight="1">
      <c r="E624" s="40"/>
    </row>
    <row r="625" spans="5:5" ht="15.75" customHeight="1">
      <c r="E625" s="40"/>
    </row>
    <row r="626" spans="5:5" ht="15.75" customHeight="1">
      <c r="E626" s="40"/>
    </row>
    <row r="627" spans="5:5" ht="15.75" customHeight="1">
      <c r="E627" s="40"/>
    </row>
    <row r="628" spans="5:5" ht="15.75" customHeight="1">
      <c r="E628" s="40"/>
    </row>
    <row r="629" spans="5:5" ht="15.75" customHeight="1">
      <c r="E629" s="40"/>
    </row>
    <row r="630" spans="5:5" ht="15.75" customHeight="1">
      <c r="E630" s="40"/>
    </row>
    <row r="631" spans="5:5" ht="15.75" customHeight="1">
      <c r="E631" s="40"/>
    </row>
    <row r="632" spans="5:5" ht="15.75" customHeight="1">
      <c r="E632" s="40"/>
    </row>
    <row r="633" spans="5:5" ht="15.75" customHeight="1">
      <c r="E633" s="40"/>
    </row>
    <row r="634" spans="5:5" ht="15.75" customHeight="1">
      <c r="E634" s="40"/>
    </row>
    <row r="635" spans="5:5" ht="15.75" customHeight="1">
      <c r="E635" s="40"/>
    </row>
    <row r="636" spans="5:5" ht="15.75" customHeight="1">
      <c r="E636" s="40"/>
    </row>
    <row r="637" spans="5:5" ht="15.75" customHeight="1">
      <c r="E637" s="40"/>
    </row>
    <row r="638" spans="5:5" ht="15.75" customHeight="1">
      <c r="E638" s="40"/>
    </row>
    <row r="639" spans="5:5" ht="15.75" customHeight="1">
      <c r="E639" s="40"/>
    </row>
    <row r="640" spans="5:5" ht="15.75" customHeight="1">
      <c r="E640" s="40"/>
    </row>
    <row r="641" spans="5:5" ht="15.75" customHeight="1">
      <c r="E641" s="40"/>
    </row>
    <row r="642" spans="5:5" ht="15.75" customHeight="1">
      <c r="E642" s="40"/>
    </row>
    <row r="643" spans="5:5" ht="15.75" customHeight="1">
      <c r="E643" s="40"/>
    </row>
    <row r="644" spans="5:5" ht="15.75" customHeight="1">
      <c r="E644" s="40"/>
    </row>
    <row r="645" spans="5:5" ht="15.75" customHeight="1">
      <c r="E645" s="40"/>
    </row>
    <row r="646" spans="5:5" ht="15.75" customHeight="1">
      <c r="E646" s="40"/>
    </row>
    <row r="647" spans="5:5" ht="15.75" customHeight="1">
      <c r="E647" s="40"/>
    </row>
    <row r="648" spans="5:5" ht="15.75" customHeight="1">
      <c r="E648" s="40"/>
    </row>
    <row r="649" spans="5:5" ht="15.75" customHeight="1">
      <c r="E649" s="40"/>
    </row>
    <row r="650" spans="5:5" ht="15.75" customHeight="1">
      <c r="E650" s="40"/>
    </row>
    <row r="651" spans="5:5" ht="15.75" customHeight="1">
      <c r="E651" s="40"/>
    </row>
    <row r="652" spans="5:5" ht="15.75" customHeight="1">
      <c r="E652" s="40"/>
    </row>
    <row r="653" spans="5:5" ht="15.75" customHeight="1">
      <c r="E653" s="40"/>
    </row>
    <row r="654" spans="5:5" ht="15.75" customHeight="1">
      <c r="E654" s="40"/>
    </row>
    <row r="655" spans="5:5" ht="15.75" customHeight="1">
      <c r="E655" s="40"/>
    </row>
    <row r="656" spans="5:5" ht="15.75" customHeight="1">
      <c r="E656" s="40"/>
    </row>
    <row r="657" spans="5:5" ht="15.75" customHeight="1">
      <c r="E657" s="40"/>
    </row>
    <row r="658" spans="5:5" ht="15.75" customHeight="1">
      <c r="E658" s="40"/>
    </row>
    <row r="659" spans="5:5" ht="15.75" customHeight="1">
      <c r="E659" s="40"/>
    </row>
    <row r="660" spans="5:5" ht="15.75" customHeight="1">
      <c r="E660" s="40"/>
    </row>
    <row r="661" spans="5:5" ht="15.75" customHeight="1">
      <c r="E661" s="40"/>
    </row>
    <row r="662" spans="5:5" ht="15.75" customHeight="1">
      <c r="E662" s="40"/>
    </row>
    <row r="663" spans="5:5" ht="15.75" customHeight="1">
      <c r="E663" s="40"/>
    </row>
    <row r="664" spans="5:5" ht="15.75" customHeight="1">
      <c r="E664" s="40"/>
    </row>
    <row r="665" spans="5:5" ht="15.75" customHeight="1">
      <c r="E665" s="40"/>
    </row>
    <row r="666" spans="5:5" ht="15.75" customHeight="1">
      <c r="E666" s="40"/>
    </row>
    <row r="667" spans="5:5" ht="15.75" customHeight="1">
      <c r="E667" s="40"/>
    </row>
    <row r="668" spans="5:5" ht="15.75" customHeight="1">
      <c r="E668" s="40"/>
    </row>
    <row r="669" spans="5:5" ht="15.75" customHeight="1">
      <c r="E669" s="40"/>
    </row>
    <row r="670" spans="5:5" ht="15.75" customHeight="1">
      <c r="E670" s="40"/>
    </row>
    <row r="671" spans="5:5" ht="15.75" customHeight="1">
      <c r="E671" s="40"/>
    </row>
    <row r="672" spans="5:5" ht="15.75" customHeight="1">
      <c r="E672" s="40"/>
    </row>
    <row r="673" spans="5:5" ht="15.75" customHeight="1">
      <c r="E673" s="40"/>
    </row>
    <row r="674" spans="5:5" ht="15.75" customHeight="1">
      <c r="E674" s="40"/>
    </row>
    <row r="675" spans="5:5" ht="15.75" customHeight="1">
      <c r="E675" s="40"/>
    </row>
    <row r="676" spans="5:5" ht="15.75" customHeight="1">
      <c r="E676" s="40"/>
    </row>
    <row r="677" spans="5:5" ht="15.75" customHeight="1">
      <c r="E677" s="40"/>
    </row>
    <row r="678" spans="5:5" ht="15.75" customHeight="1">
      <c r="E678" s="40"/>
    </row>
    <row r="679" spans="5:5" ht="15.75" customHeight="1">
      <c r="E679" s="40"/>
    </row>
    <row r="680" spans="5:5" ht="15.75" customHeight="1">
      <c r="E680" s="40"/>
    </row>
    <row r="681" spans="5:5" ht="15.75" customHeight="1">
      <c r="E681" s="40"/>
    </row>
    <row r="682" spans="5:5" ht="15.75" customHeight="1">
      <c r="E682" s="40"/>
    </row>
    <row r="683" spans="5:5" ht="15.75" customHeight="1">
      <c r="E683" s="40"/>
    </row>
    <row r="684" spans="5:5" ht="15.75" customHeight="1">
      <c r="E684" s="40"/>
    </row>
    <row r="685" spans="5:5" ht="15.75" customHeight="1">
      <c r="E685" s="40"/>
    </row>
    <row r="686" spans="5:5" ht="15.75" customHeight="1">
      <c r="E686" s="40"/>
    </row>
    <row r="687" spans="5:5" ht="15.75" customHeight="1">
      <c r="E687" s="40"/>
    </row>
    <row r="688" spans="5:5" ht="15.75" customHeight="1">
      <c r="E688" s="40"/>
    </row>
    <row r="689" spans="5:5" ht="15.75" customHeight="1">
      <c r="E689" s="40"/>
    </row>
    <row r="690" spans="5:5" ht="15.75" customHeight="1">
      <c r="E690" s="40"/>
    </row>
    <row r="691" spans="5:5" ht="15.75" customHeight="1">
      <c r="E691" s="40"/>
    </row>
    <row r="692" spans="5:5" ht="15.75" customHeight="1">
      <c r="E692" s="40"/>
    </row>
    <row r="693" spans="5:5" ht="15.75" customHeight="1">
      <c r="E693" s="40"/>
    </row>
    <row r="694" spans="5:5" ht="15.75" customHeight="1">
      <c r="E694" s="40"/>
    </row>
    <row r="695" spans="5:5" ht="15.75" customHeight="1">
      <c r="E695" s="40"/>
    </row>
    <row r="696" spans="5:5" ht="15.75" customHeight="1">
      <c r="E696" s="40"/>
    </row>
    <row r="697" spans="5:5" ht="15.75" customHeight="1">
      <c r="E697" s="40"/>
    </row>
    <row r="698" spans="5:5" ht="15.75" customHeight="1">
      <c r="E698" s="40"/>
    </row>
    <row r="699" spans="5:5" ht="15.75" customHeight="1">
      <c r="E699" s="40"/>
    </row>
    <row r="700" spans="5:5" ht="15.75" customHeight="1">
      <c r="E700" s="40"/>
    </row>
    <row r="701" spans="5:5" ht="15.75" customHeight="1">
      <c r="E701" s="40"/>
    </row>
    <row r="702" spans="5:5" ht="15.75" customHeight="1">
      <c r="E702" s="40"/>
    </row>
    <row r="703" spans="5:5" ht="15.75" customHeight="1">
      <c r="E703" s="40"/>
    </row>
    <row r="704" spans="5:5" ht="15.75" customHeight="1">
      <c r="E704" s="40"/>
    </row>
    <row r="705" spans="5:5" ht="15.75" customHeight="1">
      <c r="E705" s="40"/>
    </row>
    <row r="706" spans="5:5" ht="15.75" customHeight="1">
      <c r="E706" s="40"/>
    </row>
    <row r="707" spans="5:5" ht="15.75" customHeight="1">
      <c r="E707" s="40"/>
    </row>
    <row r="708" spans="5:5" ht="15.75" customHeight="1">
      <c r="E708" s="40"/>
    </row>
    <row r="709" spans="5:5" ht="15.75" customHeight="1">
      <c r="E709" s="40"/>
    </row>
    <row r="710" spans="5:5" ht="15.75" customHeight="1">
      <c r="E710" s="40"/>
    </row>
    <row r="711" spans="5:5" ht="15.75" customHeight="1">
      <c r="E711" s="40"/>
    </row>
    <row r="712" spans="5:5" ht="15.75" customHeight="1">
      <c r="E712" s="40"/>
    </row>
    <row r="713" spans="5:5" ht="15.75" customHeight="1">
      <c r="E713" s="40"/>
    </row>
    <row r="714" spans="5:5" ht="15.75" customHeight="1">
      <c r="E714" s="40"/>
    </row>
    <row r="715" spans="5:5" ht="15.75" customHeight="1">
      <c r="E715" s="40"/>
    </row>
    <row r="716" spans="5:5" ht="15.75" customHeight="1">
      <c r="E716" s="40"/>
    </row>
    <row r="717" spans="5:5" ht="15.75" customHeight="1">
      <c r="E717" s="40"/>
    </row>
    <row r="718" spans="5:5" ht="15.75" customHeight="1">
      <c r="E718" s="40"/>
    </row>
    <row r="719" spans="5:5" ht="15.75" customHeight="1">
      <c r="E719" s="40"/>
    </row>
    <row r="720" spans="5:5" ht="15.75" customHeight="1">
      <c r="E720" s="40"/>
    </row>
    <row r="721" spans="5:5" ht="15.75" customHeight="1">
      <c r="E721" s="40"/>
    </row>
    <row r="722" spans="5:5" ht="15.75" customHeight="1">
      <c r="E722" s="40"/>
    </row>
    <row r="723" spans="5:5" ht="15.75" customHeight="1">
      <c r="E723" s="40"/>
    </row>
    <row r="724" spans="5:5" ht="15.75" customHeight="1">
      <c r="E724" s="40"/>
    </row>
    <row r="725" spans="5:5" ht="15.75" customHeight="1">
      <c r="E725" s="40"/>
    </row>
    <row r="726" spans="5:5" ht="15.75" customHeight="1">
      <c r="E726" s="40"/>
    </row>
    <row r="727" spans="5:5" ht="15.75" customHeight="1">
      <c r="E727" s="40"/>
    </row>
    <row r="728" spans="5:5" ht="15.75" customHeight="1">
      <c r="E728" s="40"/>
    </row>
    <row r="729" spans="5:5" ht="15.75" customHeight="1">
      <c r="E729" s="40"/>
    </row>
    <row r="730" spans="5:5" ht="15.75" customHeight="1">
      <c r="E730" s="40"/>
    </row>
    <row r="731" spans="5:5" ht="15.75" customHeight="1">
      <c r="E731" s="40"/>
    </row>
    <row r="732" spans="5:5" ht="15.75" customHeight="1">
      <c r="E732" s="40"/>
    </row>
    <row r="733" spans="5:5" ht="15.75" customHeight="1">
      <c r="E733" s="40"/>
    </row>
    <row r="734" spans="5:5" ht="15.75" customHeight="1">
      <c r="E734" s="40"/>
    </row>
    <row r="735" spans="5:5" ht="15.75" customHeight="1">
      <c r="E735" s="40"/>
    </row>
    <row r="736" spans="5:5" ht="15.75" customHeight="1">
      <c r="E736" s="40"/>
    </row>
    <row r="737" spans="5:5" ht="15.75" customHeight="1">
      <c r="E737" s="40"/>
    </row>
    <row r="738" spans="5:5" ht="15.75" customHeight="1">
      <c r="E738" s="40"/>
    </row>
    <row r="739" spans="5:5" ht="15.75" customHeight="1">
      <c r="E739" s="40"/>
    </row>
    <row r="740" spans="5:5" ht="15.75" customHeight="1">
      <c r="E740" s="40"/>
    </row>
    <row r="741" spans="5:5" ht="15.75" customHeight="1">
      <c r="E741" s="40"/>
    </row>
    <row r="742" spans="5:5" ht="15.75" customHeight="1">
      <c r="E742" s="40"/>
    </row>
    <row r="743" spans="5:5" ht="15.75" customHeight="1">
      <c r="E743" s="40"/>
    </row>
    <row r="744" spans="5:5" ht="15.75" customHeight="1">
      <c r="E744" s="40"/>
    </row>
    <row r="745" spans="5:5" ht="15.75" customHeight="1">
      <c r="E745" s="40"/>
    </row>
    <row r="746" spans="5:5" ht="15.75" customHeight="1">
      <c r="E746" s="40"/>
    </row>
    <row r="747" spans="5:5" ht="15.75" customHeight="1">
      <c r="E747" s="40"/>
    </row>
    <row r="748" spans="5:5" ht="15.75" customHeight="1">
      <c r="E748" s="40"/>
    </row>
    <row r="749" spans="5:5" ht="15.75" customHeight="1">
      <c r="E749" s="40"/>
    </row>
    <row r="750" spans="5:5" ht="15.75" customHeight="1">
      <c r="E750" s="40"/>
    </row>
    <row r="751" spans="5:5" ht="15.75" customHeight="1">
      <c r="E751" s="40"/>
    </row>
    <row r="752" spans="5:5" ht="15.75" customHeight="1">
      <c r="E752" s="40"/>
    </row>
    <row r="753" spans="5:5" ht="15.75" customHeight="1">
      <c r="E753" s="40"/>
    </row>
    <row r="754" spans="5:5" ht="15.75" customHeight="1">
      <c r="E754" s="40"/>
    </row>
    <row r="755" spans="5:5" ht="15.75" customHeight="1">
      <c r="E755" s="40"/>
    </row>
    <row r="756" spans="5:5" ht="15.75" customHeight="1">
      <c r="E756" s="40"/>
    </row>
    <row r="757" spans="5:5" ht="15.75" customHeight="1">
      <c r="E757" s="40"/>
    </row>
    <row r="758" spans="5:5" ht="15.75" customHeight="1">
      <c r="E758" s="40"/>
    </row>
    <row r="759" spans="5:5" ht="15.75" customHeight="1">
      <c r="E759" s="40"/>
    </row>
    <row r="760" spans="5:5" ht="15.75" customHeight="1">
      <c r="E760" s="40"/>
    </row>
    <row r="761" spans="5:5" ht="15.75" customHeight="1">
      <c r="E761" s="40"/>
    </row>
    <row r="762" spans="5:5" ht="15.75" customHeight="1">
      <c r="E762" s="40"/>
    </row>
    <row r="763" spans="5:5" ht="15.75" customHeight="1">
      <c r="E763" s="40"/>
    </row>
    <row r="764" spans="5:5" ht="15.75" customHeight="1">
      <c r="E764" s="40"/>
    </row>
    <row r="765" spans="5:5" ht="15.75" customHeight="1">
      <c r="E765" s="40"/>
    </row>
    <row r="766" spans="5:5" ht="15.75" customHeight="1">
      <c r="E766" s="40"/>
    </row>
    <row r="767" spans="5:5" ht="15.75" customHeight="1">
      <c r="E767" s="40"/>
    </row>
    <row r="768" spans="5:5" ht="15.75" customHeight="1">
      <c r="E768" s="40"/>
    </row>
    <row r="769" spans="5:5" ht="15.75" customHeight="1">
      <c r="E769" s="40"/>
    </row>
    <row r="770" spans="5:5" ht="15.75" customHeight="1">
      <c r="E770" s="40"/>
    </row>
    <row r="771" spans="5:5" ht="15.75" customHeight="1">
      <c r="E771" s="40"/>
    </row>
    <row r="772" spans="5:5" ht="15.75" customHeight="1">
      <c r="E772" s="40"/>
    </row>
    <row r="773" spans="5:5" ht="15.75" customHeight="1">
      <c r="E773" s="40"/>
    </row>
    <row r="774" spans="5:5" ht="15.75" customHeight="1">
      <c r="E774" s="40"/>
    </row>
    <row r="775" spans="5:5" ht="15.75" customHeight="1">
      <c r="E775" s="40"/>
    </row>
    <row r="776" spans="5:5" ht="15.75" customHeight="1">
      <c r="E776" s="40"/>
    </row>
    <row r="777" spans="5:5" ht="15.75" customHeight="1">
      <c r="E777" s="40"/>
    </row>
    <row r="778" spans="5:5" ht="15.75" customHeight="1">
      <c r="E778" s="40"/>
    </row>
    <row r="779" spans="5:5" ht="15.75" customHeight="1">
      <c r="E779" s="40"/>
    </row>
    <row r="780" spans="5:5" ht="15.75" customHeight="1">
      <c r="E780" s="40"/>
    </row>
    <row r="781" spans="5:5" ht="15.75" customHeight="1">
      <c r="E781" s="40"/>
    </row>
    <row r="782" spans="5:5" ht="15.75" customHeight="1">
      <c r="E782" s="40"/>
    </row>
    <row r="783" spans="5:5" ht="15.75" customHeight="1">
      <c r="E783" s="40"/>
    </row>
    <row r="784" spans="5:5" ht="15.75" customHeight="1">
      <c r="E784" s="40"/>
    </row>
    <row r="785" spans="5:5" ht="15.75" customHeight="1">
      <c r="E785" s="40"/>
    </row>
    <row r="786" spans="5:5" ht="15.75" customHeight="1">
      <c r="E786" s="40"/>
    </row>
    <row r="787" spans="5:5" ht="15.75" customHeight="1">
      <c r="E787" s="40"/>
    </row>
    <row r="788" spans="5:5" ht="15.75" customHeight="1">
      <c r="E788" s="40"/>
    </row>
    <row r="789" spans="5:5" ht="15.75" customHeight="1">
      <c r="E789" s="40"/>
    </row>
    <row r="790" spans="5:5" ht="15.75" customHeight="1">
      <c r="E790" s="40"/>
    </row>
    <row r="791" spans="5:5" ht="15.75" customHeight="1">
      <c r="E791" s="40"/>
    </row>
    <row r="792" spans="5:5" ht="15.75" customHeight="1">
      <c r="E792" s="40"/>
    </row>
    <row r="793" spans="5:5" ht="15.75" customHeight="1">
      <c r="E793" s="40"/>
    </row>
    <row r="794" spans="5:5" ht="15.75" customHeight="1">
      <c r="E794" s="40"/>
    </row>
    <row r="795" spans="5:5" ht="15.75" customHeight="1">
      <c r="E795" s="40"/>
    </row>
    <row r="796" spans="5:5" ht="15.75" customHeight="1">
      <c r="E796" s="40"/>
    </row>
    <row r="797" spans="5:5" ht="15.75" customHeight="1">
      <c r="E797" s="40"/>
    </row>
    <row r="798" spans="5:5" ht="15.75" customHeight="1">
      <c r="E798" s="40"/>
    </row>
    <row r="799" spans="5:5" ht="15.75" customHeight="1">
      <c r="E799" s="40"/>
    </row>
    <row r="800" spans="5:5" ht="15.75" customHeight="1">
      <c r="E800" s="40"/>
    </row>
    <row r="801" spans="5:5" ht="15.75" customHeight="1">
      <c r="E801" s="40"/>
    </row>
    <row r="802" spans="5:5" ht="15.75" customHeight="1">
      <c r="E802" s="40"/>
    </row>
    <row r="803" spans="5:5" ht="15.75" customHeight="1">
      <c r="E803" s="40"/>
    </row>
    <row r="804" spans="5:5" ht="15.75" customHeight="1">
      <c r="E804" s="40"/>
    </row>
    <row r="805" spans="5:5" ht="15.75" customHeight="1">
      <c r="E805" s="40"/>
    </row>
    <row r="806" spans="5:5" ht="15.75" customHeight="1">
      <c r="E806" s="40"/>
    </row>
    <row r="807" spans="5:5" ht="15.75" customHeight="1">
      <c r="E807" s="40"/>
    </row>
    <row r="808" spans="5:5" ht="15.75" customHeight="1">
      <c r="E808" s="40"/>
    </row>
    <row r="809" spans="5:5" ht="15.75" customHeight="1">
      <c r="E809" s="40"/>
    </row>
    <row r="810" spans="5:5" ht="15.75" customHeight="1">
      <c r="E810" s="40"/>
    </row>
    <row r="811" spans="5:5" ht="15.75" customHeight="1">
      <c r="E811" s="40"/>
    </row>
    <row r="812" spans="5:5" ht="15.75" customHeight="1">
      <c r="E812" s="40"/>
    </row>
    <row r="813" spans="5:5" ht="15.75" customHeight="1">
      <c r="E813" s="40"/>
    </row>
    <row r="814" spans="5:5" ht="15.75" customHeight="1">
      <c r="E814" s="40"/>
    </row>
    <row r="815" spans="5:5" ht="15.75" customHeight="1">
      <c r="E815" s="40"/>
    </row>
    <row r="816" spans="5:5" ht="15.75" customHeight="1">
      <c r="E816" s="40"/>
    </row>
    <row r="817" spans="5:5" ht="15.75" customHeight="1">
      <c r="E817" s="40"/>
    </row>
    <row r="818" spans="5:5" ht="15.75" customHeight="1">
      <c r="E818" s="40"/>
    </row>
    <row r="819" spans="5:5" ht="15.75" customHeight="1">
      <c r="E819" s="40"/>
    </row>
    <row r="820" spans="5:5" ht="15.75" customHeight="1">
      <c r="E820" s="40"/>
    </row>
    <row r="821" spans="5:5" ht="15.75" customHeight="1">
      <c r="E821" s="40"/>
    </row>
    <row r="822" spans="5:5" ht="15.75" customHeight="1">
      <c r="E822" s="40"/>
    </row>
    <row r="823" spans="5:5" ht="15.75" customHeight="1">
      <c r="E823" s="40"/>
    </row>
    <row r="824" spans="5:5" ht="15.75" customHeight="1">
      <c r="E824" s="40"/>
    </row>
    <row r="825" spans="5:5" ht="15.75" customHeight="1">
      <c r="E825" s="40"/>
    </row>
    <row r="826" spans="5:5" ht="15.75" customHeight="1">
      <c r="E826" s="40"/>
    </row>
    <row r="827" spans="5:5" ht="15.75" customHeight="1">
      <c r="E827" s="40"/>
    </row>
    <row r="828" spans="5:5" ht="15.75" customHeight="1">
      <c r="E828" s="40"/>
    </row>
    <row r="829" spans="5:5" ht="15.75" customHeight="1">
      <c r="E829" s="40"/>
    </row>
    <row r="830" spans="5:5" ht="15.75" customHeight="1">
      <c r="E830" s="40"/>
    </row>
    <row r="831" spans="5:5" ht="15.75" customHeight="1">
      <c r="E831" s="40"/>
    </row>
    <row r="832" spans="5:5" ht="15.75" customHeight="1">
      <c r="E832" s="40"/>
    </row>
    <row r="833" spans="5:5" ht="15.75" customHeight="1">
      <c r="E833" s="40"/>
    </row>
    <row r="834" spans="5:5" ht="15.75" customHeight="1">
      <c r="E834" s="40"/>
    </row>
    <row r="835" spans="5:5" ht="15.75" customHeight="1">
      <c r="E835" s="40"/>
    </row>
    <row r="836" spans="5:5" ht="15.75" customHeight="1">
      <c r="E836" s="40"/>
    </row>
    <row r="837" spans="5:5" ht="15.75" customHeight="1">
      <c r="E837" s="40"/>
    </row>
    <row r="838" spans="5:5" ht="15.75" customHeight="1">
      <c r="E838" s="40"/>
    </row>
    <row r="839" spans="5:5" ht="15.75" customHeight="1">
      <c r="E839" s="40"/>
    </row>
    <row r="840" spans="5:5" ht="15.75" customHeight="1">
      <c r="E840" s="40"/>
    </row>
    <row r="841" spans="5:5" ht="15.75" customHeight="1">
      <c r="E841" s="40"/>
    </row>
    <row r="842" spans="5:5" ht="15.75" customHeight="1">
      <c r="E842" s="40"/>
    </row>
    <row r="843" spans="5:5" ht="15.75" customHeight="1">
      <c r="E843" s="40"/>
    </row>
    <row r="844" spans="5:5" ht="15.75" customHeight="1">
      <c r="E844" s="40"/>
    </row>
    <row r="845" spans="5:5" ht="15.75" customHeight="1">
      <c r="E845" s="40"/>
    </row>
    <row r="846" spans="5:5" ht="15.75" customHeight="1">
      <c r="E846" s="40"/>
    </row>
    <row r="847" spans="5:5" ht="15.75" customHeight="1">
      <c r="E847" s="40"/>
    </row>
    <row r="848" spans="5:5" ht="15.75" customHeight="1">
      <c r="E848" s="40"/>
    </row>
    <row r="849" spans="5:5" ht="15.75" customHeight="1">
      <c r="E849" s="40"/>
    </row>
    <row r="850" spans="5:5" ht="15.75" customHeight="1">
      <c r="E850" s="40"/>
    </row>
    <row r="851" spans="5:5" ht="15.75" customHeight="1">
      <c r="E851" s="40"/>
    </row>
    <row r="852" spans="5:5" ht="15.75" customHeight="1">
      <c r="E852" s="40"/>
    </row>
    <row r="853" spans="5:5" ht="15.75" customHeight="1">
      <c r="E853" s="40"/>
    </row>
    <row r="854" spans="5:5" ht="15.75" customHeight="1">
      <c r="E854" s="40"/>
    </row>
    <row r="855" spans="5:5" ht="15.75" customHeight="1">
      <c r="E855" s="40"/>
    </row>
    <row r="856" spans="5:5" ht="15.75" customHeight="1">
      <c r="E856" s="40"/>
    </row>
    <row r="857" spans="5:5" ht="15.75" customHeight="1">
      <c r="E857" s="40"/>
    </row>
    <row r="858" spans="5:5" ht="15.75" customHeight="1">
      <c r="E858" s="40"/>
    </row>
    <row r="859" spans="5:5" ht="15.75" customHeight="1">
      <c r="E859" s="40"/>
    </row>
    <row r="860" spans="5:5" ht="15.75" customHeight="1">
      <c r="E860" s="40"/>
    </row>
    <row r="861" spans="5:5" ht="15.75" customHeight="1">
      <c r="E861" s="40"/>
    </row>
    <row r="862" spans="5:5" ht="15.75" customHeight="1">
      <c r="E862" s="40"/>
    </row>
    <row r="863" spans="5:5" ht="15.75" customHeight="1">
      <c r="E863" s="40"/>
    </row>
    <row r="864" spans="5:5" ht="15.75" customHeight="1">
      <c r="E864" s="40"/>
    </row>
    <row r="865" spans="5:5" ht="15.75" customHeight="1">
      <c r="E865" s="40"/>
    </row>
    <row r="866" spans="5:5" ht="15.75" customHeight="1">
      <c r="E866" s="40"/>
    </row>
    <row r="867" spans="5:5" ht="15.75" customHeight="1">
      <c r="E867" s="40"/>
    </row>
    <row r="868" spans="5:5" ht="15.75" customHeight="1">
      <c r="E868" s="40"/>
    </row>
    <row r="869" spans="5:5" ht="15.75" customHeight="1">
      <c r="E869" s="40"/>
    </row>
    <row r="870" spans="5:5" ht="15.75" customHeight="1">
      <c r="E870" s="40"/>
    </row>
    <row r="871" spans="5:5" ht="15.75" customHeight="1">
      <c r="E871" s="40"/>
    </row>
    <row r="872" spans="5:5" ht="15.75" customHeight="1">
      <c r="E872" s="40"/>
    </row>
    <row r="873" spans="5:5" ht="15.75" customHeight="1">
      <c r="E873" s="40"/>
    </row>
    <row r="874" spans="5:5" ht="15.75" customHeight="1">
      <c r="E874" s="40"/>
    </row>
    <row r="875" spans="5:5" ht="15.75" customHeight="1">
      <c r="E875" s="40"/>
    </row>
    <row r="876" spans="5:5" ht="15.75" customHeight="1">
      <c r="E876" s="40"/>
    </row>
    <row r="877" spans="5:5" ht="15.75" customHeight="1">
      <c r="E877" s="40"/>
    </row>
    <row r="878" spans="5:5" ht="15.75" customHeight="1">
      <c r="E878" s="40"/>
    </row>
    <row r="879" spans="5:5" ht="15.75" customHeight="1">
      <c r="E879" s="40"/>
    </row>
    <row r="880" spans="5:5" ht="15.75" customHeight="1">
      <c r="E880" s="40"/>
    </row>
    <row r="881" spans="5:5" ht="15.75" customHeight="1">
      <c r="E881" s="40"/>
    </row>
    <row r="882" spans="5:5" ht="15.75" customHeight="1">
      <c r="E882" s="40"/>
    </row>
    <row r="883" spans="5:5" ht="15.75" customHeight="1">
      <c r="E883" s="40"/>
    </row>
    <row r="884" spans="5:5" ht="15.75" customHeight="1">
      <c r="E884" s="40"/>
    </row>
    <row r="885" spans="5:5" ht="15.75" customHeight="1">
      <c r="E885" s="40"/>
    </row>
    <row r="886" spans="5:5" ht="15.75" customHeight="1">
      <c r="E886" s="40"/>
    </row>
    <row r="887" spans="5:5" ht="15.75" customHeight="1">
      <c r="E887" s="40"/>
    </row>
    <row r="888" spans="5:5" ht="15.75" customHeight="1">
      <c r="E888" s="40"/>
    </row>
    <row r="889" spans="5:5" ht="15.75" customHeight="1">
      <c r="E889" s="40"/>
    </row>
    <row r="890" spans="5:5" ht="15.75" customHeight="1">
      <c r="E890" s="40"/>
    </row>
    <row r="891" spans="5:5" ht="15.75" customHeight="1">
      <c r="E891" s="40"/>
    </row>
    <row r="892" spans="5:5" ht="15.75" customHeight="1">
      <c r="E892" s="40"/>
    </row>
    <row r="893" spans="5:5" ht="15.75" customHeight="1">
      <c r="E893" s="40"/>
    </row>
    <row r="894" spans="5:5" ht="15.75" customHeight="1">
      <c r="E894" s="40"/>
    </row>
    <row r="895" spans="5:5" ht="15.75" customHeight="1">
      <c r="E895" s="40"/>
    </row>
    <row r="896" spans="5:5" ht="15.75" customHeight="1">
      <c r="E896" s="40"/>
    </row>
    <row r="897" spans="5:5" ht="15.75" customHeight="1">
      <c r="E897" s="40"/>
    </row>
    <row r="898" spans="5:5" ht="15.75" customHeight="1">
      <c r="E898" s="40"/>
    </row>
    <row r="899" spans="5:5" ht="15.75" customHeight="1">
      <c r="E899" s="40"/>
    </row>
    <row r="900" spans="5:5" ht="15.75" customHeight="1">
      <c r="E900" s="40"/>
    </row>
    <row r="901" spans="5:5" ht="15.75" customHeight="1">
      <c r="E901" s="40"/>
    </row>
    <row r="902" spans="5:5" ht="15.75" customHeight="1">
      <c r="E902" s="40"/>
    </row>
    <row r="903" spans="5:5" ht="15.75" customHeight="1">
      <c r="E903" s="40"/>
    </row>
    <row r="904" spans="5:5" ht="15.75" customHeight="1">
      <c r="E904" s="40"/>
    </row>
    <row r="905" spans="5:5" ht="15.75" customHeight="1">
      <c r="E905" s="40"/>
    </row>
    <row r="906" spans="5:5" ht="15.75" customHeight="1">
      <c r="E906" s="40"/>
    </row>
    <row r="907" spans="5:5" ht="15.75" customHeight="1">
      <c r="E907" s="40"/>
    </row>
    <row r="908" spans="5:5" ht="15.75" customHeight="1">
      <c r="E908" s="40"/>
    </row>
    <row r="909" spans="5:5" ht="15.75" customHeight="1">
      <c r="E909" s="40"/>
    </row>
    <row r="910" spans="5:5" ht="15.75" customHeight="1">
      <c r="E910" s="40"/>
    </row>
    <row r="911" spans="5:5" ht="15.75" customHeight="1">
      <c r="E911" s="40"/>
    </row>
    <row r="912" spans="5:5" ht="15.75" customHeight="1">
      <c r="E912" s="40"/>
    </row>
    <row r="913" spans="5:5" ht="15.75" customHeight="1">
      <c r="E913" s="40"/>
    </row>
    <row r="914" spans="5:5" ht="15.75" customHeight="1">
      <c r="E914" s="40"/>
    </row>
    <row r="915" spans="5:5" ht="15.75" customHeight="1">
      <c r="E915" s="40"/>
    </row>
    <row r="916" spans="5:5" ht="15.75" customHeight="1">
      <c r="E916" s="40"/>
    </row>
    <row r="917" spans="5:5" ht="15.75" customHeight="1">
      <c r="E917" s="40"/>
    </row>
    <row r="918" spans="5:5" ht="15.75" customHeight="1">
      <c r="E918" s="40"/>
    </row>
    <row r="919" spans="5:5" ht="15.75" customHeight="1">
      <c r="E919" s="40"/>
    </row>
    <row r="920" spans="5:5" ht="15.75" customHeight="1">
      <c r="E920" s="40"/>
    </row>
    <row r="921" spans="5:5" ht="15.75" customHeight="1">
      <c r="E921" s="40"/>
    </row>
    <row r="922" spans="5:5" ht="15.75" customHeight="1">
      <c r="E922" s="40"/>
    </row>
    <row r="923" spans="5:5" ht="15.75" customHeight="1">
      <c r="E923" s="40"/>
    </row>
    <row r="924" spans="5:5" ht="15.75" customHeight="1">
      <c r="E924" s="40"/>
    </row>
    <row r="925" spans="5:5" ht="15.75" customHeight="1">
      <c r="E925" s="40"/>
    </row>
    <row r="926" spans="5:5" ht="15.75" customHeight="1">
      <c r="E926" s="40"/>
    </row>
    <row r="927" spans="5:5" ht="15.75" customHeight="1">
      <c r="E927" s="40"/>
    </row>
    <row r="928" spans="5:5" ht="15.75" customHeight="1">
      <c r="E928" s="40"/>
    </row>
    <row r="929" spans="5:5" ht="15.75" customHeight="1">
      <c r="E929" s="40"/>
    </row>
    <row r="930" spans="5:5" ht="15.75" customHeight="1">
      <c r="E930" s="40"/>
    </row>
    <row r="931" spans="5:5" ht="15.75" customHeight="1">
      <c r="E931" s="40"/>
    </row>
    <row r="932" spans="5:5" ht="15.75" customHeight="1">
      <c r="E932" s="40"/>
    </row>
    <row r="933" spans="5:5" ht="15.75" customHeight="1">
      <c r="E933" s="40"/>
    </row>
    <row r="934" spans="5:5" ht="15.75" customHeight="1">
      <c r="E934" s="40"/>
    </row>
    <row r="935" spans="5:5" ht="15.75" customHeight="1">
      <c r="E935" s="40"/>
    </row>
    <row r="936" spans="5:5" ht="15.75" customHeight="1">
      <c r="E936" s="40"/>
    </row>
    <row r="937" spans="5:5" ht="15.75" customHeight="1">
      <c r="E937" s="40"/>
    </row>
    <row r="938" spans="5:5" ht="15.75" customHeight="1">
      <c r="E938" s="40"/>
    </row>
    <row r="939" spans="5:5" ht="15.75" customHeight="1">
      <c r="E939" s="40"/>
    </row>
    <row r="940" spans="5:5" ht="15.75" customHeight="1">
      <c r="E940" s="40"/>
    </row>
    <row r="941" spans="5:5" ht="15.75" customHeight="1">
      <c r="E941" s="40"/>
    </row>
    <row r="942" spans="5:5" ht="15.75" customHeight="1">
      <c r="E942" s="40"/>
    </row>
    <row r="943" spans="5:5" ht="15.75" customHeight="1">
      <c r="E943" s="40"/>
    </row>
    <row r="944" spans="5:5" ht="15.75" customHeight="1">
      <c r="E944" s="40"/>
    </row>
    <row r="945" spans="5:5" ht="15.75" customHeight="1">
      <c r="E945" s="40"/>
    </row>
    <row r="946" spans="5:5" ht="15.75" customHeight="1">
      <c r="E946" s="40"/>
    </row>
    <row r="947" spans="5:5" ht="15.75" customHeight="1">
      <c r="E947" s="40"/>
    </row>
    <row r="948" spans="5:5" ht="15.75" customHeight="1">
      <c r="E948" s="40"/>
    </row>
    <row r="949" spans="5:5" ht="15.75" customHeight="1">
      <c r="E949" s="40"/>
    </row>
    <row r="950" spans="5:5" ht="15.75" customHeight="1">
      <c r="E950" s="40"/>
    </row>
    <row r="951" spans="5:5" ht="15.75" customHeight="1">
      <c r="E951" s="40"/>
    </row>
    <row r="952" spans="5:5" ht="15.75" customHeight="1">
      <c r="E952" s="40"/>
    </row>
    <row r="953" spans="5:5" ht="15.75" customHeight="1">
      <c r="E953" s="40"/>
    </row>
    <row r="954" spans="5:5" ht="15.75" customHeight="1">
      <c r="E954" s="40"/>
    </row>
    <row r="955" spans="5:5" ht="15.75" customHeight="1">
      <c r="E955" s="40"/>
    </row>
    <row r="956" spans="5:5" ht="15.75" customHeight="1">
      <c r="E956" s="40"/>
    </row>
    <row r="957" spans="5:5" ht="15.75" customHeight="1">
      <c r="E957" s="40"/>
    </row>
    <row r="958" spans="5:5" ht="15.75" customHeight="1">
      <c r="E958" s="40"/>
    </row>
    <row r="959" spans="5:5" ht="15.75" customHeight="1">
      <c r="E959" s="40"/>
    </row>
    <row r="960" spans="5:5" ht="15.75" customHeight="1">
      <c r="E960" s="40"/>
    </row>
    <row r="961" spans="5:5" ht="15.75" customHeight="1">
      <c r="E961" s="40"/>
    </row>
    <row r="962" spans="5:5" ht="15.75" customHeight="1">
      <c r="E962" s="40"/>
    </row>
    <row r="963" spans="5:5" ht="15.75" customHeight="1">
      <c r="E963" s="40"/>
    </row>
    <row r="964" spans="5:5" ht="15.75" customHeight="1">
      <c r="E964" s="40"/>
    </row>
    <row r="965" spans="5:5" ht="15.75" customHeight="1">
      <c r="E965" s="40"/>
    </row>
    <row r="966" spans="5:5" ht="15.75" customHeight="1">
      <c r="E966" s="40"/>
    </row>
    <row r="967" spans="5:5" ht="15.75" customHeight="1">
      <c r="E967" s="40"/>
    </row>
    <row r="968" spans="5:5" ht="15.75" customHeight="1">
      <c r="E968" s="40"/>
    </row>
    <row r="969" spans="5:5" ht="15.75" customHeight="1">
      <c r="E969" s="40"/>
    </row>
    <row r="970" spans="5:5" ht="15.75" customHeight="1">
      <c r="E970" s="40"/>
    </row>
    <row r="971" spans="5:5" ht="15.75" customHeight="1">
      <c r="E971" s="40"/>
    </row>
    <row r="972" spans="5:5" ht="15.75" customHeight="1">
      <c r="E972" s="40"/>
    </row>
    <row r="973" spans="5:5" ht="15.75" customHeight="1">
      <c r="E973" s="40"/>
    </row>
    <row r="974" spans="5:5" ht="15.75" customHeight="1">
      <c r="E974" s="40"/>
    </row>
    <row r="975" spans="5:5" ht="15.75" customHeight="1">
      <c r="E975" s="40"/>
    </row>
    <row r="976" spans="5:5" ht="15.75" customHeight="1">
      <c r="E976" s="40"/>
    </row>
    <row r="977" spans="5:5" ht="15.75" customHeight="1">
      <c r="E977" s="40"/>
    </row>
    <row r="978" spans="5:5" ht="15.75" customHeight="1">
      <c r="E978" s="40"/>
    </row>
    <row r="979" spans="5:5" ht="15.75" customHeight="1">
      <c r="E979" s="40"/>
    </row>
    <row r="980" spans="5:5" ht="15.75" customHeight="1">
      <c r="E980" s="40"/>
    </row>
    <row r="981" spans="5:5" ht="15.75" customHeight="1">
      <c r="E981" s="40"/>
    </row>
    <row r="982" spans="5:5" ht="15.75" customHeight="1">
      <c r="E982" s="40"/>
    </row>
    <row r="983" spans="5:5" ht="15.75" customHeight="1">
      <c r="E983" s="40"/>
    </row>
    <row r="984" spans="5:5" ht="15.75" customHeight="1">
      <c r="E984" s="40"/>
    </row>
    <row r="985" spans="5:5" ht="15.75" customHeight="1">
      <c r="E985" s="40"/>
    </row>
    <row r="986" spans="5:5" ht="15.75" customHeight="1">
      <c r="E986" s="40"/>
    </row>
    <row r="987" spans="5:5" ht="15.75" customHeight="1">
      <c r="E987" s="40"/>
    </row>
    <row r="988" spans="5:5" ht="15.75" customHeight="1">
      <c r="E988" s="40"/>
    </row>
    <row r="989" spans="5:5" ht="15.75" customHeight="1">
      <c r="E989" s="40"/>
    </row>
    <row r="990" spans="5:5" ht="15.75" customHeight="1">
      <c r="E990" s="40"/>
    </row>
    <row r="991" spans="5:5" ht="15.75" customHeight="1">
      <c r="E991" s="40"/>
    </row>
    <row r="992" spans="5:5" ht="15.75" customHeight="1">
      <c r="E992" s="40"/>
    </row>
    <row r="993" spans="5:5" ht="15.75" customHeight="1">
      <c r="E993" s="40"/>
    </row>
    <row r="994" spans="5:5" ht="15.75" customHeight="1">
      <c r="E994" s="40"/>
    </row>
    <row r="995" spans="5:5" ht="15.75" customHeight="1">
      <c r="E995" s="40"/>
    </row>
    <row r="996" spans="5:5" ht="15.75" customHeight="1">
      <c r="E996" s="40"/>
    </row>
    <row r="997" spans="5:5" ht="15.75" customHeight="1"/>
    <row r="998" spans="5:5" ht="15.75" customHeight="1"/>
    <row r="999" spans="5:5" ht="15.75" customHeight="1"/>
    <row r="1000" spans="5:5" ht="15.75" customHeight="1"/>
  </sheetData>
  <dataValidations count="2">
    <dataValidation type="list" allowBlank="1" showErrorMessage="1" sqref="E1:E996" xr:uid="{00000000-0002-0000-0500-000000000000}">
      <formula1>"INCLUDE,EXCLUDE,MAYBE"</formula1>
    </dataValidation>
    <dataValidation type="list" allowBlank="1" sqref="G2:G400" xr:uid="{00000000-0002-0000-0500-000001000000}">
      <formula1>"INCLUDE,EXCLUDE,MAYBE"</formula1>
    </dataValidation>
  </dataValidation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00"/>
  <sheetViews>
    <sheetView workbookViewId="0">
      <pane xSplit="1" ySplit="1" topLeftCell="B2" activePane="bottomRight" state="frozen"/>
      <selection pane="topRight"/>
      <selection pane="bottomLeft"/>
      <selection pane="bottomRight"/>
    </sheetView>
  </sheetViews>
  <sheetFormatPr baseColWidth="10" defaultColWidth="12.6640625" defaultRowHeight="15" customHeight="1"/>
  <cols>
    <col min="1" max="1" width="25.1640625" customWidth="1"/>
    <col min="2" max="2" width="33.5" customWidth="1"/>
    <col min="3" max="3" width="13.83203125" customWidth="1"/>
    <col min="4" max="16" width="25.1640625" customWidth="1"/>
  </cols>
  <sheetData>
    <row r="1" spans="1:16" ht="15.75" customHeight="1">
      <c r="A1" s="18" t="s">
        <v>124</v>
      </c>
      <c r="B1" s="18" t="s">
        <v>126</v>
      </c>
      <c r="C1" s="18" t="s">
        <v>128</v>
      </c>
      <c r="D1" s="18" t="s">
        <v>129</v>
      </c>
      <c r="E1" s="18" t="s">
        <v>130</v>
      </c>
      <c r="F1" s="18" t="s">
        <v>3757</v>
      </c>
      <c r="G1" s="18" t="s">
        <v>3758</v>
      </c>
      <c r="H1" s="18" t="s">
        <v>3759</v>
      </c>
      <c r="I1" s="18" t="s">
        <v>2932</v>
      </c>
      <c r="J1" s="18" t="s">
        <v>3760</v>
      </c>
      <c r="K1" s="18" t="s">
        <v>140</v>
      </c>
      <c r="L1" s="18" t="s">
        <v>3761</v>
      </c>
      <c r="M1" s="18" t="s">
        <v>2935</v>
      </c>
      <c r="N1" s="18" t="s">
        <v>3762</v>
      </c>
      <c r="O1" s="18" t="s">
        <v>2936</v>
      </c>
      <c r="P1" s="18" t="s">
        <v>2937</v>
      </c>
    </row>
    <row r="2" spans="1:16" ht="15.75" customHeight="1">
      <c r="A2" s="21" t="s">
        <v>141</v>
      </c>
      <c r="B2" s="22" t="s">
        <v>142</v>
      </c>
      <c r="C2" s="22">
        <v>2026</v>
      </c>
      <c r="D2" s="22" t="s">
        <v>144</v>
      </c>
      <c r="E2" s="22" t="s">
        <v>145</v>
      </c>
      <c r="F2" s="23" t="s">
        <v>3763</v>
      </c>
      <c r="G2" s="23" t="s">
        <v>3764</v>
      </c>
      <c r="H2" s="23" t="s">
        <v>3765</v>
      </c>
      <c r="I2" s="23" t="s">
        <v>3766</v>
      </c>
      <c r="J2" s="23" t="s">
        <v>2939</v>
      </c>
      <c r="K2" s="23"/>
      <c r="L2" s="23"/>
      <c r="M2" s="23" t="s">
        <v>3767</v>
      </c>
      <c r="N2" s="23" t="s">
        <v>3768</v>
      </c>
      <c r="O2" s="23" t="s">
        <v>2943</v>
      </c>
      <c r="P2" s="23" t="s">
        <v>3769</v>
      </c>
    </row>
    <row r="3" spans="1:16" ht="15.75" customHeight="1">
      <c r="A3" s="21" t="s">
        <v>150</v>
      </c>
      <c r="B3" s="24" t="s">
        <v>151</v>
      </c>
      <c r="C3" s="24">
        <v>2026</v>
      </c>
      <c r="D3" s="24" t="s">
        <v>153</v>
      </c>
      <c r="E3" s="24" t="s">
        <v>154</v>
      </c>
      <c r="F3" s="25" t="s">
        <v>3763</v>
      </c>
      <c r="G3" s="25" t="s">
        <v>3770</v>
      </c>
      <c r="H3" s="25" t="s">
        <v>3771</v>
      </c>
      <c r="I3" s="25" t="s">
        <v>3766</v>
      </c>
      <c r="J3" s="25" t="s">
        <v>2939</v>
      </c>
      <c r="K3" s="25"/>
      <c r="L3" s="25"/>
      <c r="M3" s="25" t="s">
        <v>3772</v>
      </c>
      <c r="N3" s="25" t="s">
        <v>3768</v>
      </c>
      <c r="O3" s="25" t="s">
        <v>2943</v>
      </c>
      <c r="P3" s="25" t="s">
        <v>3773</v>
      </c>
    </row>
    <row r="4" spans="1:16" ht="15.75" customHeight="1">
      <c r="A4" s="21" t="s">
        <v>158</v>
      </c>
      <c r="B4" s="22" t="s">
        <v>159</v>
      </c>
      <c r="C4" s="22">
        <v>2024</v>
      </c>
      <c r="D4" s="22" t="s">
        <v>161</v>
      </c>
      <c r="E4" s="22" t="s">
        <v>162</v>
      </c>
      <c r="F4" s="23" t="s">
        <v>3763</v>
      </c>
      <c r="G4" s="23" t="s">
        <v>3764</v>
      </c>
      <c r="H4" s="23" t="s">
        <v>3765</v>
      </c>
      <c r="I4" s="23" t="s">
        <v>3766</v>
      </c>
      <c r="J4" s="23" t="s">
        <v>2939</v>
      </c>
      <c r="K4" s="23"/>
      <c r="L4" s="23"/>
      <c r="M4" s="23" t="s">
        <v>3774</v>
      </c>
      <c r="N4" s="23" t="s">
        <v>3768</v>
      </c>
      <c r="O4" s="23" t="s">
        <v>2943</v>
      </c>
      <c r="P4" s="23" t="s">
        <v>3775</v>
      </c>
    </row>
    <row r="5" spans="1:16" ht="15.75" customHeight="1">
      <c r="A5" s="21" t="s">
        <v>165</v>
      </c>
      <c r="B5" s="24" t="s">
        <v>166</v>
      </c>
      <c r="C5" s="24">
        <v>2026</v>
      </c>
      <c r="D5" s="24" t="s">
        <v>168</v>
      </c>
      <c r="E5" s="24" t="s">
        <v>169</v>
      </c>
      <c r="F5" s="25" t="s">
        <v>3763</v>
      </c>
      <c r="G5" s="25" t="s">
        <v>3770</v>
      </c>
      <c r="H5" s="25" t="s">
        <v>3776</v>
      </c>
      <c r="I5" s="25" t="s">
        <v>3766</v>
      </c>
      <c r="J5" s="25" t="s">
        <v>2939</v>
      </c>
      <c r="K5" s="25"/>
      <c r="L5" s="25"/>
      <c r="M5" s="25" t="s">
        <v>3777</v>
      </c>
      <c r="N5" s="25" t="s">
        <v>3768</v>
      </c>
      <c r="O5" s="25" t="s">
        <v>2943</v>
      </c>
      <c r="P5" s="25" t="s">
        <v>3778</v>
      </c>
    </row>
    <row r="6" spans="1:16" ht="15.75" customHeight="1">
      <c r="A6" s="21" t="s">
        <v>172</v>
      </c>
      <c r="B6" s="22" t="s">
        <v>173</v>
      </c>
      <c r="C6" s="22">
        <v>2026</v>
      </c>
      <c r="D6" s="22" t="s">
        <v>175</v>
      </c>
      <c r="E6" s="22" t="s">
        <v>176</v>
      </c>
      <c r="F6" s="23" t="s">
        <v>3763</v>
      </c>
      <c r="G6" s="23" t="s">
        <v>3764</v>
      </c>
      <c r="H6" s="23" t="s">
        <v>3765</v>
      </c>
      <c r="I6" s="23" t="s">
        <v>3766</v>
      </c>
      <c r="J6" s="23" t="s">
        <v>2939</v>
      </c>
      <c r="K6" s="23"/>
      <c r="L6" s="23"/>
      <c r="M6" s="23" t="s">
        <v>3779</v>
      </c>
      <c r="N6" s="23" t="s">
        <v>3768</v>
      </c>
      <c r="O6" s="23" t="s">
        <v>2943</v>
      </c>
      <c r="P6" s="23" t="s">
        <v>3780</v>
      </c>
    </row>
    <row r="7" spans="1:16" ht="15.75" customHeight="1">
      <c r="A7" s="21" t="s">
        <v>179</v>
      </c>
      <c r="B7" s="24" t="s">
        <v>180</v>
      </c>
      <c r="C7" s="24">
        <v>2026</v>
      </c>
      <c r="D7" s="24" t="s">
        <v>182</v>
      </c>
      <c r="E7" s="24" t="s">
        <v>183</v>
      </c>
      <c r="F7" s="25" t="s">
        <v>3763</v>
      </c>
      <c r="G7" s="25" t="s">
        <v>3764</v>
      </c>
      <c r="H7" s="25" t="s">
        <v>3765</v>
      </c>
      <c r="I7" s="25" t="s">
        <v>3766</v>
      </c>
      <c r="J7" s="25" t="s">
        <v>2939</v>
      </c>
      <c r="K7" s="25"/>
      <c r="L7" s="25"/>
      <c r="M7" s="25" t="s">
        <v>3781</v>
      </c>
      <c r="N7" s="25" t="s">
        <v>3768</v>
      </c>
      <c r="O7" s="25" t="s">
        <v>2943</v>
      </c>
      <c r="P7" s="25" t="s">
        <v>3782</v>
      </c>
    </row>
    <row r="8" spans="1:16" ht="15.75" customHeight="1">
      <c r="A8" s="21" t="s">
        <v>187</v>
      </c>
      <c r="B8" s="22" t="s">
        <v>188</v>
      </c>
      <c r="C8" s="22">
        <v>2026</v>
      </c>
      <c r="D8" s="22" t="s">
        <v>190</v>
      </c>
      <c r="E8" s="22" t="s">
        <v>191</v>
      </c>
      <c r="F8" s="23" t="s">
        <v>3783</v>
      </c>
      <c r="G8" s="23"/>
      <c r="H8" s="23"/>
      <c r="I8" s="23"/>
      <c r="J8" s="23"/>
      <c r="K8" s="23"/>
      <c r="L8" s="23"/>
      <c r="M8" s="23"/>
      <c r="N8" s="23"/>
      <c r="O8" s="23"/>
      <c r="P8" s="23"/>
    </row>
    <row r="9" spans="1:16" ht="15.75" customHeight="1">
      <c r="A9" s="21" t="s">
        <v>196</v>
      </c>
      <c r="B9" s="24" t="s">
        <v>110</v>
      </c>
      <c r="C9" s="24">
        <v>2026</v>
      </c>
      <c r="D9" s="24" t="s">
        <v>198</v>
      </c>
      <c r="E9" s="24" t="s">
        <v>199</v>
      </c>
      <c r="F9" s="25" t="s">
        <v>3763</v>
      </c>
      <c r="G9" s="25" t="s">
        <v>3764</v>
      </c>
      <c r="H9" s="25" t="s">
        <v>3765</v>
      </c>
      <c r="I9" s="25" t="s">
        <v>3766</v>
      </c>
      <c r="J9" s="25" t="s">
        <v>2939</v>
      </c>
      <c r="K9" s="25"/>
      <c r="L9" s="25"/>
      <c r="M9" s="25" t="s">
        <v>3784</v>
      </c>
      <c r="N9" s="25" t="s">
        <v>3768</v>
      </c>
      <c r="O9" s="25" t="s">
        <v>2943</v>
      </c>
      <c r="P9" s="25" t="s">
        <v>3785</v>
      </c>
    </row>
    <row r="10" spans="1:16" ht="15.75" customHeight="1">
      <c r="A10" s="21" t="s">
        <v>203</v>
      </c>
      <c r="B10" s="22" t="s">
        <v>204</v>
      </c>
      <c r="C10" s="22">
        <v>2026</v>
      </c>
      <c r="D10" s="22" t="s">
        <v>206</v>
      </c>
      <c r="E10" s="22" t="s">
        <v>207</v>
      </c>
      <c r="F10" s="23" t="s">
        <v>3763</v>
      </c>
      <c r="G10" s="23" t="s">
        <v>3764</v>
      </c>
      <c r="H10" s="23" t="s">
        <v>3765</v>
      </c>
      <c r="I10" s="23" t="s">
        <v>3766</v>
      </c>
      <c r="J10" s="23" t="s">
        <v>2939</v>
      </c>
      <c r="K10" s="23"/>
      <c r="L10" s="23"/>
      <c r="M10" s="23" t="s">
        <v>3786</v>
      </c>
      <c r="N10" s="23" t="s">
        <v>3768</v>
      </c>
      <c r="O10" s="23" t="s">
        <v>2943</v>
      </c>
      <c r="P10" s="23" t="s">
        <v>3787</v>
      </c>
    </row>
    <row r="11" spans="1:16" ht="15.75" customHeight="1">
      <c r="A11" s="21" t="s">
        <v>211</v>
      </c>
      <c r="B11" s="24" t="s">
        <v>212</v>
      </c>
      <c r="C11" s="24">
        <v>2024</v>
      </c>
      <c r="D11" s="24" t="s">
        <v>214</v>
      </c>
      <c r="E11" s="24" t="s">
        <v>215</v>
      </c>
      <c r="F11" s="25" t="s">
        <v>3763</v>
      </c>
      <c r="G11" s="25" t="s">
        <v>3764</v>
      </c>
      <c r="H11" s="25" t="s">
        <v>3765</v>
      </c>
      <c r="I11" s="25" t="s">
        <v>3766</v>
      </c>
      <c r="J11" s="25" t="s">
        <v>2939</v>
      </c>
      <c r="K11" s="25"/>
      <c r="L11" s="25"/>
      <c r="M11" s="25" t="s">
        <v>3788</v>
      </c>
      <c r="N11" s="25" t="s">
        <v>3768</v>
      </c>
      <c r="O11" s="25" t="s">
        <v>2943</v>
      </c>
      <c r="P11" s="25" t="s">
        <v>3789</v>
      </c>
    </row>
    <row r="12" spans="1:16" ht="15.75" customHeight="1">
      <c r="A12" s="21" t="s">
        <v>228</v>
      </c>
      <c r="B12" s="22" t="s">
        <v>229</v>
      </c>
      <c r="C12" s="22">
        <v>2026</v>
      </c>
      <c r="D12" s="22" t="s">
        <v>231</v>
      </c>
      <c r="E12" s="22" t="s">
        <v>232</v>
      </c>
      <c r="F12" s="23" t="s">
        <v>3763</v>
      </c>
      <c r="G12" s="23" t="s">
        <v>3770</v>
      </c>
      <c r="H12" s="23" t="s">
        <v>3790</v>
      </c>
      <c r="I12" s="23" t="s">
        <v>3766</v>
      </c>
      <c r="J12" s="23" t="s">
        <v>2939</v>
      </c>
      <c r="K12" s="23"/>
      <c r="L12" s="23"/>
      <c r="M12" s="23" t="s">
        <v>3791</v>
      </c>
      <c r="N12" s="23" t="s">
        <v>3768</v>
      </c>
      <c r="O12" s="23" t="s">
        <v>2943</v>
      </c>
      <c r="P12" s="23" t="s">
        <v>3792</v>
      </c>
    </row>
    <row r="13" spans="1:16" ht="15.75" customHeight="1">
      <c r="A13" s="21" t="s">
        <v>236</v>
      </c>
      <c r="B13" s="24" t="s">
        <v>237</v>
      </c>
      <c r="C13" s="24">
        <v>2026</v>
      </c>
      <c r="D13" s="24" t="s">
        <v>239</v>
      </c>
      <c r="E13" s="24" t="s">
        <v>240</v>
      </c>
      <c r="F13" s="25" t="s">
        <v>3763</v>
      </c>
      <c r="G13" s="25" t="s">
        <v>3770</v>
      </c>
      <c r="H13" s="25" t="s">
        <v>3793</v>
      </c>
      <c r="I13" s="25" t="s">
        <v>3766</v>
      </c>
      <c r="J13" s="25" t="s">
        <v>2939</v>
      </c>
      <c r="K13" s="25"/>
      <c r="L13" s="25"/>
      <c r="M13" s="25" t="s">
        <v>3794</v>
      </c>
      <c r="N13" s="25" t="s">
        <v>3768</v>
      </c>
      <c r="O13" s="25" t="s">
        <v>2943</v>
      </c>
      <c r="P13" s="25" t="s">
        <v>3795</v>
      </c>
    </row>
    <row r="14" spans="1:16" ht="15.75" customHeight="1">
      <c r="A14" s="21" t="s">
        <v>244</v>
      </c>
      <c r="B14" s="22" t="s">
        <v>245</v>
      </c>
      <c r="C14" s="22">
        <v>2026</v>
      </c>
      <c r="D14" s="22" t="s">
        <v>247</v>
      </c>
      <c r="E14" s="22" t="s">
        <v>248</v>
      </c>
      <c r="F14" s="23" t="s">
        <v>3763</v>
      </c>
      <c r="G14" s="23" t="s">
        <v>3764</v>
      </c>
      <c r="H14" s="23" t="s">
        <v>3765</v>
      </c>
      <c r="I14" s="23" t="s">
        <v>3766</v>
      </c>
      <c r="J14" s="23" t="s">
        <v>2939</v>
      </c>
      <c r="K14" s="23"/>
      <c r="L14" s="23"/>
      <c r="M14" s="23" t="s">
        <v>3796</v>
      </c>
      <c r="N14" s="23" t="s">
        <v>3768</v>
      </c>
      <c r="O14" s="23" t="s">
        <v>2943</v>
      </c>
      <c r="P14" s="23" t="s">
        <v>3797</v>
      </c>
    </row>
    <row r="15" spans="1:16" ht="15.75" customHeight="1">
      <c r="A15" s="21" t="s">
        <v>252</v>
      </c>
      <c r="B15" s="24" t="s">
        <v>253</v>
      </c>
      <c r="C15" s="24">
        <v>2026</v>
      </c>
      <c r="D15" s="24" t="s">
        <v>255</v>
      </c>
      <c r="E15" s="24" t="s">
        <v>256</v>
      </c>
      <c r="F15" s="25" t="s">
        <v>3783</v>
      </c>
      <c r="G15" s="25"/>
      <c r="H15" s="25"/>
      <c r="I15" s="25"/>
      <c r="J15" s="25"/>
      <c r="K15" s="25"/>
      <c r="L15" s="25"/>
      <c r="M15" s="25"/>
      <c r="N15" s="25"/>
      <c r="O15" s="25"/>
      <c r="P15" s="25"/>
    </row>
    <row r="16" spans="1:16" ht="15.75" customHeight="1">
      <c r="A16" s="21" t="s">
        <v>260</v>
      </c>
      <c r="B16" s="22" t="s">
        <v>261</v>
      </c>
      <c r="C16" s="22">
        <v>2025</v>
      </c>
      <c r="D16" s="22" t="s">
        <v>144</v>
      </c>
      <c r="E16" s="22" t="s">
        <v>263</v>
      </c>
      <c r="F16" s="23" t="s">
        <v>3763</v>
      </c>
      <c r="G16" s="23" t="s">
        <v>3764</v>
      </c>
      <c r="H16" s="23" t="s">
        <v>3765</v>
      </c>
      <c r="I16" s="23" t="s">
        <v>3766</v>
      </c>
      <c r="J16" s="23" t="s">
        <v>2939</v>
      </c>
      <c r="K16" s="23"/>
      <c r="L16" s="23"/>
      <c r="M16" s="23" t="s">
        <v>3798</v>
      </c>
      <c r="N16" s="23" t="s">
        <v>3768</v>
      </c>
      <c r="O16" s="23" t="s">
        <v>2943</v>
      </c>
      <c r="P16" s="23" t="s">
        <v>3799</v>
      </c>
    </row>
    <row r="17" spans="1:16" ht="15.75" customHeight="1">
      <c r="A17" s="21" t="s">
        <v>266</v>
      </c>
      <c r="B17" s="24" t="s">
        <v>267</v>
      </c>
      <c r="C17" s="24">
        <v>2024</v>
      </c>
      <c r="D17" s="24" t="s">
        <v>269</v>
      </c>
      <c r="E17" s="24" t="s">
        <v>270</v>
      </c>
      <c r="F17" s="25" t="s">
        <v>3763</v>
      </c>
      <c r="G17" s="25" t="s">
        <v>3764</v>
      </c>
      <c r="H17" s="25" t="s">
        <v>3765</v>
      </c>
      <c r="I17" s="25" t="s">
        <v>3766</v>
      </c>
      <c r="J17" s="25" t="s">
        <v>2939</v>
      </c>
      <c r="K17" s="25"/>
      <c r="L17" s="25"/>
      <c r="M17" s="25" t="s">
        <v>3800</v>
      </c>
      <c r="N17" s="25" t="s">
        <v>3768</v>
      </c>
      <c r="O17" s="25" t="s">
        <v>2943</v>
      </c>
      <c r="P17" s="25" t="s">
        <v>3801</v>
      </c>
    </row>
    <row r="18" spans="1:16" ht="15.75" customHeight="1">
      <c r="A18" s="21" t="s">
        <v>274</v>
      </c>
      <c r="B18" s="22" t="s">
        <v>275</v>
      </c>
      <c r="C18" s="22">
        <v>2026</v>
      </c>
      <c r="D18" s="22" t="s">
        <v>277</v>
      </c>
      <c r="E18" s="22" t="s">
        <v>278</v>
      </c>
      <c r="F18" s="23" t="s">
        <v>3763</v>
      </c>
      <c r="G18" s="23" t="s">
        <v>3770</v>
      </c>
      <c r="H18" s="23" t="s">
        <v>3802</v>
      </c>
      <c r="I18" s="23" t="s">
        <v>3766</v>
      </c>
      <c r="J18" s="23" t="s">
        <v>2939</v>
      </c>
      <c r="K18" s="23"/>
      <c r="L18" s="23"/>
      <c r="M18" s="23" t="s">
        <v>3803</v>
      </c>
      <c r="N18" s="23" t="s">
        <v>3768</v>
      </c>
      <c r="O18" s="23" t="s">
        <v>2943</v>
      </c>
      <c r="P18" s="23" t="s">
        <v>3804</v>
      </c>
    </row>
    <row r="19" spans="1:16" ht="15.75" customHeight="1">
      <c r="A19" s="21" t="s">
        <v>282</v>
      </c>
      <c r="B19" s="24" t="s">
        <v>283</v>
      </c>
      <c r="C19" s="24">
        <v>2022</v>
      </c>
      <c r="D19" s="24" t="s">
        <v>285</v>
      </c>
      <c r="E19" s="24" t="s">
        <v>286</v>
      </c>
      <c r="F19" s="25" t="s">
        <v>3763</v>
      </c>
      <c r="G19" s="25" t="s">
        <v>3764</v>
      </c>
      <c r="H19" s="25" t="s">
        <v>3765</v>
      </c>
      <c r="I19" s="25" t="s">
        <v>3766</v>
      </c>
      <c r="J19" s="25" t="s">
        <v>2939</v>
      </c>
      <c r="K19" s="25"/>
      <c r="L19" s="25"/>
      <c r="M19" s="25" t="s">
        <v>3805</v>
      </c>
      <c r="N19" s="25" t="s">
        <v>3768</v>
      </c>
      <c r="O19" s="25" t="s">
        <v>2943</v>
      </c>
      <c r="P19" s="25"/>
    </row>
    <row r="20" spans="1:16" ht="15.75" customHeight="1">
      <c r="A20" s="21" t="s">
        <v>289</v>
      </c>
      <c r="B20" s="22" t="s">
        <v>290</v>
      </c>
      <c r="C20" s="22">
        <v>2026</v>
      </c>
      <c r="D20" s="22" t="s">
        <v>292</v>
      </c>
      <c r="E20" s="22" t="s">
        <v>293</v>
      </c>
      <c r="F20" s="23" t="s">
        <v>3763</v>
      </c>
      <c r="G20" s="23" t="s">
        <v>3764</v>
      </c>
      <c r="H20" s="23" t="s">
        <v>3765</v>
      </c>
      <c r="I20" s="23" t="s">
        <v>3766</v>
      </c>
      <c r="J20" s="23" t="s">
        <v>2939</v>
      </c>
      <c r="K20" s="23"/>
      <c r="L20" s="23"/>
      <c r="M20" s="23" t="s">
        <v>3806</v>
      </c>
      <c r="N20" s="23" t="s">
        <v>3768</v>
      </c>
      <c r="O20" s="23" t="s">
        <v>2943</v>
      </c>
      <c r="P20" s="23"/>
    </row>
    <row r="21" spans="1:16" ht="15.75" customHeight="1">
      <c r="A21" s="21" t="s">
        <v>306</v>
      </c>
      <c r="B21" s="24" t="s">
        <v>307</v>
      </c>
      <c r="C21" s="24">
        <v>2026</v>
      </c>
      <c r="D21" s="24" t="s">
        <v>309</v>
      </c>
      <c r="E21" s="24" t="s">
        <v>310</v>
      </c>
      <c r="F21" s="25" t="s">
        <v>3783</v>
      </c>
      <c r="G21" s="25"/>
      <c r="H21" s="25"/>
      <c r="I21" s="25"/>
      <c r="J21" s="25"/>
      <c r="K21" s="25"/>
      <c r="L21" s="25"/>
      <c r="M21" s="25"/>
      <c r="N21" s="25"/>
      <c r="O21" s="25"/>
      <c r="P21" s="25"/>
    </row>
    <row r="22" spans="1:16" ht="15.75" customHeight="1">
      <c r="A22" s="21" t="s">
        <v>314</v>
      </c>
      <c r="B22" s="22" t="s">
        <v>315</v>
      </c>
      <c r="C22" s="22">
        <v>2026</v>
      </c>
      <c r="D22" s="22" t="s">
        <v>317</v>
      </c>
      <c r="E22" s="22" t="s">
        <v>318</v>
      </c>
      <c r="F22" s="23" t="s">
        <v>3763</v>
      </c>
      <c r="G22" s="23" t="s">
        <v>3770</v>
      </c>
      <c r="H22" s="23" t="s">
        <v>3807</v>
      </c>
      <c r="I22" s="23" t="s">
        <v>3766</v>
      </c>
      <c r="J22" s="23" t="s">
        <v>2939</v>
      </c>
      <c r="K22" s="23"/>
      <c r="L22" s="23"/>
      <c r="M22" s="23" t="s">
        <v>3808</v>
      </c>
      <c r="N22" s="23" t="s">
        <v>3768</v>
      </c>
      <c r="O22" s="23" t="s">
        <v>2943</v>
      </c>
      <c r="P22" s="23" t="s">
        <v>3809</v>
      </c>
    </row>
    <row r="23" spans="1:16" ht="15.75" customHeight="1">
      <c r="A23" s="21" t="s">
        <v>338</v>
      </c>
      <c r="B23" s="24" t="s">
        <v>339</v>
      </c>
      <c r="C23" s="24">
        <v>2026</v>
      </c>
      <c r="D23" s="24" t="s">
        <v>239</v>
      </c>
      <c r="E23" s="24" t="s">
        <v>341</v>
      </c>
      <c r="F23" s="25" t="s">
        <v>3783</v>
      </c>
      <c r="G23" s="25"/>
      <c r="H23" s="25" t="s">
        <v>3810</v>
      </c>
      <c r="I23" s="25"/>
      <c r="J23" s="25"/>
      <c r="K23" s="25"/>
      <c r="L23" s="25"/>
      <c r="M23" s="25"/>
      <c r="N23" s="25"/>
      <c r="O23" s="25"/>
      <c r="P23" s="25"/>
    </row>
    <row r="24" spans="1:16" ht="15.75" customHeight="1">
      <c r="A24" s="21" t="s">
        <v>345</v>
      </c>
      <c r="B24" s="22" t="s">
        <v>346</v>
      </c>
      <c r="C24" s="22">
        <v>2025</v>
      </c>
      <c r="D24" s="22" t="s">
        <v>348</v>
      </c>
      <c r="E24" s="22" t="s">
        <v>349</v>
      </c>
      <c r="F24" s="23" t="s">
        <v>3763</v>
      </c>
      <c r="G24" s="23" t="s">
        <v>3764</v>
      </c>
      <c r="H24" s="23" t="s">
        <v>3765</v>
      </c>
      <c r="I24" s="23" t="s">
        <v>3766</v>
      </c>
      <c r="J24" s="23" t="s">
        <v>2939</v>
      </c>
      <c r="K24" s="23"/>
      <c r="L24" s="23"/>
      <c r="M24" s="23" t="s">
        <v>3811</v>
      </c>
      <c r="N24" s="23" t="s">
        <v>3768</v>
      </c>
      <c r="O24" s="23" t="s">
        <v>2943</v>
      </c>
      <c r="P24" s="23"/>
    </row>
    <row r="25" spans="1:16" ht="15.75" customHeight="1">
      <c r="A25" s="21" t="s">
        <v>353</v>
      </c>
      <c r="B25" s="22" t="s">
        <v>354</v>
      </c>
      <c r="C25" s="22">
        <v>2025</v>
      </c>
      <c r="D25" s="22" t="s">
        <v>356</v>
      </c>
      <c r="E25" s="22" t="s">
        <v>357</v>
      </c>
      <c r="F25" s="23" t="s">
        <v>3763</v>
      </c>
      <c r="G25" s="23" t="s">
        <v>3764</v>
      </c>
      <c r="H25" s="23" t="s">
        <v>3765</v>
      </c>
      <c r="I25" s="23" t="s">
        <v>3766</v>
      </c>
      <c r="J25" s="23" t="s">
        <v>2964</v>
      </c>
      <c r="K25" s="23" t="s">
        <v>361</v>
      </c>
      <c r="L25" s="23" t="s">
        <v>3812</v>
      </c>
      <c r="M25" s="23"/>
      <c r="N25" s="23" t="s">
        <v>3813</v>
      </c>
      <c r="O25" s="23" t="s">
        <v>2943</v>
      </c>
      <c r="P25" s="23" t="s">
        <v>3814</v>
      </c>
    </row>
    <row r="26" spans="1:16" ht="15.75" customHeight="1">
      <c r="A26" s="21" t="s">
        <v>362</v>
      </c>
      <c r="B26" s="24" t="s">
        <v>363</v>
      </c>
      <c r="C26" s="24">
        <v>2025</v>
      </c>
      <c r="D26" s="24" t="s">
        <v>365</v>
      </c>
      <c r="E26" s="24" t="s">
        <v>366</v>
      </c>
      <c r="F26" s="25" t="s">
        <v>3763</v>
      </c>
      <c r="G26" s="25" t="s">
        <v>3764</v>
      </c>
      <c r="H26" s="25" t="s">
        <v>3765</v>
      </c>
      <c r="I26" s="25" t="s">
        <v>3766</v>
      </c>
      <c r="J26" s="25" t="s">
        <v>2939</v>
      </c>
      <c r="K26" s="25"/>
      <c r="L26" s="25"/>
      <c r="M26" s="25" t="s">
        <v>3815</v>
      </c>
      <c r="N26" s="25" t="s">
        <v>3768</v>
      </c>
      <c r="O26" s="25" t="s">
        <v>2943</v>
      </c>
      <c r="P26" s="25"/>
    </row>
    <row r="27" spans="1:16" ht="15.75" customHeight="1">
      <c r="A27" s="21" t="s">
        <v>377</v>
      </c>
      <c r="B27" s="24" t="s">
        <v>378</v>
      </c>
      <c r="C27" s="24">
        <v>2026</v>
      </c>
      <c r="D27" s="24" t="s">
        <v>380</v>
      </c>
      <c r="E27" s="24" t="s">
        <v>381</v>
      </c>
      <c r="F27" s="25" t="s">
        <v>3763</v>
      </c>
      <c r="G27" s="25" t="s">
        <v>3764</v>
      </c>
      <c r="H27" s="25" t="s">
        <v>3765</v>
      </c>
      <c r="I27" s="25" t="s">
        <v>3766</v>
      </c>
      <c r="J27" s="25" t="s">
        <v>2939</v>
      </c>
      <c r="K27" s="25"/>
      <c r="L27" s="25"/>
      <c r="M27" s="25" t="s">
        <v>3816</v>
      </c>
      <c r="N27" s="25" t="s">
        <v>3768</v>
      </c>
      <c r="O27" s="25" t="s">
        <v>2943</v>
      </c>
      <c r="P27" s="25"/>
    </row>
    <row r="28" spans="1:16" ht="15.75" customHeight="1">
      <c r="A28" s="21" t="s">
        <v>385</v>
      </c>
      <c r="B28" s="22" t="s">
        <v>107</v>
      </c>
      <c r="C28" s="22">
        <v>2026</v>
      </c>
      <c r="D28" s="22" t="s">
        <v>292</v>
      </c>
      <c r="E28" s="22" t="s">
        <v>387</v>
      </c>
      <c r="F28" s="23" t="s">
        <v>3763</v>
      </c>
      <c r="G28" s="23" t="s">
        <v>3764</v>
      </c>
      <c r="H28" s="23" t="s">
        <v>3765</v>
      </c>
      <c r="I28" s="23" t="s">
        <v>3766</v>
      </c>
      <c r="J28" s="23" t="s">
        <v>2939</v>
      </c>
      <c r="K28" s="23"/>
      <c r="L28" s="23"/>
      <c r="M28" s="23" t="s">
        <v>3817</v>
      </c>
      <c r="N28" s="23" t="s">
        <v>3768</v>
      </c>
      <c r="O28" s="23" t="s">
        <v>2943</v>
      </c>
      <c r="P28" s="23"/>
    </row>
    <row r="29" spans="1:16" ht="15.75" customHeight="1">
      <c r="A29" s="21" t="s">
        <v>398</v>
      </c>
      <c r="B29" s="24" t="s">
        <v>399</v>
      </c>
      <c r="C29" s="24">
        <v>2026</v>
      </c>
      <c r="D29" s="24" t="s">
        <v>198</v>
      </c>
      <c r="E29" s="24" t="s">
        <v>401</v>
      </c>
      <c r="F29" s="25" t="s">
        <v>3763</v>
      </c>
      <c r="G29" s="25" t="s">
        <v>3764</v>
      </c>
      <c r="H29" s="25" t="s">
        <v>3765</v>
      </c>
      <c r="I29" s="25" t="s">
        <v>3766</v>
      </c>
      <c r="J29" s="25" t="s">
        <v>2939</v>
      </c>
      <c r="K29" s="25"/>
      <c r="L29" s="25"/>
      <c r="M29" s="25" t="s">
        <v>3818</v>
      </c>
      <c r="N29" s="25" t="s">
        <v>3768</v>
      </c>
      <c r="O29" s="25" t="s">
        <v>2943</v>
      </c>
      <c r="P29" s="25"/>
    </row>
    <row r="30" spans="1:16" ht="15.75" customHeight="1">
      <c r="A30" s="21" t="s">
        <v>405</v>
      </c>
      <c r="B30" s="22" t="s">
        <v>406</v>
      </c>
      <c r="C30" s="22">
        <v>2024</v>
      </c>
      <c r="D30" s="22" t="s">
        <v>269</v>
      </c>
      <c r="E30" s="22" t="s">
        <v>408</v>
      </c>
      <c r="F30" s="23" t="s">
        <v>3763</v>
      </c>
      <c r="G30" s="23" t="s">
        <v>3764</v>
      </c>
      <c r="H30" s="23" t="s">
        <v>3765</v>
      </c>
      <c r="I30" s="23" t="s">
        <v>3766</v>
      </c>
      <c r="J30" s="23" t="s">
        <v>2939</v>
      </c>
      <c r="K30" s="23"/>
      <c r="L30" s="23"/>
      <c r="M30" s="23" t="s">
        <v>3819</v>
      </c>
      <c r="N30" s="23" t="s">
        <v>3768</v>
      </c>
      <c r="O30" s="23" t="s">
        <v>2943</v>
      </c>
      <c r="P30" s="23"/>
    </row>
    <row r="31" spans="1:16" ht="15.75" customHeight="1">
      <c r="A31" s="21" t="s">
        <v>419</v>
      </c>
      <c r="B31" s="24" t="s">
        <v>420</v>
      </c>
      <c r="C31" s="24">
        <v>2024</v>
      </c>
      <c r="D31" s="24" t="s">
        <v>422</v>
      </c>
      <c r="E31" s="24" t="s">
        <v>423</v>
      </c>
      <c r="F31" s="25" t="s">
        <v>3763</v>
      </c>
      <c r="G31" s="25" t="s">
        <v>3764</v>
      </c>
      <c r="H31" s="25" t="s">
        <v>3765</v>
      </c>
      <c r="I31" s="25" t="s">
        <v>3766</v>
      </c>
      <c r="J31" s="25" t="s">
        <v>2939</v>
      </c>
      <c r="K31" s="25"/>
      <c r="L31" s="25"/>
      <c r="M31" s="25" t="s">
        <v>3820</v>
      </c>
      <c r="N31" s="25" t="s">
        <v>3768</v>
      </c>
      <c r="O31" s="25" t="s">
        <v>2943</v>
      </c>
      <c r="P31" s="25"/>
    </row>
    <row r="32" spans="1:16" ht="15.75" customHeight="1">
      <c r="A32" s="21" t="s">
        <v>435</v>
      </c>
      <c r="B32" s="22" t="s">
        <v>436</v>
      </c>
      <c r="C32" s="22">
        <v>2024</v>
      </c>
      <c r="D32" s="22" t="s">
        <v>438</v>
      </c>
      <c r="E32" s="22" t="s">
        <v>439</v>
      </c>
      <c r="F32" s="23" t="s">
        <v>3763</v>
      </c>
      <c r="G32" s="23" t="s">
        <v>3770</v>
      </c>
      <c r="H32" s="23" t="s">
        <v>3821</v>
      </c>
      <c r="I32" s="23" t="s">
        <v>3766</v>
      </c>
      <c r="J32" s="23" t="s">
        <v>2939</v>
      </c>
      <c r="K32" s="23"/>
      <c r="L32" s="23"/>
      <c r="M32" s="23" t="s">
        <v>3822</v>
      </c>
      <c r="N32" s="23" t="s">
        <v>3768</v>
      </c>
      <c r="O32" s="23" t="s">
        <v>2943</v>
      </c>
      <c r="P32" s="23" t="s">
        <v>3823</v>
      </c>
    </row>
    <row r="33" spans="1:16" ht="15.75" customHeight="1">
      <c r="A33" s="21" t="s">
        <v>443</v>
      </c>
      <c r="B33" s="24" t="s">
        <v>444</v>
      </c>
      <c r="C33" s="24">
        <v>2026</v>
      </c>
      <c r="D33" s="24" t="s">
        <v>415</v>
      </c>
      <c r="E33" s="24" t="s">
        <v>446</v>
      </c>
      <c r="F33" s="25" t="s">
        <v>3763</v>
      </c>
      <c r="G33" s="25" t="s">
        <v>3770</v>
      </c>
      <c r="H33" s="25" t="s">
        <v>3824</v>
      </c>
      <c r="I33" s="25" t="s">
        <v>3766</v>
      </c>
      <c r="J33" s="25" t="s">
        <v>2939</v>
      </c>
      <c r="K33" s="25"/>
      <c r="L33" s="25"/>
      <c r="M33" s="25" t="s">
        <v>3825</v>
      </c>
      <c r="N33" s="25" t="s">
        <v>3768</v>
      </c>
      <c r="O33" s="25" t="s">
        <v>2943</v>
      </c>
      <c r="P33" s="25" t="s">
        <v>3826</v>
      </c>
    </row>
    <row r="34" spans="1:16" ht="15.75" customHeight="1">
      <c r="A34" s="21" t="s">
        <v>450</v>
      </c>
      <c r="B34" s="22" t="s">
        <v>451</v>
      </c>
      <c r="C34" s="22">
        <v>2026</v>
      </c>
      <c r="D34" s="22" t="s">
        <v>453</v>
      </c>
      <c r="E34" s="22" t="s">
        <v>454</v>
      </c>
      <c r="F34" s="23" t="s">
        <v>3763</v>
      </c>
      <c r="G34" s="23" t="s">
        <v>3770</v>
      </c>
      <c r="H34" s="23" t="s">
        <v>3827</v>
      </c>
      <c r="I34" s="23" t="s">
        <v>3766</v>
      </c>
      <c r="J34" s="23" t="s">
        <v>2939</v>
      </c>
      <c r="K34" s="23"/>
      <c r="L34" s="23"/>
      <c r="M34" s="23" t="s">
        <v>3828</v>
      </c>
      <c r="N34" s="23" t="s">
        <v>3768</v>
      </c>
      <c r="O34" s="23" t="s">
        <v>2943</v>
      </c>
      <c r="P34" s="23" t="s">
        <v>3829</v>
      </c>
    </row>
    <row r="35" spans="1:16" ht="15.75" customHeight="1">
      <c r="A35" s="21" t="s">
        <v>466</v>
      </c>
      <c r="B35" s="24" t="s">
        <v>467</v>
      </c>
      <c r="C35" s="24">
        <v>2023</v>
      </c>
      <c r="D35" s="24" t="s">
        <v>255</v>
      </c>
      <c r="E35" s="24" t="s">
        <v>469</v>
      </c>
      <c r="F35" s="25" t="s">
        <v>3783</v>
      </c>
      <c r="G35" s="25"/>
      <c r="H35" s="25"/>
      <c r="I35" s="25"/>
      <c r="J35" s="25"/>
      <c r="K35" s="25"/>
      <c r="L35" s="25"/>
      <c r="M35" s="25"/>
      <c r="N35" s="25"/>
      <c r="O35" s="25"/>
      <c r="P35" s="25"/>
    </row>
    <row r="36" spans="1:16" ht="15.75" customHeight="1">
      <c r="A36" s="21" t="s">
        <v>482</v>
      </c>
      <c r="B36" s="22" t="s">
        <v>483</v>
      </c>
      <c r="C36" s="22">
        <v>2026</v>
      </c>
      <c r="D36" s="22" t="s">
        <v>485</v>
      </c>
      <c r="E36" s="22" t="s">
        <v>486</v>
      </c>
      <c r="F36" s="23" t="s">
        <v>3763</v>
      </c>
      <c r="G36" s="23" t="s">
        <v>3764</v>
      </c>
      <c r="H36" s="23" t="s">
        <v>3765</v>
      </c>
      <c r="I36" s="23" t="s">
        <v>3766</v>
      </c>
      <c r="J36" s="23" t="s">
        <v>2939</v>
      </c>
      <c r="K36" s="23"/>
      <c r="L36" s="23"/>
      <c r="M36" s="23" t="s">
        <v>3830</v>
      </c>
      <c r="N36" s="23" t="s">
        <v>3768</v>
      </c>
      <c r="O36" s="23" t="s">
        <v>2943</v>
      </c>
      <c r="P36" s="23" t="s">
        <v>3831</v>
      </c>
    </row>
    <row r="37" spans="1:16" ht="15.75" customHeight="1">
      <c r="A37" s="21" t="s">
        <v>490</v>
      </c>
      <c r="B37" s="24" t="s">
        <v>491</v>
      </c>
      <c r="C37" s="24">
        <v>2025</v>
      </c>
      <c r="D37" s="24" t="s">
        <v>493</v>
      </c>
      <c r="E37" s="24" t="s">
        <v>494</v>
      </c>
      <c r="F37" s="25" t="s">
        <v>3763</v>
      </c>
      <c r="G37" s="25" t="s">
        <v>3764</v>
      </c>
      <c r="H37" s="25" t="s">
        <v>3765</v>
      </c>
      <c r="I37" s="25" t="s">
        <v>3766</v>
      </c>
      <c r="J37" s="25" t="s">
        <v>2939</v>
      </c>
      <c r="K37" s="25"/>
      <c r="L37" s="25"/>
      <c r="M37" s="25" t="s">
        <v>3832</v>
      </c>
      <c r="N37" s="25" t="s">
        <v>3768</v>
      </c>
      <c r="O37" s="25" t="s">
        <v>2943</v>
      </c>
      <c r="P37" s="25" t="s">
        <v>3833</v>
      </c>
    </row>
    <row r="38" spans="1:16" ht="15.75" customHeight="1">
      <c r="A38" s="21" t="s">
        <v>498</v>
      </c>
      <c r="B38" s="22" t="s">
        <v>499</v>
      </c>
      <c r="C38" s="22">
        <v>2024</v>
      </c>
      <c r="D38" s="22" t="s">
        <v>501</v>
      </c>
      <c r="E38" s="22" t="s">
        <v>502</v>
      </c>
      <c r="F38" s="23" t="s">
        <v>3763</v>
      </c>
      <c r="G38" s="23" t="s">
        <v>3764</v>
      </c>
      <c r="H38" s="23" t="s">
        <v>3765</v>
      </c>
      <c r="I38" s="23" t="s">
        <v>3766</v>
      </c>
      <c r="J38" s="23" t="s">
        <v>2939</v>
      </c>
      <c r="K38" s="23"/>
      <c r="L38" s="23"/>
      <c r="M38" s="23" t="s">
        <v>3834</v>
      </c>
      <c r="N38" s="23" t="s">
        <v>3768</v>
      </c>
      <c r="O38" s="23" t="s">
        <v>2943</v>
      </c>
      <c r="P38" s="23" t="s">
        <v>3835</v>
      </c>
    </row>
    <row r="39" spans="1:16" ht="15.75" customHeight="1">
      <c r="A39" s="21" t="s">
        <v>531</v>
      </c>
      <c r="B39" s="24" t="s">
        <v>532</v>
      </c>
      <c r="C39" s="24">
        <v>2021</v>
      </c>
      <c r="D39" s="24" t="s">
        <v>534</v>
      </c>
      <c r="E39" s="24" t="s">
        <v>535</v>
      </c>
      <c r="F39" s="25" t="s">
        <v>3763</v>
      </c>
      <c r="G39" s="25" t="s">
        <v>3764</v>
      </c>
      <c r="H39" s="25" t="s">
        <v>3765</v>
      </c>
      <c r="I39" s="25" t="s">
        <v>3766</v>
      </c>
      <c r="J39" s="25" t="s">
        <v>2939</v>
      </c>
      <c r="K39" s="25"/>
      <c r="L39" s="25"/>
      <c r="M39" s="25" t="s">
        <v>3836</v>
      </c>
      <c r="N39" s="25" t="s">
        <v>3768</v>
      </c>
      <c r="O39" s="25" t="s">
        <v>2943</v>
      </c>
      <c r="P39" s="25" t="s">
        <v>3837</v>
      </c>
    </row>
    <row r="40" spans="1:16" ht="15.75" customHeight="1">
      <c r="A40" s="21" t="s">
        <v>538</v>
      </c>
      <c r="B40" s="22" t="s">
        <v>539</v>
      </c>
      <c r="C40" s="22">
        <v>2025</v>
      </c>
      <c r="D40" s="22" t="s">
        <v>540</v>
      </c>
      <c r="E40" s="22" t="s">
        <v>541</v>
      </c>
      <c r="F40" s="23" t="s">
        <v>3763</v>
      </c>
      <c r="G40" s="23" t="s">
        <v>3770</v>
      </c>
      <c r="H40" s="23" t="s">
        <v>3838</v>
      </c>
      <c r="I40" s="23" t="s">
        <v>3766</v>
      </c>
      <c r="J40" s="23" t="s">
        <v>2939</v>
      </c>
      <c r="K40" s="23"/>
      <c r="L40" s="23"/>
      <c r="M40" s="23" t="s">
        <v>3839</v>
      </c>
      <c r="N40" s="23" t="s">
        <v>3768</v>
      </c>
      <c r="O40" s="23" t="s">
        <v>2943</v>
      </c>
      <c r="P40" s="23" t="s">
        <v>3840</v>
      </c>
    </row>
    <row r="41" spans="1:16" ht="15.75" customHeight="1">
      <c r="A41" s="21" t="s">
        <v>545</v>
      </c>
      <c r="B41" s="24" t="s">
        <v>546</v>
      </c>
      <c r="C41" s="24">
        <v>2025</v>
      </c>
      <c r="D41" s="24" t="s">
        <v>438</v>
      </c>
      <c r="E41" s="24" t="s">
        <v>548</v>
      </c>
      <c r="F41" s="25" t="s">
        <v>3763</v>
      </c>
      <c r="G41" s="25" t="s">
        <v>3764</v>
      </c>
      <c r="H41" s="25" t="s">
        <v>3765</v>
      </c>
      <c r="I41" s="25" t="s">
        <v>3766</v>
      </c>
      <c r="J41" s="25" t="s">
        <v>2939</v>
      </c>
      <c r="K41" s="25"/>
      <c r="L41" s="25"/>
      <c r="M41" s="25" t="s">
        <v>3841</v>
      </c>
      <c r="N41" s="25" t="s">
        <v>3768</v>
      </c>
      <c r="O41" s="25" t="s">
        <v>2943</v>
      </c>
      <c r="P41" s="25" t="s">
        <v>3842</v>
      </c>
    </row>
    <row r="42" spans="1:16" ht="15.75" customHeight="1">
      <c r="A42" s="21" t="s">
        <v>552</v>
      </c>
      <c r="B42" s="22" t="s">
        <v>553</v>
      </c>
      <c r="C42" s="22">
        <v>2025</v>
      </c>
      <c r="D42" s="22" t="s">
        <v>555</v>
      </c>
      <c r="E42" s="22" t="s">
        <v>556</v>
      </c>
      <c r="F42" s="23" t="s">
        <v>3783</v>
      </c>
      <c r="G42" s="23"/>
      <c r="H42" s="23"/>
      <c r="I42" s="23"/>
      <c r="J42" s="23"/>
      <c r="K42" s="23"/>
      <c r="L42" s="23"/>
      <c r="M42" s="23"/>
      <c r="N42" s="23"/>
      <c r="O42" s="23"/>
      <c r="P42" s="23"/>
    </row>
    <row r="43" spans="1:16" ht="15.75" customHeight="1">
      <c r="A43" s="21" t="s">
        <v>560</v>
      </c>
      <c r="B43" s="24" t="s">
        <v>561</v>
      </c>
      <c r="C43" s="24">
        <v>2026</v>
      </c>
      <c r="D43" s="24" t="s">
        <v>3059</v>
      </c>
      <c r="E43" s="24" t="s">
        <v>563</v>
      </c>
      <c r="F43" s="25" t="s">
        <v>3763</v>
      </c>
      <c r="G43" s="25" t="s">
        <v>3764</v>
      </c>
      <c r="H43" s="25" t="s">
        <v>3765</v>
      </c>
      <c r="I43" s="25" t="s">
        <v>3766</v>
      </c>
      <c r="J43" s="25" t="s">
        <v>2939</v>
      </c>
      <c r="K43" s="25"/>
      <c r="L43" s="25"/>
      <c r="M43" s="25" t="s">
        <v>3843</v>
      </c>
      <c r="N43" s="25" t="s">
        <v>3768</v>
      </c>
      <c r="O43" s="25" t="s">
        <v>2943</v>
      </c>
      <c r="P43" s="25" t="s">
        <v>3844</v>
      </c>
    </row>
    <row r="44" spans="1:16" ht="15.75" customHeight="1">
      <c r="A44" s="21" t="s">
        <v>567</v>
      </c>
      <c r="B44" s="22" t="s">
        <v>568</v>
      </c>
      <c r="C44" s="22">
        <v>2026</v>
      </c>
      <c r="D44" s="22" t="s">
        <v>570</v>
      </c>
      <c r="E44" s="22" t="s">
        <v>571</v>
      </c>
      <c r="F44" s="23" t="s">
        <v>3763</v>
      </c>
      <c r="G44" s="23" t="s">
        <v>3770</v>
      </c>
      <c r="H44" s="23" t="s">
        <v>3845</v>
      </c>
      <c r="I44" s="23" t="s">
        <v>3766</v>
      </c>
      <c r="J44" s="23" t="s">
        <v>2939</v>
      </c>
      <c r="K44" s="23"/>
      <c r="L44" s="23"/>
      <c r="M44" s="23" t="s">
        <v>3846</v>
      </c>
      <c r="N44" s="23" t="s">
        <v>3768</v>
      </c>
      <c r="O44" s="23" t="s">
        <v>2943</v>
      </c>
      <c r="P44" s="23" t="s">
        <v>3847</v>
      </c>
    </row>
    <row r="45" spans="1:16" ht="15.75" customHeight="1">
      <c r="A45" s="21" t="s">
        <v>583</v>
      </c>
      <c r="B45" s="24" t="s">
        <v>584</v>
      </c>
      <c r="C45" s="24">
        <v>2026</v>
      </c>
      <c r="D45" s="24" t="s">
        <v>540</v>
      </c>
      <c r="E45" s="24" t="s">
        <v>586</v>
      </c>
      <c r="F45" s="25" t="s">
        <v>3763</v>
      </c>
      <c r="G45" s="25" t="s">
        <v>3770</v>
      </c>
      <c r="H45" s="25" t="s">
        <v>3848</v>
      </c>
      <c r="I45" s="25" t="s">
        <v>3766</v>
      </c>
      <c r="J45" s="25" t="s">
        <v>2939</v>
      </c>
      <c r="K45" s="25"/>
      <c r="L45" s="25"/>
      <c r="M45" s="25" t="s">
        <v>3849</v>
      </c>
      <c r="N45" s="25" t="s">
        <v>3768</v>
      </c>
      <c r="O45" s="25" t="s">
        <v>2943</v>
      </c>
      <c r="P45" s="25" t="s">
        <v>3850</v>
      </c>
    </row>
    <row r="46" spans="1:16" ht="15.75" customHeight="1">
      <c r="A46" s="21" t="s">
        <v>590</v>
      </c>
      <c r="B46" s="22" t="s">
        <v>591</v>
      </c>
      <c r="C46" s="22">
        <v>2025</v>
      </c>
      <c r="D46" s="22" t="s">
        <v>593</v>
      </c>
      <c r="E46" s="22" t="s">
        <v>594</v>
      </c>
      <c r="F46" s="23" t="s">
        <v>3783</v>
      </c>
      <c r="G46" s="23"/>
      <c r="H46" s="23"/>
      <c r="I46" s="23"/>
      <c r="J46" s="23"/>
      <c r="K46" s="23"/>
      <c r="L46" s="23"/>
      <c r="M46" s="23"/>
      <c r="N46" s="23"/>
      <c r="O46" s="23"/>
      <c r="P46" s="23"/>
    </row>
    <row r="47" spans="1:16" ht="15.75" customHeight="1">
      <c r="A47" s="21" t="s">
        <v>598</v>
      </c>
      <c r="B47" s="24" t="s">
        <v>599</v>
      </c>
      <c r="C47" s="24">
        <v>2026</v>
      </c>
      <c r="D47" s="24" t="s">
        <v>231</v>
      </c>
      <c r="E47" s="24" t="s">
        <v>601</v>
      </c>
      <c r="F47" s="25" t="s">
        <v>3783</v>
      </c>
      <c r="G47" s="25"/>
      <c r="H47" s="25"/>
      <c r="I47" s="25"/>
      <c r="J47" s="25"/>
      <c r="K47" s="25"/>
      <c r="L47" s="25"/>
      <c r="M47" s="25"/>
      <c r="N47" s="25"/>
      <c r="O47" s="25"/>
      <c r="P47" s="25"/>
    </row>
    <row r="48" spans="1:16" ht="15.75" customHeight="1">
      <c r="A48" s="21" t="s">
        <v>605</v>
      </c>
      <c r="B48" s="22" t="s">
        <v>606</v>
      </c>
      <c r="C48" s="22">
        <v>2026</v>
      </c>
      <c r="D48" s="22" t="s">
        <v>255</v>
      </c>
      <c r="E48" s="22" t="s">
        <v>608</v>
      </c>
      <c r="F48" s="23" t="s">
        <v>3763</v>
      </c>
      <c r="G48" s="23" t="s">
        <v>3851</v>
      </c>
      <c r="H48" s="23" t="s">
        <v>3852</v>
      </c>
      <c r="I48" s="23" t="s">
        <v>3766</v>
      </c>
      <c r="J48" s="23" t="s">
        <v>2964</v>
      </c>
      <c r="K48" s="23" t="s">
        <v>612</v>
      </c>
      <c r="L48" s="23" t="s">
        <v>3853</v>
      </c>
      <c r="M48" s="23" t="s">
        <v>3854</v>
      </c>
      <c r="N48" s="23" t="s">
        <v>3813</v>
      </c>
      <c r="O48" s="23" t="s">
        <v>2943</v>
      </c>
      <c r="P48" s="23" t="s">
        <v>3855</v>
      </c>
    </row>
    <row r="49" spans="1:16" ht="15.75" customHeight="1">
      <c r="A49" s="21" t="s">
        <v>613</v>
      </c>
      <c r="B49" s="24" t="s">
        <v>614</v>
      </c>
      <c r="C49" s="24">
        <v>2024</v>
      </c>
      <c r="D49" s="24" t="s">
        <v>438</v>
      </c>
      <c r="E49" s="24" t="s">
        <v>616</v>
      </c>
      <c r="F49" s="25" t="s">
        <v>3763</v>
      </c>
      <c r="G49" s="25" t="s">
        <v>3770</v>
      </c>
      <c r="H49" s="25" t="s">
        <v>3856</v>
      </c>
      <c r="I49" s="25" t="s">
        <v>3766</v>
      </c>
      <c r="J49" s="25" t="s">
        <v>2939</v>
      </c>
      <c r="K49" s="25"/>
      <c r="L49" s="25"/>
      <c r="M49" s="25" t="s">
        <v>3857</v>
      </c>
      <c r="N49" s="25" t="s">
        <v>3768</v>
      </c>
      <c r="O49" s="25" t="s">
        <v>2943</v>
      </c>
      <c r="P49" s="25" t="s">
        <v>3858</v>
      </c>
    </row>
    <row r="50" spans="1:16" ht="15.75" customHeight="1">
      <c r="A50" s="21" t="s">
        <v>620</v>
      </c>
      <c r="B50" s="22" t="s">
        <v>621</v>
      </c>
      <c r="C50" s="22">
        <v>2026</v>
      </c>
      <c r="D50" s="22" t="s">
        <v>623</v>
      </c>
      <c r="E50" s="22" t="s">
        <v>624</v>
      </c>
      <c r="F50" s="23" t="s">
        <v>3763</v>
      </c>
      <c r="G50" s="23" t="s">
        <v>3764</v>
      </c>
      <c r="H50" s="23" t="s">
        <v>3765</v>
      </c>
      <c r="I50" s="23" t="s">
        <v>3766</v>
      </c>
      <c r="J50" s="23" t="s">
        <v>2939</v>
      </c>
      <c r="K50" s="23"/>
      <c r="L50" s="23"/>
      <c r="M50" s="23" t="s">
        <v>3859</v>
      </c>
      <c r="N50" s="23" t="s">
        <v>3768</v>
      </c>
      <c r="O50" s="23" t="s">
        <v>2943</v>
      </c>
      <c r="P50" s="23" t="s">
        <v>3860</v>
      </c>
    </row>
    <row r="51" spans="1:16" ht="15.75" customHeight="1">
      <c r="A51" s="21" t="s">
        <v>627</v>
      </c>
      <c r="B51" s="24" t="s">
        <v>628</v>
      </c>
      <c r="C51" s="24">
        <v>2025</v>
      </c>
      <c r="D51" s="24" t="s">
        <v>356</v>
      </c>
      <c r="E51" s="24" t="s">
        <v>630</v>
      </c>
      <c r="F51" s="25" t="s">
        <v>3763</v>
      </c>
      <c r="G51" s="25" t="s">
        <v>3764</v>
      </c>
      <c r="H51" s="25" t="s">
        <v>3765</v>
      </c>
      <c r="I51" s="25" t="s">
        <v>3766</v>
      </c>
      <c r="J51" s="25" t="s">
        <v>2939</v>
      </c>
      <c r="K51" s="25"/>
      <c r="L51" s="25"/>
      <c r="M51" s="25" t="s">
        <v>3861</v>
      </c>
      <c r="N51" s="25" t="s">
        <v>3768</v>
      </c>
      <c r="O51" s="25" t="s">
        <v>2943</v>
      </c>
      <c r="P51" s="25" t="s">
        <v>3862</v>
      </c>
    </row>
    <row r="52" spans="1:16" ht="15.75" customHeight="1">
      <c r="A52" s="21" t="s">
        <v>633</v>
      </c>
      <c r="B52" s="22" t="s">
        <v>634</v>
      </c>
      <c r="C52" s="22">
        <v>2026</v>
      </c>
      <c r="D52" s="22" t="s">
        <v>636</v>
      </c>
      <c r="E52" s="22" t="s">
        <v>637</v>
      </c>
      <c r="F52" s="23" t="s">
        <v>3763</v>
      </c>
      <c r="G52" s="23" t="s">
        <v>3764</v>
      </c>
      <c r="H52" s="23" t="s">
        <v>3765</v>
      </c>
      <c r="I52" s="23" t="s">
        <v>3766</v>
      </c>
      <c r="J52" s="23" t="s">
        <v>2939</v>
      </c>
      <c r="K52" s="23"/>
      <c r="L52" s="23"/>
      <c r="M52" s="23" t="s">
        <v>3863</v>
      </c>
      <c r="N52" s="23" t="s">
        <v>3768</v>
      </c>
      <c r="O52" s="23" t="s">
        <v>2943</v>
      </c>
      <c r="P52" s="23" t="s">
        <v>3864</v>
      </c>
    </row>
    <row r="53" spans="1:16" ht="15.75" customHeight="1">
      <c r="A53" s="21" t="s">
        <v>641</v>
      </c>
      <c r="B53" s="24" t="s">
        <v>642</v>
      </c>
      <c r="C53" s="24">
        <v>2025</v>
      </c>
      <c r="D53" s="24" t="s">
        <v>644</v>
      </c>
      <c r="E53" s="24" t="s">
        <v>645</v>
      </c>
      <c r="F53" s="25" t="s">
        <v>3763</v>
      </c>
      <c r="G53" s="25" t="s">
        <v>3764</v>
      </c>
      <c r="H53" s="25" t="s">
        <v>3765</v>
      </c>
      <c r="I53" s="25" t="s">
        <v>3766</v>
      </c>
      <c r="J53" s="25" t="s">
        <v>2939</v>
      </c>
      <c r="K53" s="25"/>
      <c r="L53" s="25"/>
      <c r="M53" s="25" t="s">
        <v>3865</v>
      </c>
      <c r="N53" s="25" t="s">
        <v>3768</v>
      </c>
      <c r="O53" s="25" t="s">
        <v>2943</v>
      </c>
      <c r="P53" s="25" t="s">
        <v>3866</v>
      </c>
    </row>
    <row r="54" spans="1:16" ht="15.75" customHeight="1">
      <c r="A54" s="21" t="s">
        <v>649</v>
      </c>
      <c r="B54" s="22" t="s">
        <v>650</v>
      </c>
      <c r="C54" s="22">
        <v>2026</v>
      </c>
      <c r="D54" s="22" t="s">
        <v>623</v>
      </c>
      <c r="E54" s="22" t="s">
        <v>652</v>
      </c>
      <c r="F54" s="23" t="s">
        <v>3763</v>
      </c>
      <c r="G54" s="23" t="s">
        <v>3764</v>
      </c>
      <c r="H54" s="23" t="s">
        <v>3765</v>
      </c>
      <c r="I54" s="23" t="s">
        <v>3766</v>
      </c>
      <c r="J54" s="23" t="s">
        <v>2939</v>
      </c>
      <c r="K54" s="23"/>
      <c r="L54" s="23"/>
      <c r="M54" s="23" t="s">
        <v>3867</v>
      </c>
      <c r="N54" s="23" t="s">
        <v>3768</v>
      </c>
      <c r="O54" s="23" t="s">
        <v>2943</v>
      </c>
      <c r="P54" s="23" t="s">
        <v>3868</v>
      </c>
    </row>
    <row r="55" spans="1:16" ht="15.75" customHeight="1">
      <c r="A55" s="21" t="s">
        <v>663</v>
      </c>
      <c r="B55" s="24" t="s">
        <v>664</v>
      </c>
      <c r="C55" s="24">
        <v>2025</v>
      </c>
      <c r="D55" s="24" t="s">
        <v>438</v>
      </c>
      <c r="E55" s="24" t="s">
        <v>666</v>
      </c>
      <c r="F55" s="25" t="s">
        <v>3763</v>
      </c>
      <c r="G55" s="25" t="s">
        <v>3770</v>
      </c>
      <c r="H55" s="25" t="s">
        <v>3869</v>
      </c>
      <c r="I55" s="25" t="s">
        <v>3766</v>
      </c>
      <c r="J55" s="25" t="s">
        <v>2939</v>
      </c>
      <c r="K55" s="25"/>
      <c r="L55" s="25"/>
      <c r="M55" s="25" t="s">
        <v>3870</v>
      </c>
      <c r="N55" s="25" t="s">
        <v>3768</v>
      </c>
      <c r="O55" s="25" t="s">
        <v>2943</v>
      </c>
      <c r="P55" s="25" t="s">
        <v>3871</v>
      </c>
    </row>
    <row r="56" spans="1:16" ht="15.75" customHeight="1">
      <c r="A56" s="21" t="s">
        <v>670</v>
      </c>
      <c r="B56" s="22" t="s">
        <v>671</v>
      </c>
      <c r="C56" s="22">
        <v>2024</v>
      </c>
      <c r="D56" s="22" t="s">
        <v>673</v>
      </c>
      <c r="E56" s="22" t="s">
        <v>674</v>
      </c>
      <c r="F56" s="23" t="s">
        <v>3763</v>
      </c>
      <c r="G56" s="23" t="s">
        <v>3764</v>
      </c>
      <c r="H56" s="23" t="s">
        <v>3765</v>
      </c>
      <c r="I56" s="23" t="s">
        <v>3766</v>
      </c>
      <c r="J56" s="23" t="s">
        <v>2939</v>
      </c>
      <c r="K56" s="23"/>
      <c r="L56" s="23"/>
      <c r="M56" s="23" t="s">
        <v>3872</v>
      </c>
      <c r="N56" s="23" t="s">
        <v>3768</v>
      </c>
      <c r="O56" s="23" t="s">
        <v>2943</v>
      </c>
      <c r="P56" s="23" t="s">
        <v>3873</v>
      </c>
    </row>
    <row r="57" spans="1:16" ht="15.75" customHeight="1">
      <c r="A57" s="21" t="s">
        <v>678</v>
      </c>
      <c r="B57" s="24" t="s">
        <v>679</v>
      </c>
      <c r="C57" s="24">
        <v>2024</v>
      </c>
      <c r="D57" s="24" t="s">
        <v>269</v>
      </c>
      <c r="E57" s="24" t="s">
        <v>680</v>
      </c>
      <c r="F57" s="25" t="s">
        <v>3763</v>
      </c>
      <c r="G57" s="25" t="s">
        <v>3764</v>
      </c>
      <c r="H57" s="25" t="s">
        <v>3765</v>
      </c>
      <c r="I57" s="25" t="s">
        <v>3766</v>
      </c>
      <c r="J57" s="25" t="s">
        <v>2939</v>
      </c>
      <c r="K57" s="25"/>
      <c r="L57" s="25"/>
      <c r="M57" s="25" t="s">
        <v>3874</v>
      </c>
      <c r="N57" s="25" t="s">
        <v>3768</v>
      </c>
      <c r="O57" s="25" t="s">
        <v>2943</v>
      </c>
      <c r="P57" s="25" t="s">
        <v>3875</v>
      </c>
    </row>
    <row r="58" spans="1:16" ht="15.75" customHeight="1">
      <c r="A58" s="21" t="s">
        <v>684</v>
      </c>
      <c r="B58" s="22" t="s">
        <v>104</v>
      </c>
      <c r="C58" s="22">
        <v>2026</v>
      </c>
      <c r="D58" s="22" t="s">
        <v>182</v>
      </c>
      <c r="E58" s="22" t="s">
        <v>686</v>
      </c>
      <c r="F58" s="23" t="s">
        <v>3763</v>
      </c>
      <c r="G58" s="23" t="s">
        <v>3764</v>
      </c>
      <c r="H58" s="23" t="s">
        <v>3765</v>
      </c>
      <c r="I58" s="23" t="s">
        <v>3766</v>
      </c>
      <c r="J58" s="23" t="s">
        <v>2939</v>
      </c>
      <c r="K58" s="23"/>
      <c r="L58" s="23"/>
      <c r="M58" s="23" t="s">
        <v>3876</v>
      </c>
      <c r="N58" s="23" t="s">
        <v>3768</v>
      </c>
      <c r="O58" s="23" t="s">
        <v>2943</v>
      </c>
      <c r="P58" s="23" t="s">
        <v>3877</v>
      </c>
    </row>
    <row r="59" spans="1:16" ht="15.75" customHeight="1">
      <c r="A59" s="21" t="s">
        <v>690</v>
      </c>
      <c r="B59" s="24" t="s">
        <v>691</v>
      </c>
      <c r="C59" s="24">
        <v>2025</v>
      </c>
      <c r="D59" s="24" t="s">
        <v>693</v>
      </c>
      <c r="E59" s="24" t="s">
        <v>694</v>
      </c>
      <c r="F59" s="25" t="s">
        <v>3763</v>
      </c>
      <c r="G59" s="25" t="s">
        <v>3764</v>
      </c>
      <c r="H59" s="25" t="s">
        <v>3765</v>
      </c>
      <c r="I59" s="25" t="s">
        <v>3766</v>
      </c>
      <c r="J59" s="25" t="s">
        <v>2939</v>
      </c>
      <c r="K59" s="25"/>
      <c r="L59" s="25"/>
      <c r="M59" s="25" t="s">
        <v>3878</v>
      </c>
      <c r="N59" s="25" t="s">
        <v>3768</v>
      </c>
      <c r="O59" s="25" t="s">
        <v>2943</v>
      </c>
      <c r="P59" s="25" t="s">
        <v>3879</v>
      </c>
    </row>
    <row r="60" spans="1:16" ht="15.75" customHeight="1">
      <c r="A60" s="21" t="s">
        <v>705</v>
      </c>
      <c r="B60" s="22" t="s">
        <v>706</v>
      </c>
      <c r="C60" s="22">
        <v>2026</v>
      </c>
      <c r="D60" s="22" t="s">
        <v>239</v>
      </c>
      <c r="E60" s="22" t="s">
        <v>708</v>
      </c>
      <c r="F60" s="23" t="s">
        <v>3783</v>
      </c>
      <c r="G60" s="23"/>
      <c r="H60" s="23"/>
      <c r="I60" s="23"/>
      <c r="J60" s="23"/>
      <c r="K60" s="23"/>
      <c r="L60" s="23"/>
      <c r="M60" s="23"/>
      <c r="N60" s="23"/>
      <c r="O60" s="23"/>
      <c r="P60" s="23"/>
    </row>
    <row r="61" spans="1:16" ht="15.75" customHeight="1">
      <c r="A61" s="21" t="s">
        <v>712</v>
      </c>
      <c r="B61" s="24" t="s">
        <v>3102</v>
      </c>
      <c r="C61" s="24">
        <v>2025</v>
      </c>
      <c r="D61" s="24" t="s">
        <v>715</v>
      </c>
      <c r="E61" s="24" t="s">
        <v>716</v>
      </c>
      <c r="F61" s="25" t="s">
        <v>3763</v>
      </c>
      <c r="G61" s="25" t="s">
        <v>3764</v>
      </c>
      <c r="H61" s="25" t="s">
        <v>3765</v>
      </c>
      <c r="I61" s="25" t="s">
        <v>3766</v>
      </c>
      <c r="J61" s="25" t="s">
        <v>2939</v>
      </c>
      <c r="K61" s="25"/>
      <c r="L61" s="25"/>
      <c r="M61" s="25" t="s">
        <v>3880</v>
      </c>
      <c r="N61" s="25" t="s">
        <v>3768</v>
      </c>
      <c r="O61" s="25" t="s">
        <v>2943</v>
      </c>
      <c r="P61" s="25" t="s">
        <v>3881</v>
      </c>
    </row>
    <row r="62" spans="1:16" ht="15.75" customHeight="1">
      <c r="A62" s="21" t="s">
        <v>719</v>
      </c>
      <c r="B62" s="22" t="s">
        <v>720</v>
      </c>
      <c r="C62" s="22">
        <v>2025</v>
      </c>
      <c r="D62" s="22" t="s">
        <v>182</v>
      </c>
      <c r="E62" s="22" t="s">
        <v>722</v>
      </c>
      <c r="F62" s="23" t="s">
        <v>3763</v>
      </c>
      <c r="G62" s="23" t="s">
        <v>3764</v>
      </c>
      <c r="H62" s="23" t="s">
        <v>3765</v>
      </c>
      <c r="I62" s="23" t="s">
        <v>3766</v>
      </c>
      <c r="J62" s="23" t="s">
        <v>2939</v>
      </c>
      <c r="K62" s="23"/>
      <c r="L62" s="23"/>
      <c r="M62" s="23" t="s">
        <v>3882</v>
      </c>
      <c r="N62" s="23" t="s">
        <v>3768</v>
      </c>
      <c r="O62" s="23" t="s">
        <v>2943</v>
      </c>
      <c r="P62" s="23" t="s">
        <v>3877</v>
      </c>
    </row>
    <row r="63" spans="1:16" ht="15.75" customHeight="1">
      <c r="A63" s="21" t="s">
        <v>726</v>
      </c>
      <c r="B63" s="24" t="s">
        <v>727</v>
      </c>
      <c r="C63" s="24">
        <v>2022</v>
      </c>
      <c r="D63" s="24" t="s">
        <v>729</v>
      </c>
      <c r="E63" s="24" t="s">
        <v>730</v>
      </c>
      <c r="F63" s="25" t="s">
        <v>3763</v>
      </c>
      <c r="G63" s="25" t="s">
        <v>3764</v>
      </c>
      <c r="H63" s="25" t="s">
        <v>3765</v>
      </c>
      <c r="I63" s="25" t="s">
        <v>3766</v>
      </c>
      <c r="J63" s="25" t="s">
        <v>2939</v>
      </c>
      <c r="K63" s="25"/>
      <c r="L63" s="25"/>
      <c r="M63" s="25" t="s">
        <v>3883</v>
      </c>
      <c r="N63" s="25" t="s">
        <v>3768</v>
      </c>
      <c r="O63" s="25" t="s">
        <v>2943</v>
      </c>
      <c r="P63" s="25" t="s">
        <v>3875</v>
      </c>
    </row>
    <row r="64" spans="1:16" ht="15.75" customHeight="1">
      <c r="A64" s="21" t="s">
        <v>734</v>
      </c>
      <c r="B64" s="22" t="s">
        <v>735</v>
      </c>
      <c r="C64" s="22">
        <v>2026</v>
      </c>
      <c r="D64" s="22" t="s">
        <v>422</v>
      </c>
      <c r="E64" s="22" t="s">
        <v>737</v>
      </c>
      <c r="F64" s="23" t="s">
        <v>3783</v>
      </c>
      <c r="G64" s="23"/>
      <c r="H64" s="23" t="s">
        <v>3884</v>
      </c>
      <c r="I64" s="23"/>
      <c r="J64" s="23"/>
      <c r="K64" s="23"/>
      <c r="L64" s="23"/>
      <c r="M64" s="23"/>
      <c r="N64" s="23"/>
      <c r="O64" s="23"/>
      <c r="P64" s="23"/>
    </row>
    <row r="65" spans="1:16" ht="15.75" customHeight="1">
      <c r="A65" s="21" t="s">
        <v>741</v>
      </c>
      <c r="B65" s="24" t="s">
        <v>742</v>
      </c>
      <c r="C65" s="24">
        <v>2026</v>
      </c>
      <c r="D65" s="24" t="s">
        <v>744</v>
      </c>
      <c r="E65" s="24" t="s">
        <v>745</v>
      </c>
      <c r="F65" s="25" t="s">
        <v>3763</v>
      </c>
      <c r="G65" s="25" t="s">
        <v>3764</v>
      </c>
      <c r="H65" s="25" t="s">
        <v>3765</v>
      </c>
      <c r="I65" s="25" t="s">
        <v>3766</v>
      </c>
      <c r="J65" s="25" t="s">
        <v>2939</v>
      </c>
      <c r="K65" s="25"/>
      <c r="L65" s="25"/>
      <c r="M65" s="25" t="s">
        <v>3885</v>
      </c>
      <c r="N65" s="25" t="s">
        <v>3768</v>
      </c>
      <c r="O65" s="25" t="s">
        <v>2943</v>
      </c>
      <c r="P65" s="25" t="s">
        <v>3886</v>
      </c>
    </row>
    <row r="66" spans="1:16" ht="15.75" customHeight="1">
      <c r="A66" s="21" t="s">
        <v>749</v>
      </c>
      <c r="B66" s="22" t="s">
        <v>750</v>
      </c>
      <c r="C66" s="22">
        <v>2024</v>
      </c>
      <c r="D66" s="22" t="s">
        <v>438</v>
      </c>
      <c r="E66" s="22" t="s">
        <v>752</v>
      </c>
      <c r="F66" s="23" t="s">
        <v>3763</v>
      </c>
      <c r="G66" s="23" t="s">
        <v>3770</v>
      </c>
      <c r="H66" s="23" t="s">
        <v>3887</v>
      </c>
      <c r="I66" s="23" t="s">
        <v>3766</v>
      </c>
      <c r="J66" s="23" t="s">
        <v>2939</v>
      </c>
      <c r="K66" s="23"/>
      <c r="L66" s="23"/>
      <c r="M66" s="23" t="s">
        <v>3888</v>
      </c>
      <c r="N66" s="23" t="s">
        <v>3768</v>
      </c>
      <c r="O66" s="23" t="s">
        <v>2943</v>
      </c>
      <c r="P66" s="23" t="s">
        <v>3889</v>
      </c>
    </row>
    <row r="67" spans="1:16" ht="15.75" customHeight="1">
      <c r="A67" s="21" t="s">
        <v>756</v>
      </c>
      <c r="B67" s="24" t="s">
        <v>757</v>
      </c>
      <c r="C67" s="24">
        <v>2026</v>
      </c>
      <c r="D67" s="24" t="s">
        <v>759</v>
      </c>
      <c r="E67" s="24" t="s">
        <v>760</v>
      </c>
      <c r="F67" s="25" t="s">
        <v>3763</v>
      </c>
      <c r="G67" s="25" t="s">
        <v>3764</v>
      </c>
      <c r="H67" s="25" t="s">
        <v>3765</v>
      </c>
      <c r="I67" s="25" t="s">
        <v>3766</v>
      </c>
      <c r="J67" s="25" t="s">
        <v>2939</v>
      </c>
      <c r="K67" s="25"/>
      <c r="L67" s="25"/>
      <c r="M67" s="25" t="s">
        <v>3890</v>
      </c>
      <c r="N67" s="25" t="s">
        <v>3768</v>
      </c>
      <c r="O67" s="25" t="s">
        <v>2943</v>
      </c>
      <c r="P67" s="25" t="s">
        <v>3891</v>
      </c>
    </row>
    <row r="68" spans="1:16" ht="15.75" customHeight="1">
      <c r="A68" s="21" t="s">
        <v>764</v>
      </c>
      <c r="B68" s="22" t="s">
        <v>765</v>
      </c>
      <c r="C68" s="22">
        <v>2026</v>
      </c>
      <c r="D68" s="22" t="s">
        <v>570</v>
      </c>
      <c r="E68" s="22" t="s">
        <v>767</v>
      </c>
      <c r="F68" s="23" t="s">
        <v>3763</v>
      </c>
      <c r="G68" s="23" t="s">
        <v>3770</v>
      </c>
      <c r="H68" s="23" t="s">
        <v>3892</v>
      </c>
      <c r="I68" s="23" t="s">
        <v>3766</v>
      </c>
      <c r="J68" s="23" t="s">
        <v>2939</v>
      </c>
      <c r="K68" s="23"/>
      <c r="L68" s="23"/>
      <c r="M68" s="23" t="s">
        <v>3893</v>
      </c>
      <c r="N68" s="23" t="s">
        <v>3768</v>
      </c>
      <c r="O68" s="23" t="s">
        <v>2943</v>
      </c>
      <c r="P68" s="23" t="s">
        <v>3894</v>
      </c>
    </row>
    <row r="69" spans="1:16" ht="15.75" customHeight="1">
      <c r="A69" s="21" t="s">
        <v>771</v>
      </c>
      <c r="B69" s="24" t="s">
        <v>772</v>
      </c>
      <c r="C69" s="24">
        <v>2024</v>
      </c>
      <c r="D69" s="24" t="s">
        <v>255</v>
      </c>
      <c r="E69" s="24" t="s">
        <v>774</v>
      </c>
      <c r="F69" s="25" t="s">
        <v>3783</v>
      </c>
      <c r="G69" s="25"/>
      <c r="H69" s="25"/>
      <c r="I69" s="25"/>
      <c r="J69" s="25"/>
      <c r="K69" s="25"/>
      <c r="L69" s="25"/>
      <c r="M69" s="25"/>
      <c r="N69" s="25"/>
      <c r="O69" s="25"/>
      <c r="P69" s="25"/>
    </row>
    <row r="70" spans="1:16" ht="15.75" customHeight="1">
      <c r="A70" s="21" t="s">
        <v>778</v>
      </c>
      <c r="B70" s="22" t="s">
        <v>779</v>
      </c>
      <c r="C70" s="22">
        <v>2024</v>
      </c>
      <c r="D70" s="22" t="s">
        <v>438</v>
      </c>
      <c r="E70" s="22" t="s">
        <v>781</v>
      </c>
      <c r="F70" s="23" t="s">
        <v>3763</v>
      </c>
      <c r="G70" s="23" t="s">
        <v>3764</v>
      </c>
      <c r="H70" s="23" t="s">
        <v>3765</v>
      </c>
      <c r="I70" s="23" t="s">
        <v>3766</v>
      </c>
      <c r="J70" s="23" t="s">
        <v>2939</v>
      </c>
      <c r="K70" s="23"/>
      <c r="L70" s="23"/>
      <c r="M70" s="23" t="s">
        <v>3895</v>
      </c>
      <c r="N70" s="23" t="s">
        <v>3768</v>
      </c>
      <c r="O70" s="23" t="s">
        <v>2943</v>
      </c>
      <c r="P70" s="23" t="s">
        <v>3896</v>
      </c>
    </row>
    <row r="71" spans="1:16" ht="15.75" customHeight="1">
      <c r="A71" s="21" t="s">
        <v>785</v>
      </c>
      <c r="B71" s="24" t="s">
        <v>786</v>
      </c>
      <c r="C71" s="24">
        <v>2026</v>
      </c>
      <c r="D71" s="24" t="s">
        <v>744</v>
      </c>
      <c r="E71" s="24" t="s">
        <v>788</v>
      </c>
      <c r="F71" s="25" t="s">
        <v>3763</v>
      </c>
      <c r="G71" s="25" t="s">
        <v>3764</v>
      </c>
      <c r="H71" s="25" t="s">
        <v>3765</v>
      </c>
      <c r="I71" s="25" t="s">
        <v>3766</v>
      </c>
      <c r="J71" s="25" t="s">
        <v>2939</v>
      </c>
      <c r="K71" s="25"/>
      <c r="L71" s="25"/>
      <c r="M71" s="25" t="s">
        <v>3897</v>
      </c>
      <c r="N71" s="25" t="s">
        <v>3768</v>
      </c>
      <c r="O71" s="25" t="s">
        <v>2943</v>
      </c>
      <c r="P71" s="25" t="s">
        <v>3898</v>
      </c>
    </row>
    <row r="72" spans="1:16" ht="15.75" customHeight="1">
      <c r="A72" s="21" t="s">
        <v>792</v>
      </c>
      <c r="B72" s="22" t="s">
        <v>793</v>
      </c>
      <c r="C72" s="22">
        <v>2026</v>
      </c>
      <c r="D72" s="22" t="s">
        <v>795</v>
      </c>
      <c r="E72" s="22" t="s">
        <v>796</v>
      </c>
      <c r="F72" s="23" t="s">
        <v>3783</v>
      </c>
      <c r="G72" s="23"/>
      <c r="H72" s="23"/>
      <c r="I72" s="23"/>
      <c r="J72" s="23"/>
      <c r="K72" s="23"/>
      <c r="L72" s="23"/>
      <c r="M72" s="23"/>
      <c r="N72" s="23"/>
      <c r="O72" s="23"/>
      <c r="P72" s="23"/>
    </row>
    <row r="73" spans="1:16" ht="15.75" customHeight="1">
      <c r="A73" s="21" t="s">
        <v>798</v>
      </c>
      <c r="B73" s="24" t="s">
        <v>799</v>
      </c>
      <c r="C73" s="24">
        <v>2026</v>
      </c>
      <c r="D73" s="24" t="s">
        <v>453</v>
      </c>
      <c r="E73" s="24" t="s">
        <v>801</v>
      </c>
      <c r="F73" s="25" t="s">
        <v>3783</v>
      </c>
      <c r="G73" s="25"/>
      <c r="H73" s="25" t="s">
        <v>3899</v>
      </c>
      <c r="I73" s="25"/>
      <c r="J73" s="25"/>
      <c r="K73" s="25"/>
      <c r="L73" s="25"/>
      <c r="M73" s="25"/>
      <c r="N73" s="25"/>
      <c r="O73" s="25"/>
      <c r="P73" s="25"/>
    </row>
    <row r="74" spans="1:16" ht="15.75" customHeight="1">
      <c r="A74" s="21" t="s">
        <v>805</v>
      </c>
      <c r="B74" s="22" t="s">
        <v>806</v>
      </c>
      <c r="C74" s="22">
        <v>2025</v>
      </c>
      <c r="D74" s="22" t="s">
        <v>808</v>
      </c>
      <c r="E74" s="22" t="s">
        <v>809</v>
      </c>
      <c r="F74" s="23" t="s">
        <v>3763</v>
      </c>
      <c r="G74" s="23" t="s">
        <v>3764</v>
      </c>
      <c r="H74" s="23" t="s">
        <v>3765</v>
      </c>
      <c r="I74" s="23" t="s">
        <v>3766</v>
      </c>
      <c r="J74" s="23" t="s">
        <v>2939</v>
      </c>
      <c r="K74" s="23"/>
      <c r="L74" s="23"/>
      <c r="M74" s="23" t="s">
        <v>3900</v>
      </c>
      <c r="N74" s="23" t="s">
        <v>3768</v>
      </c>
      <c r="O74" s="23" t="s">
        <v>2943</v>
      </c>
      <c r="P74" s="23" t="s">
        <v>3901</v>
      </c>
    </row>
    <row r="75" spans="1:16" ht="15.75" customHeight="1">
      <c r="A75" s="21" t="s">
        <v>812</v>
      </c>
      <c r="B75" s="24" t="s">
        <v>813</v>
      </c>
      <c r="C75" s="24">
        <v>2026</v>
      </c>
      <c r="D75" s="24" t="s">
        <v>277</v>
      </c>
      <c r="E75" s="24" t="s">
        <v>815</v>
      </c>
      <c r="F75" s="25" t="s">
        <v>3763</v>
      </c>
      <c r="G75" s="25" t="s">
        <v>3770</v>
      </c>
      <c r="H75" s="25" t="s">
        <v>3902</v>
      </c>
      <c r="I75" s="25" t="s">
        <v>3766</v>
      </c>
      <c r="J75" s="25" t="s">
        <v>2939</v>
      </c>
      <c r="K75" s="25"/>
      <c r="L75" s="25"/>
      <c r="M75" s="25" t="s">
        <v>3903</v>
      </c>
      <c r="N75" s="25" t="s">
        <v>3768</v>
      </c>
      <c r="O75" s="25" t="s">
        <v>2943</v>
      </c>
      <c r="P75" s="25" t="s">
        <v>3904</v>
      </c>
    </row>
    <row r="76" spans="1:16" ht="15.75" customHeight="1">
      <c r="A76" s="21" t="s">
        <v>819</v>
      </c>
      <c r="B76" s="22" t="s">
        <v>820</v>
      </c>
      <c r="C76" s="22">
        <v>2026</v>
      </c>
      <c r="D76" s="22" t="s">
        <v>239</v>
      </c>
      <c r="E76" s="22" t="s">
        <v>822</v>
      </c>
      <c r="F76" s="23" t="s">
        <v>3763</v>
      </c>
      <c r="G76" s="23" t="s">
        <v>3770</v>
      </c>
      <c r="H76" s="23" t="s">
        <v>3905</v>
      </c>
      <c r="I76" s="23" t="s">
        <v>3766</v>
      </c>
      <c r="J76" s="23" t="s">
        <v>2939</v>
      </c>
      <c r="K76" s="23"/>
      <c r="L76" s="23"/>
      <c r="M76" s="23" t="s">
        <v>3906</v>
      </c>
      <c r="N76" s="23" t="s">
        <v>3768</v>
      </c>
      <c r="O76" s="23" t="s">
        <v>2943</v>
      </c>
      <c r="P76" s="23" t="s">
        <v>3907</v>
      </c>
    </row>
    <row r="77" spans="1:16" ht="15.75" customHeight="1">
      <c r="A77" s="21" t="s">
        <v>849</v>
      </c>
      <c r="B77" s="24" t="s">
        <v>850</v>
      </c>
      <c r="C77" s="24">
        <v>2025</v>
      </c>
      <c r="D77" s="24" t="s">
        <v>415</v>
      </c>
      <c r="E77" s="24" t="s">
        <v>852</v>
      </c>
      <c r="F77" s="25" t="s">
        <v>3763</v>
      </c>
      <c r="G77" s="25" t="s">
        <v>3764</v>
      </c>
      <c r="H77" s="25" t="s">
        <v>3765</v>
      </c>
      <c r="I77" s="25" t="s">
        <v>3766</v>
      </c>
      <c r="J77" s="25" t="s">
        <v>2939</v>
      </c>
      <c r="K77" s="25"/>
      <c r="L77" s="25"/>
      <c r="M77" s="25" t="s">
        <v>3908</v>
      </c>
      <c r="N77" s="25"/>
      <c r="O77" s="25"/>
      <c r="P77" s="25" t="s">
        <v>3909</v>
      </c>
    </row>
    <row r="78" spans="1:16" ht="15.75" customHeight="1">
      <c r="A78" s="21" t="s">
        <v>855</v>
      </c>
      <c r="B78" s="22" t="s">
        <v>856</v>
      </c>
      <c r="C78" s="22">
        <v>2026</v>
      </c>
      <c r="D78" s="22" t="s">
        <v>182</v>
      </c>
      <c r="E78" s="22" t="s">
        <v>858</v>
      </c>
      <c r="F78" s="23" t="s">
        <v>3763</v>
      </c>
      <c r="G78" s="23" t="s">
        <v>3764</v>
      </c>
      <c r="H78" s="23" t="s">
        <v>3765</v>
      </c>
      <c r="I78" s="23" t="s">
        <v>3766</v>
      </c>
      <c r="J78" s="23" t="s">
        <v>2939</v>
      </c>
      <c r="K78" s="23"/>
      <c r="L78" s="23"/>
      <c r="M78" s="23" t="s">
        <v>3910</v>
      </c>
      <c r="N78" s="23"/>
      <c r="O78" s="23"/>
      <c r="P78" s="23" t="s">
        <v>3911</v>
      </c>
    </row>
    <row r="79" spans="1:16" ht="15.75" customHeight="1">
      <c r="A79" s="21" t="s">
        <v>862</v>
      </c>
      <c r="B79" s="24" t="s">
        <v>863</v>
      </c>
      <c r="C79" s="24">
        <v>2026</v>
      </c>
      <c r="D79" s="24" t="s">
        <v>380</v>
      </c>
      <c r="E79" s="24" t="s">
        <v>865</v>
      </c>
      <c r="F79" s="25" t="s">
        <v>3763</v>
      </c>
      <c r="G79" s="25" t="s">
        <v>3764</v>
      </c>
      <c r="H79" s="25" t="s">
        <v>3765</v>
      </c>
      <c r="I79" s="25" t="s">
        <v>3766</v>
      </c>
      <c r="J79" s="25" t="s">
        <v>2939</v>
      </c>
      <c r="K79" s="25"/>
      <c r="L79" s="25"/>
      <c r="M79" s="25" t="s">
        <v>3912</v>
      </c>
      <c r="N79" s="25" t="s">
        <v>3768</v>
      </c>
      <c r="O79" s="25" t="s">
        <v>2943</v>
      </c>
      <c r="P79" s="25" t="s">
        <v>3913</v>
      </c>
    </row>
    <row r="80" spans="1:16" ht="15.75" customHeight="1">
      <c r="A80" s="21" t="s">
        <v>869</v>
      </c>
      <c r="B80" s="22" t="s">
        <v>870</v>
      </c>
      <c r="C80" s="22">
        <v>2026</v>
      </c>
      <c r="D80" s="22" t="s">
        <v>872</v>
      </c>
      <c r="E80" s="22" t="s">
        <v>873</v>
      </c>
      <c r="F80" s="23" t="s">
        <v>3763</v>
      </c>
      <c r="G80" s="23" t="s">
        <v>3764</v>
      </c>
      <c r="H80" s="23" t="s">
        <v>3765</v>
      </c>
      <c r="I80" s="23" t="s">
        <v>3766</v>
      </c>
      <c r="J80" s="23" t="s">
        <v>2939</v>
      </c>
      <c r="K80" s="23"/>
      <c r="L80" s="23"/>
      <c r="M80" s="23" t="s">
        <v>3914</v>
      </c>
      <c r="N80" s="23" t="s">
        <v>3768</v>
      </c>
      <c r="O80" s="23" t="s">
        <v>2943</v>
      </c>
      <c r="P80" s="23" t="s">
        <v>3915</v>
      </c>
    </row>
    <row r="81" spans="1:16" ht="15.75" customHeight="1">
      <c r="A81" s="21" t="s">
        <v>876</v>
      </c>
      <c r="B81" s="24" t="s">
        <v>877</v>
      </c>
      <c r="C81" s="24">
        <v>2025</v>
      </c>
      <c r="D81" s="24" t="s">
        <v>879</v>
      </c>
      <c r="E81" s="24" t="s">
        <v>880</v>
      </c>
      <c r="F81" s="25" t="s">
        <v>3763</v>
      </c>
      <c r="G81" s="25" t="s">
        <v>3764</v>
      </c>
      <c r="H81" s="25" t="s">
        <v>3765</v>
      </c>
      <c r="I81" s="25" t="s">
        <v>3766</v>
      </c>
      <c r="J81" s="25" t="s">
        <v>2939</v>
      </c>
      <c r="K81" s="25"/>
      <c r="L81" s="25"/>
      <c r="M81" s="25" t="s">
        <v>3916</v>
      </c>
      <c r="N81" s="25" t="s">
        <v>3768</v>
      </c>
      <c r="O81" s="25" t="s">
        <v>2943</v>
      </c>
      <c r="P81" s="25" t="s">
        <v>3868</v>
      </c>
    </row>
    <row r="82" spans="1:16" ht="15.75" customHeight="1">
      <c r="A82" s="21" t="s">
        <v>883</v>
      </c>
      <c r="B82" s="22" t="s">
        <v>884</v>
      </c>
      <c r="C82" s="22">
        <v>2025</v>
      </c>
      <c r="D82" s="22" t="s">
        <v>309</v>
      </c>
      <c r="E82" s="22" t="s">
        <v>886</v>
      </c>
      <c r="F82" s="23" t="s">
        <v>3783</v>
      </c>
      <c r="G82" s="23"/>
      <c r="H82" s="23" t="s">
        <v>3917</v>
      </c>
      <c r="I82" s="23"/>
      <c r="J82" s="23"/>
      <c r="K82" s="23"/>
      <c r="L82" s="23"/>
      <c r="M82" s="23"/>
      <c r="N82" s="23"/>
      <c r="O82" s="23"/>
      <c r="P82" s="23"/>
    </row>
    <row r="83" spans="1:16" ht="15.75" customHeight="1">
      <c r="A83" s="21" t="s">
        <v>890</v>
      </c>
      <c r="B83" s="24" t="s">
        <v>891</v>
      </c>
      <c r="C83" s="24">
        <v>2023</v>
      </c>
      <c r="D83" s="24" t="s">
        <v>893</v>
      </c>
      <c r="E83" s="24" t="s">
        <v>894</v>
      </c>
      <c r="F83" s="25" t="s">
        <v>3763</v>
      </c>
      <c r="G83" s="25" t="s">
        <v>3764</v>
      </c>
      <c r="H83" s="25" t="s">
        <v>3765</v>
      </c>
      <c r="I83" s="25" t="s">
        <v>3766</v>
      </c>
      <c r="J83" s="25" t="s">
        <v>2939</v>
      </c>
      <c r="K83" s="25"/>
      <c r="L83" s="25"/>
      <c r="M83" s="25" t="s">
        <v>3918</v>
      </c>
      <c r="N83" s="25" t="s">
        <v>3768</v>
      </c>
      <c r="O83" s="25" t="s">
        <v>2943</v>
      </c>
      <c r="P83" s="25"/>
    </row>
    <row r="84" spans="1:16" ht="15.75" customHeight="1">
      <c r="A84" s="21" t="s">
        <v>913</v>
      </c>
      <c r="B84" s="22" t="s">
        <v>914</v>
      </c>
      <c r="C84" s="22">
        <v>2026</v>
      </c>
      <c r="D84" s="22" t="s">
        <v>931</v>
      </c>
      <c r="E84" s="22" t="s">
        <v>917</v>
      </c>
      <c r="F84" s="23" t="s">
        <v>3763</v>
      </c>
      <c r="G84" s="23" t="s">
        <v>3764</v>
      </c>
      <c r="H84" s="23" t="s">
        <v>3765</v>
      </c>
      <c r="I84" s="23" t="s">
        <v>3766</v>
      </c>
      <c r="J84" s="23" t="s">
        <v>2939</v>
      </c>
      <c r="K84" s="23"/>
      <c r="L84" s="23"/>
      <c r="M84" s="23" t="s">
        <v>3919</v>
      </c>
      <c r="N84" s="23" t="s">
        <v>3768</v>
      </c>
      <c r="O84" s="23"/>
      <c r="P84" s="23"/>
    </row>
    <row r="85" spans="1:16" ht="15.75" customHeight="1">
      <c r="A85" s="21" t="s">
        <v>920</v>
      </c>
      <c r="B85" s="24" t="s">
        <v>921</v>
      </c>
      <c r="C85" s="24">
        <v>2024</v>
      </c>
      <c r="D85" s="24" t="s">
        <v>923</v>
      </c>
      <c r="E85" s="24" t="s">
        <v>924</v>
      </c>
      <c r="F85" s="25" t="s">
        <v>3763</v>
      </c>
      <c r="G85" s="25" t="s">
        <v>3764</v>
      </c>
      <c r="H85" s="25" t="s">
        <v>3765</v>
      </c>
      <c r="I85" s="25" t="s">
        <v>3766</v>
      </c>
      <c r="J85" s="25" t="s">
        <v>2939</v>
      </c>
      <c r="K85" s="25"/>
      <c r="L85" s="25"/>
      <c r="M85" s="25" t="s">
        <v>3920</v>
      </c>
      <c r="N85" s="25" t="s">
        <v>3768</v>
      </c>
      <c r="O85" s="25" t="s">
        <v>2943</v>
      </c>
      <c r="P85" s="25" t="s">
        <v>3921</v>
      </c>
    </row>
    <row r="86" spans="1:16" ht="15.75" customHeight="1">
      <c r="A86" s="21" t="s">
        <v>928</v>
      </c>
      <c r="B86" s="22" t="s">
        <v>929</v>
      </c>
      <c r="C86" s="22">
        <v>2025</v>
      </c>
      <c r="D86" s="22" t="s">
        <v>931</v>
      </c>
      <c r="E86" s="22" t="s">
        <v>932</v>
      </c>
      <c r="F86" s="23" t="s">
        <v>3763</v>
      </c>
      <c r="G86" s="23" t="s">
        <v>3764</v>
      </c>
      <c r="H86" s="23" t="s">
        <v>3765</v>
      </c>
      <c r="I86" s="23" t="s">
        <v>3766</v>
      </c>
      <c r="J86" s="23" t="s">
        <v>2939</v>
      </c>
      <c r="K86" s="23"/>
      <c r="L86" s="23"/>
      <c r="M86" s="23" t="s">
        <v>3922</v>
      </c>
      <c r="N86" s="23" t="s">
        <v>3768</v>
      </c>
      <c r="O86" s="23" t="s">
        <v>2943</v>
      </c>
      <c r="P86" s="23" t="s">
        <v>3923</v>
      </c>
    </row>
    <row r="87" spans="1:16" ht="15.75" customHeight="1">
      <c r="A87" s="21" t="s">
        <v>935</v>
      </c>
      <c r="B87" s="24" t="s">
        <v>3166</v>
      </c>
      <c r="C87" s="24">
        <v>2025</v>
      </c>
      <c r="D87" s="24" t="s">
        <v>938</v>
      </c>
      <c r="E87" s="24" t="s">
        <v>939</v>
      </c>
      <c r="F87" s="25" t="s">
        <v>3783</v>
      </c>
      <c r="G87" s="25"/>
      <c r="H87" s="25"/>
      <c r="I87" s="25"/>
      <c r="J87" s="25"/>
      <c r="K87" s="25"/>
      <c r="L87" s="25"/>
      <c r="M87" s="25"/>
      <c r="N87" s="25"/>
      <c r="O87" s="25"/>
      <c r="P87" s="25"/>
    </row>
    <row r="88" spans="1:16" ht="15.75" customHeight="1">
      <c r="A88" s="21" t="s">
        <v>943</v>
      </c>
      <c r="B88" s="22" t="s">
        <v>944</v>
      </c>
      <c r="C88" s="22">
        <v>2023</v>
      </c>
      <c r="D88" s="22" t="s">
        <v>534</v>
      </c>
      <c r="E88" s="22" t="s">
        <v>946</v>
      </c>
      <c r="F88" s="23" t="s">
        <v>3763</v>
      </c>
      <c r="G88" s="23" t="s">
        <v>3764</v>
      </c>
      <c r="H88" s="23" t="s">
        <v>3765</v>
      </c>
      <c r="I88" s="23" t="s">
        <v>3766</v>
      </c>
      <c r="J88" s="23" t="s">
        <v>2939</v>
      </c>
      <c r="K88" s="23"/>
      <c r="L88" s="23"/>
      <c r="M88" s="23" t="s">
        <v>3924</v>
      </c>
      <c r="N88" s="23" t="s">
        <v>3768</v>
      </c>
      <c r="O88" s="23" t="s">
        <v>2943</v>
      </c>
      <c r="P88" s="23" t="s">
        <v>3925</v>
      </c>
    </row>
    <row r="89" spans="1:16" ht="15.75" customHeight="1">
      <c r="A89" s="21" t="s">
        <v>950</v>
      </c>
      <c r="B89" s="24" t="s">
        <v>951</v>
      </c>
      <c r="C89" s="24">
        <v>2026</v>
      </c>
      <c r="D89" s="24" t="s">
        <v>292</v>
      </c>
      <c r="E89" s="24" t="s">
        <v>953</v>
      </c>
      <c r="F89" s="25" t="s">
        <v>3763</v>
      </c>
      <c r="G89" s="25" t="s">
        <v>3764</v>
      </c>
      <c r="H89" s="25" t="s">
        <v>3765</v>
      </c>
      <c r="I89" s="25" t="s">
        <v>3766</v>
      </c>
      <c r="J89" s="25" t="s">
        <v>2939</v>
      </c>
      <c r="K89" s="25"/>
      <c r="L89" s="25"/>
      <c r="M89" s="25" t="s">
        <v>3926</v>
      </c>
      <c r="N89" s="25" t="s">
        <v>3768</v>
      </c>
      <c r="O89" s="25" t="s">
        <v>2943</v>
      </c>
      <c r="P89" s="25" t="s">
        <v>3927</v>
      </c>
    </row>
    <row r="90" spans="1:16" ht="15.75" customHeight="1">
      <c r="A90" s="21" t="s">
        <v>972</v>
      </c>
      <c r="B90" s="22" t="s">
        <v>973</v>
      </c>
      <c r="C90" s="22">
        <v>2025</v>
      </c>
      <c r="D90" s="22" t="s">
        <v>975</v>
      </c>
      <c r="E90" s="22" t="s">
        <v>976</v>
      </c>
      <c r="F90" s="23" t="s">
        <v>3783</v>
      </c>
      <c r="G90" s="23"/>
      <c r="H90" s="23"/>
      <c r="I90" s="23"/>
      <c r="J90" s="23"/>
      <c r="K90" s="23"/>
      <c r="L90" s="23"/>
      <c r="M90" s="23"/>
      <c r="N90" s="23"/>
      <c r="O90" s="23"/>
      <c r="P90" s="23"/>
    </row>
    <row r="91" spans="1:16" ht="15.75" customHeight="1">
      <c r="A91" s="21" t="s">
        <v>980</v>
      </c>
      <c r="B91" s="24" t="s">
        <v>981</v>
      </c>
      <c r="C91" s="24">
        <v>2026</v>
      </c>
      <c r="D91" s="24" t="s">
        <v>3928</v>
      </c>
      <c r="E91" s="24" t="s">
        <v>984</v>
      </c>
      <c r="F91" s="25" t="s">
        <v>3763</v>
      </c>
      <c r="G91" s="25" t="s">
        <v>3764</v>
      </c>
      <c r="H91" s="25" t="s">
        <v>3765</v>
      </c>
      <c r="I91" s="25" t="s">
        <v>3766</v>
      </c>
      <c r="J91" s="25" t="s">
        <v>2939</v>
      </c>
      <c r="K91" s="25"/>
      <c r="L91" s="25"/>
      <c r="M91" s="25" t="s">
        <v>3929</v>
      </c>
      <c r="N91" s="25" t="s">
        <v>3768</v>
      </c>
      <c r="O91" s="25" t="s">
        <v>2943</v>
      </c>
      <c r="P91" s="25" t="s">
        <v>3930</v>
      </c>
    </row>
    <row r="92" spans="1:16" ht="15.75" customHeight="1">
      <c r="A92" s="21" t="s">
        <v>988</v>
      </c>
      <c r="B92" s="22" t="s">
        <v>989</v>
      </c>
      <c r="C92" s="22">
        <v>2024</v>
      </c>
      <c r="D92" s="22" t="s">
        <v>534</v>
      </c>
      <c r="E92" s="22" t="s">
        <v>991</v>
      </c>
      <c r="F92" s="23" t="s">
        <v>3763</v>
      </c>
      <c r="G92" s="23" t="s">
        <v>3764</v>
      </c>
      <c r="H92" s="23" t="s">
        <v>3765</v>
      </c>
      <c r="I92" s="23" t="s">
        <v>3766</v>
      </c>
      <c r="J92" s="23" t="s">
        <v>2939</v>
      </c>
      <c r="K92" s="23"/>
      <c r="L92" s="23"/>
      <c r="M92" s="23" t="s">
        <v>3931</v>
      </c>
      <c r="N92" s="23" t="s">
        <v>3768</v>
      </c>
      <c r="O92" s="23" t="s">
        <v>2943</v>
      </c>
      <c r="P92" s="23" t="s">
        <v>3932</v>
      </c>
    </row>
    <row r="93" spans="1:16" ht="15.75" customHeight="1">
      <c r="A93" s="21" t="s">
        <v>995</v>
      </c>
      <c r="B93" s="24" t="s">
        <v>996</v>
      </c>
      <c r="C93" s="24">
        <v>2024</v>
      </c>
      <c r="D93" s="24" t="s">
        <v>277</v>
      </c>
      <c r="E93" s="24" t="s">
        <v>998</v>
      </c>
      <c r="F93" s="25" t="s">
        <v>3763</v>
      </c>
      <c r="G93" s="25" t="s">
        <v>3770</v>
      </c>
      <c r="H93" s="25" t="s">
        <v>3933</v>
      </c>
      <c r="I93" s="25" t="s">
        <v>3766</v>
      </c>
      <c r="J93" s="25" t="s">
        <v>2939</v>
      </c>
      <c r="K93" s="25"/>
      <c r="L93" s="25"/>
      <c r="M93" s="25" t="s">
        <v>3934</v>
      </c>
      <c r="N93" s="25" t="s">
        <v>3768</v>
      </c>
      <c r="O93" s="25" t="s">
        <v>2943</v>
      </c>
      <c r="P93" s="25" t="s">
        <v>3935</v>
      </c>
    </row>
    <row r="94" spans="1:16" ht="15.75" customHeight="1">
      <c r="A94" s="21" t="s">
        <v>1002</v>
      </c>
      <c r="B94" s="22" t="s">
        <v>1003</v>
      </c>
      <c r="C94" s="22">
        <v>2026</v>
      </c>
      <c r="D94" s="22" t="s">
        <v>1005</v>
      </c>
      <c r="E94" s="22" t="s">
        <v>1006</v>
      </c>
      <c r="F94" s="23" t="s">
        <v>3783</v>
      </c>
      <c r="G94" s="23"/>
      <c r="H94" s="23"/>
      <c r="I94" s="23"/>
      <c r="J94" s="23"/>
      <c r="K94" s="23"/>
      <c r="L94" s="23"/>
      <c r="M94" s="23"/>
      <c r="N94" s="23"/>
      <c r="O94" s="23"/>
      <c r="P94" s="23"/>
    </row>
    <row r="95" spans="1:16" ht="15.75" customHeight="1">
      <c r="A95" s="21" t="s">
        <v>1010</v>
      </c>
      <c r="B95" s="24" t="s">
        <v>1011</v>
      </c>
      <c r="C95" s="24">
        <v>2026</v>
      </c>
      <c r="D95" s="24" t="s">
        <v>570</v>
      </c>
      <c r="E95" s="24" t="s">
        <v>1013</v>
      </c>
      <c r="F95" s="25" t="s">
        <v>3783</v>
      </c>
      <c r="G95" s="25"/>
      <c r="H95" s="25" t="s">
        <v>3936</v>
      </c>
      <c r="I95" s="25"/>
      <c r="J95" s="25"/>
      <c r="K95" s="25"/>
      <c r="L95" s="25"/>
      <c r="M95" s="25"/>
      <c r="N95" s="25"/>
      <c r="O95" s="25"/>
      <c r="P95" s="25"/>
    </row>
    <row r="96" spans="1:16" ht="15.75" customHeight="1">
      <c r="A96" s="21" t="s">
        <v>1017</v>
      </c>
      <c r="B96" s="22" t="s">
        <v>1018</v>
      </c>
      <c r="C96" s="22">
        <v>2026</v>
      </c>
      <c r="D96" s="22" t="s">
        <v>570</v>
      </c>
      <c r="E96" s="22" t="s">
        <v>1020</v>
      </c>
      <c r="F96" s="23" t="s">
        <v>3763</v>
      </c>
      <c r="G96" s="23" t="s">
        <v>3770</v>
      </c>
      <c r="H96" s="23" t="s">
        <v>3937</v>
      </c>
      <c r="I96" s="23" t="s">
        <v>3766</v>
      </c>
      <c r="J96" s="23" t="s">
        <v>2939</v>
      </c>
      <c r="K96" s="23"/>
      <c r="L96" s="23"/>
      <c r="M96" s="23" t="s">
        <v>3938</v>
      </c>
      <c r="N96" s="23" t="s">
        <v>3768</v>
      </c>
      <c r="O96" s="23" t="s">
        <v>2943</v>
      </c>
      <c r="P96" s="23" t="s">
        <v>3939</v>
      </c>
    </row>
    <row r="97" spans="1:16" ht="15.75" customHeight="1">
      <c r="A97" s="21" t="s">
        <v>1024</v>
      </c>
      <c r="B97" s="24" t="s">
        <v>1025</v>
      </c>
      <c r="C97" s="24">
        <v>2026</v>
      </c>
      <c r="D97" s="24" t="s">
        <v>1027</v>
      </c>
      <c r="E97" s="24" t="s">
        <v>1028</v>
      </c>
      <c r="F97" s="25" t="s">
        <v>3783</v>
      </c>
      <c r="G97" s="25"/>
      <c r="H97" s="25"/>
      <c r="I97" s="25"/>
      <c r="J97" s="25"/>
      <c r="K97" s="25"/>
      <c r="L97" s="25"/>
      <c r="M97" s="25"/>
      <c r="N97" s="25"/>
      <c r="O97" s="25"/>
      <c r="P97" s="25"/>
    </row>
    <row r="98" spans="1:16" ht="15.75" customHeight="1">
      <c r="A98" s="21" t="s">
        <v>1032</v>
      </c>
      <c r="B98" s="22" t="s">
        <v>1033</v>
      </c>
      <c r="C98" s="22">
        <v>2025</v>
      </c>
      <c r="D98" s="22" t="s">
        <v>3339</v>
      </c>
      <c r="E98" s="22" t="s">
        <v>1036</v>
      </c>
      <c r="F98" s="23" t="s">
        <v>3763</v>
      </c>
      <c r="G98" s="23" t="s">
        <v>3764</v>
      </c>
      <c r="H98" s="23" t="s">
        <v>3765</v>
      </c>
      <c r="I98" s="23" t="s">
        <v>3766</v>
      </c>
      <c r="J98" s="23" t="s">
        <v>2939</v>
      </c>
      <c r="K98" s="23"/>
      <c r="L98" s="23"/>
      <c r="M98" s="23" t="s">
        <v>3940</v>
      </c>
      <c r="N98" s="23" t="s">
        <v>3768</v>
      </c>
      <c r="O98" s="23" t="s">
        <v>2943</v>
      </c>
      <c r="P98" s="23" t="s">
        <v>3941</v>
      </c>
    </row>
    <row r="99" spans="1:16" ht="15.75" customHeight="1">
      <c r="A99" s="21" t="s">
        <v>1040</v>
      </c>
      <c r="B99" s="24" t="s">
        <v>1041</v>
      </c>
      <c r="C99" s="24">
        <v>2026</v>
      </c>
      <c r="D99" s="24" t="s">
        <v>3339</v>
      </c>
      <c r="E99" s="24" t="s">
        <v>1043</v>
      </c>
      <c r="F99" s="25" t="s">
        <v>3763</v>
      </c>
      <c r="G99" s="25" t="s">
        <v>3764</v>
      </c>
      <c r="H99" s="25" t="s">
        <v>3765</v>
      </c>
      <c r="I99" s="25" t="s">
        <v>3766</v>
      </c>
      <c r="J99" s="25" t="s">
        <v>2939</v>
      </c>
      <c r="K99" s="25"/>
      <c r="L99" s="25"/>
      <c r="M99" s="25" t="s">
        <v>3942</v>
      </c>
      <c r="N99" s="25" t="s">
        <v>3768</v>
      </c>
      <c r="O99" s="25" t="s">
        <v>2943</v>
      </c>
      <c r="P99" s="25" t="s">
        <v>3943</v>
      </c>
    </row>
    <row r="100" spans="1:16" ht="15.75" customHeight="1">
      <c r="A100" s="21" t="s">
        <v>1047</v>
      </c>
      <c r="B100" s="22" t="s">
        <v>1048</v>
      </c>
      <c r="C100" s="22">
        <v>2025</v>
      </c>
      <c r="D100" s="22" t="s">
        <v>3339</v>
      </c>
      <c r="E100" s="22" t="s">
        <v>1050</v>
      </c>
      <c r="F100" s="23" t="s">
        <v>3763</v>
      </c>
      <c r="G100" s="23" t="s">
        <v>3764</v>
      </c>
      <c r="H100" s="23" t="s">
        <v>3765</v>
      </c>
      <c r="I100" s="23" t="s">
        <v>3766</v>
      </c>
      <c r="J100" s="23" t="s">
        <v>2939</v>
      </c>
      <c r="K100" s="23"/>
      <c r="L100" s="23"/>
      <c r="M100" s="23" t="s">
        <v>3944</v>
      </c>
      <c r="N100" s="23" t="s">
        <v>3768</v>
      </c>
      <c r="O100" s="23" t="s">
        <v>2943</v>
      </c>
      <c r="P100" s="23" t="s">
        <v>3945</v>
      </c>
    </row>
    <row r="101" spans="1:16" ht="15.75" customHeight="1">
      <c r="A101" s="21" t="s">
        <v>1054</v>
      </c>
      <c r="B101" s="24" t="s">
        <v>1055</v>
      </c>
      <c r="C101" s="24">
        <v>2020</v>
      </c>
      <c r="D101" s="24" t="s">
        <v>438</v>
      </c>
      <c r="E101" s="24" t="s">
        <v>1057</v>
      </c>
      <c r="F101" s="25" t="s">
        <v>3763</v>
      </c>
      <c r="G101" s="25" t="s">
        <v>3770</v>
      </c>
      <c r="H101" s="25" t="s">
        <v>3946</v>
      </c>
      <c r="I101" s="25" t="s">
        <v>3766</v>
      </c>
      <c r="J101" s="25" t="s">
        <v>2964</v>
      </c>
      <c r="K101" s="25" t="s">
        <v>1061</v>
      </c>
      <c r="L101" s="25" t="s">
        <v>3947</v>
      </c>
      <c r="M101" s="25" t="s">
        <v>3948</v>
      </c>
      <c r="N101" s="25" t="s">
        <v>3813</v>
      </c>
      <c r="O101" s="25" t="s">
        <v>2943</v>
      </c>
      <c r="P101" s="25" t="s">
        <v>3949</v>
      </c>
    </row>
    <row r="102" spans="1:16" ht="15.75" customHeight="1">
      <c r="A102" s="21" t="s">
        <v>1069</v>
      </c>
      <c r="B102" s="22" t="s">
        <v>1070</v>
      </c>
      <c r="C102" s="22">
        <v>2026</v>
      </c>
      <c r="D102" s="22" t="s">
        <v>231</v>
      </c>
      <c r="E102" s="22" t="s">
        <v>1072</v>
      </c>
      <c r="F102" s="23" t="s">
        <v>3783</v>
      </c>
      <c r="G102" s="23"/>
      <c r="H102" s="23"/>
      <c r="I102" s="23"/>
      <c r="J102" s="23"/>
      <c r="K102" s="23"/>
      <c r="L102" s="23"/>
      <c r="M102" s="23"/>
      <c r="N102" s="23"/>
      <c r="O102" s="23"/>
      <c r="P102" s="23"/>
    </row>
    <row r="103" spans="1:16" ht="15.75" customHeight="1">
      <c r="A103" s="21" t="s">
        <v>1076</v>
      </c>
      <c r="B103" s="24" t="s">
        <v>1077</v>
      </c>
      <c r="C103" s="24">
        <v>2024</v>
      </c>
      <c r="D103" s="24" t="s">
        <v>453</v>
      </c>
      <c r="E103" s="24" t="s">
        <v>1079</v>
      </c>
      <c r="F103" s="25" t="s">
        <v>3763</v>
      </c>
      <c r="G103" s="25" t="s">
        <v>3764</v>
      </c>
      <c r="H103" s="25" t="s">
        <v>3765</v>
      </c>
      <c r="I103" s="25" t="s">
        <v>3766</v>
      </c>
      <c r="J103" s="25" t="s">
        <v>2939</v>
      </c>
      <c r="K103" s="25"/>
      <c r="L103" s="25"/>
      <c r="M103" s="25" t="s">
        <v>3950</v>
      </c>
      <c r="N103" s="25" t="s">
        <v>3768</v>
      </c>
      <c r="O103" s="25" t="s">
        <v>2943</v>
      </c>
      <c r="P103" s="25" t="s">
        <v>3951</v>
      </c>
    </row>
    <row r="104" spans="1:16" ht="15.75" customHeight="1">
      <c r="A104" s="21" t="s">
        <v>1083</v>
      </c>
      <c r="B104" s="22" t="s">
        <v>1084</v>
      </c>
      <c r="C104" s="22">
        <v>2025</v>
      </c>
      <c r="D104" s="22" t="s">
        <v>1086</v>
      </c>
      <c r="E104" s="22" t="s">
        <v>1087</v>
      </c>
      <c r="F104" s="23" t="s">
        <v>3783</v>
      </c>
      <c r="G104" s="23"/>
      <c r="H104" s="23"/>
      <c r="I104" s="23"/>
      <c r="J104" s="23"/>
      <c r="K104" s="23"/>
      <c r="L104" s="23"/>
      <c r="M104" s="23"/>
      <c r="N104" s="23"/>
      <c r="O104" s="23"/>
      <c r="P104" s="23"/>
    </row>
    <row r="105" spans="1:16" ht="15.75" customHeight="1">
      <c r="A105" s="21" t="s">
        <v>1091</v>
      </c>
      <c r="B105" s="24" t="s">
        <v>1092</v>
      </c>
      <c r="C105" s="24">
        <v>2025</v>
      </c>
      <c r="D105" s="24" t="s">
        <v>198</v>
      </c>
      <c r="E105" s="24" t="s">
        <v>1094</v>
      </c>
      <c r="F105" s="25" t="s">
        <v>3763</v>
      </c>
      <c r="G105" s="25" t="s">
        <v>3764</v>
      </c>
      <c r="H105" s="25" t="s">
        <v>3765</v>
      </c>
      <c r="I105" s="25" t="s">
        <v>3766</v>
      </c>
      <c r="J105" s="25" t="s">
        <v>2939</v>
      </c>
      <c r="K105" s="25"/>
      <c r="L105" s="25"/>
      <c r="M105" s="25" t="s">
        <v>3952</v>
      </c>
      <c r="N105" s="25" t="s">
        <v>3768</v>
      </c>
      <c r="O105" s="25" t="s">
        <v>2943</v>
      </c>
      <c r="P105" s="25" t="s">
        <v>3953</v>
      </c>
    </row>
    <row r="106" spans="1:16" ht="15.75" customHeight="1">
      <c r="A106" s="21" t="s">
        <v>1098</v>
      </c>
      <c r="B106" s="22" t="s">
        <v>1099</v>
      </c>
      <c r="C106" s="22">
        <v>2026</v>
      </c>
      <c r="D106" s="22" t="s">
        <v>540</v>
      </c>
      <c r="E106" s="22" t="s">
        <v>1101</v>
      </c>
      <c r="F106" s="23" t="s">
        <v>3783</v>
      </c>
      <c r="G106" s="23"/>
      <c r="H106" s="23"/>
      <c r="I106" s="23"/>
      <c r="J106" s="23"/>
      <c r="K106" s="23"/>
      <c r="L106" s="23"/>
      <c r="M106" s="23"/>
      <c r="N106" s="23"/>
      <c r="O106" s="23"/>
      <c r="P106" s="23"/>
    </row>
    <row r="107" spans="1:16" ht="15.75" customHeight="1">
      <c r="A107" s="21" t="s">
        <v>1104</v>
      </c>
      <c r="B107" s="24" t="s">
        <v>1105</v>
      </c>
      <c r="C107" s="24">
        <v>2024</v>
      </c>
      <c r="D107" s="24" t="s">
        <v>1107</v>
      </c>
      <c r="E107" s="24" t="s">
        <v>1108</v>
      </c>
      <c r="F107" s="25" t="s">
        <v>3763</v>
      </c>
      <c r="G107" s="25" t="s">
        <v>3770</v>
      </c>
      <c r="H107" s="25" t="s">
        <v>3954</v>
      </c>
      <c r="I107" s="25" t="s">
        <v>3766</v>
      </c>
      <c r="J107" s="25" t="s">
        <v>2964</v>
      </c>
      <c r="K107" s="25" t="s">
        <v>1061</v>
      </c>
      <c r="L107" s="25" t="s">
        <v>3955</v>
      </c>
      <c r="M107" s="25" t="s">
        <v>3956</v>
      </c>
      <c r="N107" s="25" t="s">
        <v>3813</v>
      </c>
      <c r="O107" s="25" t="s">
        <v>2943</v>
      </c>
      <c r="P107" s="25" t="s">
        <v>3949</v>
      </c>
    </row>
    <row r="108" spans="1:16" ht="15.75" customHeight="1">
      <c r="A108" s="21" t="s">
        <v>1111</v>
      </c>
      <c r="B108" s="22" t="s">
        <v>1112</v>
      </c>
      <c r="C108" s="22">
        <v>2025</v>
      </c>
      <c r="D108" s="22" t="s">
        <v>1114</v>
      </c>
      <c r="E108" s="22" t="s">
        <v>1115</v>
      </c>
      <c r="F108" s="23" t="s">
        <v>3763</v>
      </c>
      <c r="G108" s="23" t="s">
        <v>3764</v>
      </c>
      <c r="H108" s="23" t="s">
        <v>3957</v>
      </c>
      <c r="I108" s="23" t="s">
        <v>3766</v>
      </c>
      <c r="J108" s="23" t="s">
        <v>2939</v>
      </c>
      <c r="K108" s="23"/>
      <c r="L108" s="23"/>
      <c r="M108" s="23" t="s">
        <v>3958</v>
      </c>
      <c r="N108" s="23" t="s">
        <v>3768</v>
      </c>
      <c r="O108" s="23" t="s">
        <v>2943</v>
      </c>
      <c r="P108" s="23" t="s">
        <v>3959</v>
      </c>
    </row>
    <row r="109" spans="1:16" ht="15.75" customHeight="1">
      <c r="A109" s="21" t="s">
        <v>1119</v>
      </c>
      <c r="B109" s="24" t="s">
        <v>1120</v>
      </c>
      <c r="C109" s="24">
        <v>2026</v>
      </c>
      <c r="D109" s="24" t="s">
        <v>239</v>
      </c>
      <c r="E109" s="24" t="s">
        <v>1122</v>
      </c>
      <c r="F109" s="25" t="s">
        <v>3783</v>
      </c>
      <c r="G109" s="25"/>
      <c r="H109" s="25"/>
      <c r="I109" s="25"/>
      <c r="J109" s="25"/>
      <c r="K109" s="25"/>
      <c r="L109" s="25"/>
      <c r="M109" s="25"/>
      <c r="N109" s="25"/>
      <c r="O109" s="25"/>
      <c r="P109" s="25"/>
    </row>
    <row r="110" spans="1:16" ht="15.75" customHeight="1">
      <c r="A110" s="21" t="s">
        <v>1126</v>
      </c>
      <c r="B110" s="22" t="s">
        <v>1127</v>
      </c>
      <c r="C110" s="22">
        <v>2026</v>
      </c>
      <c r="D110" s="22" t="s">
        <v>501</v>
      </c>
      <c r="E110" s="22" t="s">
        <v>1129</v>
      </c>
      <c r="F110" s="23" t="s">
        <v>3763</v>
      </c>
      <c r="G110" s="23" t="s">
        <v>3764</v>
      </c>
      <c r="H110" s="23" t="s">
        <v>3765</v>
      </c>
      <c r="I110" s="23" t="s">
        <v>3766</v>
      </c>
      <c r="J110" s="23" t="s">
        <v>2939</v>
      </c>
      <c r="K110" s="23"/>
      <c r="L110" s="23"/>
      <c r="M110" s="23" t="s">
        <v>3960</v>
      </c>
      <c r="N110" s="23" t="s">
        <v>3768</v>
      </c>
      <c r="O110" s="23" t="s">
        <v>2943</v>
      </c>
      <c r="P110" s="23" t="s">
        <v>3961</v>
      </c>
    </row>
    <row r="111" spans="1:16" ht="15.75" customHeight="1">
      <c r="A111" s="21" t="s">
        <v>1133</v>
      </c>
      <c r="B111" s="24" t="s">
        <v>3222</v>
      </c>
      <c r="C111" s="24">
        <v>2026</v>
      </c>
      <c r="D111" s="24" t="s">
        <v>938</v>
      </c>
      <c r="E111" s="24" t="s">
        <v>1136</v>
      </c>
      <c r="F111" s="25" t="s">
        <v>3783</v>
      </c>
      <c r="G111" s="25"/>
      <c r="H111" s="25"/>
      <c r="I111" s="25"/>
      <c r="J111" s="25"/>
      <c r="K111" s="25"/>
      <c r="L111" s="25"/>
      <c r="M111" s="25"/>
      <c r="N111" s="25"/>
      <c r="O111" s="25"/>
      <c r="P111" s="25"/>
    </row>
    <row r="112" spans="1:16" ht="15.75" customHeight="1">
      <c r="A112" s="21" t="s">
        <v>1140</v>
      </c>
      <c r="B112" s="22" t="s">
        <v>1141</v>
      </c>
      <c r="C112" s="22">
        <v>2026</v>
      </c>
      <c r="D112" s="22" t="s">
        <v>1143</v>
      </c>
      <c r="E112" s="22" t="s">
        <v>1144</v>
      </c>
      <c r="F112" s="23" t="s">
        <v>3763</v>
      </c>
      <c r="G112" s="23" t="s">
        <v>3770</v>
      </c>
      <c r="H112" s="23" t="s">
        <v>3962</v>
      </c>
      <c r="I112" s="23" t="s">
        <v>3766</v>
      </c>
      <c r="J112" s="23" t="s">
        <v>2939</v>
      </c>
      <c r="K112" s="23"/>
      <c r="L112" s="23"/>
      <c r="M112" s="23" t="s">
        <v>3963</v>
      </c>
      <c r="N112" s="23" t="s">
        <v>3768</v>
      </c>
      <c r="O112" s="23" t="s">
        <v>2943</v>
      </c>
      <c r="P112" s="23" t="s">
        <v>3964</v>
      </c>
    </row>
    <row r="113" spans="1:16" ht="15.75" customHeight="1">
      <c r="A113" s="21" t="s">
        <v>1148</v>
      </c>
      <c r="B113" s="24" t="s">
        <v>1149</v>
      </c>
      <c r="C113" s="24">
        <v>2026</v>
      </c>
      <c r="D113" s="24" t="s">
        <v>3965</v>
      </c>
      <c r="E113" s="24" t="s">
        <v>1152</v>
      </c>
      <c r="F113" s="25" t="s">
        <v>3763</v>
      </c>
      <c r="G113" s="25" t="s">
        <v>3764</v>
      </c>
      <c r="H113" s="25" t="s">
        <v>3765</v>
      </c>
      <c r="I113" s="25" t="s">
        <v>3766</v>
      </c>
      <c r="J113" s="25" t="s">
        <v>2939</v>
      </c>
      <c r="K113" s="25"/>
      <c r="L113" s="25"/>
      <c r="M113" s="25" t="s">
        <v>3966</v>
      </c>
      <c r="N113" s="25" t="s">
        <v>3768</v>
      </c>
      <c r="O113" s="25" t="s">
        <v>2943</v>
      </c>
      <c r="P113" s="25" t="s">
        <v>3967</v>
      </c>
    </row>
    <row r="114" spans="1:16" ht="15.75" customHeight="1">
      <c r="A114" s="21" t="s">
        <v>1163</v>
      </c>
      <c r="B114" s="22" t="s">
        <v>1164</v>
      </c>
      <c r="C114" s="22">
        <v>2026</v>
      </c>
      <c r="D114" s="22" t="s">
        <v>540</v>
      </c>
      <c r="E114" s="22" t="s">
        <v>1166</v>
      </c>
      <c r="F114" s="23" t="s">
        <v>3783</v>
      </c>
      <c r="G114" s="23"/>
      <c r="H114" s="23"/>
      <c r="I114" s="23"/>
      <c r="J114" s="23"/>
      <c r="K114" s="23"/>
      <c r="L114" s="23"/>
      <c r="M114" s="23"/>
      <c r="N114" s="23"/>
      <c r="O114" s="23"/>
      <c r="P114" s="23"/>
    </row>
    <row r="115" spans="1:16" ht="15.75" customHeight="1">
      <c r="A115" s="21" t="s">
        <v>1170</v>
      </c>
      <c r="B115" s="24" t="s">
        <v>1171</v>
      </c>
      <c r="C115" s="24">
        <v>2026</v>
      </c>
      <c r="D115" s="24" t="s">
        <v>540</v>
      </c>
      <c r="E115" s="24" t="s">
        <v>1173</v>
      </c>
      <c r="F115" s="25" t="s">
        <v>3783</v>
      </c>
      <c r="G115" s="25"/>
      <c r="H115" s="25"/>
      <c r="I115" s="25"/>
      <c r="J115" s="25"/>
      <c r="K115" s="25"/>
      <c r="L115" s="25"/>
      <c r="M115" s="25"/>
      <c r="N115" s="25"/>
      <c r="O115" s="25"/>
      <c r="P115" s="25"/>
    </row>
    <row r="116" spans="1:16" ht="15.75" customHeight="1">
      <c r="A116" s="21" t="s">
        <v>1177</v>
      </c>
      <c r="B116" s="22" t="s">
        <v>1178</v>
      </c>
      <c r="C116" s="22">
        <v>2026</v>
      </c>
      <c r="D116" s="22" t="s">
        <v>309</v>
      </c>
      <c r="E116" s="22" t="s">
        <v>1180</v>
      </c>
      <c r="F116" s="23" t="s">
        <v>3783</v>
      </c>
      <c r="G116" s="23"/>
      <c r="H116" s="23"/>
      <c r="I116" s="23"/>
      <c r="J116" s="23"/>
      <c r="K116" s="23"/>
      <c r="L116" s="23"/>
      <c r="M116" s="23"/>
      <c r="N116" s="23"/>
      <c r="O116" s="23"/>
      <c r="P116" s="23"/>
    </row>
    <row r="117" spans="1:16" ht="15.75" customHeight="1">
      <c r="A117" s="21" t="s">
        <v>1184</v>
      </c>
      <c r="B117" s="24" t="s">
        <v>1185</v>
      </c>
      <c r="C117" s="24">
        <v>2025</v>
      </c>
      <c r="D117" s="24" t="s">
        <v>540</v>
      </c>
      <c r="E117" s="24" t="s">
        <v>1187</v>
      </c>
      <c r="F117" s="25" t="s">
        <v>3783</v>
      </c>
      <c r="G117" s="25"/>
      <c r="H117" s="25"/>
      <c r="I117" s="25"/>
      <c r="J117" s="25"/>
      <c r="K117" s="25"/>
      <c r="L117" s="25"/>
      <c r="M117" s="25"/>
      <c r="N117" s="25"/>
      <c r="O117" s="25"/>
      <c r="P117" s="25"/>
    </row>
    <row r="118" spans="1:16" ht="15.75" customHeight="1">
      <c r="A118" s="21" t="s">
        <v>1191</v>
      </c>
      <c r="B118" s="22" t="s">
        <v>1192</v>
      </c>
      <c r="C118" s="22">
        <v>2025</v>
      </c>
      <c r="D118" s="22" t="s">
        <v>1194</v>
      </c>
      <c r="E118" s="22" t="s">
        <v>1195</v>
      </c>
      <c r="F118" s="23" t="s">
        <v>3783</v>
      </c>
      <c r="G118" s="23"/>
      <c r="H118" s="23"/>
      <c r="I118" s="23"/>
      <c r="J118" s="23"/>
      <c r="K118" s="23"/>
      <c r="L118" s="23"/>
      <c r="M118" s="23"/>
      <c r="N118" s="23"/>
      <c r="O118" s="23"/>
      <c r="P118" s="23"/>
    </row>
    <row r="119" spans="1:16" ht="15.75" customHeight="1">
      <c r="A119" s="21" t="s">
        <v>1199</v>
      </c>
      <c r="B119" s="24" t="s">
        <v>1200</v>
      </c>
      <c r="C119" s="24">
        <v>2026</v>
      </c>
      <c r="D119" s="24" t="s">
        <v>1202</v>
      </c>
      <c r="E119" s="24" t="s">
        <v>1203</v>
      </c>
      <c r="F119" s="25" t="s">
        <v>3783</v>
      </c>
      <c r="G119" s="25"/>
      <c r="H119" s="25"/>
      <c r="I119" s="25"/>
      <c r="J119" s="25"/>
      <c r="K119" s="25"/>
      <c r="L119" s="25"/>
      <c r="M119" s="25"/>
      <c r="N119" s="25"/>
      <c r="O119" s="25"/>
      <c r="P119" s="25"/>
    </row>
    <row r="120" spans="1:16" ht="15.75" customHeight="1">
      <c r="A120" s="21" t="s">
        <v>1207</v>
      </c>
      <c r="B120" s="22" t="s">
        <v>1208</v>
      </c>
      <c r="C120" s="22">
        <v>2026</v>
      </c>
      <c r="D120" s="22" t="s">
        <v>1210</v>
      </c>
      <c r="E120" s="22" t="s">
        <v>1211</v>
      </c>
      <c r="F120" s="23" t="s">
        <v>3763</v>
      </c>
      <c r="G120" s="23" t="s">
        <v>3770</v>
      </c>
      <c r="H120" s="23" t="s">
        <v>3968</v>
      </c>
      <c r="I120" s="23" t="s">
        <v>3766</v>
      </c>
      <c r="J120" s="23" t="s">
        <v>2939</v>
      </c>
      <c r="K120" s="23"/>
      <c r="L120" s="23"/>
      <c r="M120" s="23" t="s">
        <v>3969</v>
      </c>
      <c r="N120" s="23" t="s">
        <v>3768</v>
      </c>
      <c r="O120" s="23" t="s">
        <v>2943</v>
      </c>
      <c r="P120" s="23" t="s">
        <v>3970</v>
      </c>
    </row>
    <row r="121" spans="1:16" ht="15.75" customHeight="1">
      <c r="A121" s="21" t="s">
        <v>1215</v>
      </c>
      <c r="B121" s="24" t="s">
        <v>1216</v>
      </c>
      <c r="C121" s="24">
        <v>2025</v>
      </c>
      <c r="D121" s="24" t="s">
        <v>570</v>
      </c>
      <c r="E121" s="24" t="s">
        <v>1218</v>
      </c>
      <c r="F121" s="25" t="s">
        <v>3783</v>
      </c>
      <c r="G121" s="25"/>
      <c r="H121" s="25"/>
      <c r="I121" s="25"/>
      <c r="J121" s="25"/>
      <c r="K121" s="25"/>
      <c r="L121" s="25"/>
      <c r="M121" s="25"/>
      <c r="N121" s="25"/>
      <c r="O121" s="25"/>
      <c r="P121" s="25"/>
    </row>
    <row r="122" spans="1:16" ht="15.75" customHeight="1">
      <c r="A122" s="21" t="s">
        <v>1230</v>
      </c>
      <c r="B122" s="22" t="s">
        <v>1231</v>
      </c>
      <c r="C122" s="22">
        <v>2026</v>
      </c>
      <c r="D122" s="22" t="s">
        <v>269</v>
      </c>
      <c r="E122" s="22" t="s">
        <v>1232</v>
      </c>
      <c r="F122" s="23" t="s">
        <v>3763</v>
      </c>
      <c r="G122" s="23" t="s">
        <v>3764</v>
      </c>
      <c r="H122" s="23" t="s">
        <v>3765</v>
      </c>
      <c r="I122" s="23" t="s">
        <v>3766</v>
      </c>
      <c r="J122" s="23" t="s">
        <v>2939</v>
      </c>
      <c r="K122" s="23"/>
      <c r="L122" s="23"/>
      <c r="M122" s="23" t="s">
        <v>3971</v>
      </c>
      <c r="N122" s="23" t="s">
        <v>3768</v>
      </c>
      <c r="O122" s="23" t="s">
        <v>2943</v>
      </c>
      <c r="P122" s="23" t="s">
        <v>3972</v>
      </c>
    </row>
    <row r="123" spans="1:16" ht="15.75" customHeight="1">
      <c r="A123" s="21" t="s">
        <v>1236</v>
      </c>
      <c r="B123" s="24" t="s">
        <v>1237</v>
      </c>
      <c r="C123" s="24">
        <v>2026</v>
      </c>
      <c r="D123" s="24" t="s">
        <v>1239</v>
      </c>
      <c r="E123" s="24" t="s">
        <v>1240</v>
      </c>
      <c r="F123" s="25" t="s">
        <v>3763</v>
      </c>
      <c r="G123" s="25" t="s">
        <v>3764</v>
      </c>
      <c r="H123" s="25" t="s">
        <v>3765</v>
      </c>
      <c r="I123" s="25" t="s">
        <v>3766</v>
      </c>
      <c r="J123" s="25" t="s">
        <v>2939</v>
      </c>
      <c r="K123" s="25"/>
      <c r="L123" s="25"/>
      <c r="M123" s="25" t="s">
        <v>3973</v>
      </c>
      <c r="N123" s="25" t="s">
        <v>3768</v>
      </c>
      <c r="O123" s="25" t="s">
        <v>2943</v>
      </c>
      <c r="P123" s="25" t="s">
        <v>3974</v>
      </c>
    </row>
    <row r="124" spans="1:16" ht="15.75" customHeight="1">
      <c r="A124" s="21" t="s">
        <v>1244</v>
      </c>
      <c r="B124" s="22" t="s">
        <v>1245</v>
      </c>
      <c r="C124" s="22">
        <v>2022</v>
      </c>
      <c r="D124" s="22" t="s">
        <v>1247</v>
      </c>
      <c r="E124" s="22" t="s">
        <v>1248</v>
      </c>
      <c r="F124" s="23" t="s">
        <v>3783</v>
      </c>
      <c r="G124" s="23"/>
      <c r="H124" s="23" t="s">
        <v>3975</v>
      </c>
      <c r="I124" s="23"/>
      <c r="J124" s="23"/>
      <c r="K124" s="23"/>
      <c r="L124" s="23"/>
      <c r="M124" s="23"/>
      <c r="N124" s="23"/>
      <c r="O124" s="23"/>
      <c r="P124" s="23"/>
    </row>
    <row r="125" spans="1:16" ht="15.75" customHeight="1">
      <c r="A125" s="21" t="s">
        <v>1252</v>
      </c>
      <c r="B125" s="24" t="s">
        <v>1253</v>
      </c>
      <c r="C125" s="24">
        <v>2026</v>
      </c>
      <c r="D125" s="24" t="s">
        <v>555</v>
      </c>
      <c r="E125" s="24" t="s">
        <v>1255</v>
      </c>
      <c r="F125" s="25" t="s">
        <v>3783</v>
      </c>
      <c r="G125" s="25"/>
      <c r="H125" s="25"/>
      <c r="I125" s="25"/>
      <c r="J125" s="25"/>
      <c r="K125" s="25"/>
      <c r="L125" s="25"/>
      <c r="M125" s="25"/>
      <c r="N125" s="25"/>
      <c r="O125" s="25"/>
      <c r="P125" s="25"/>
    </row>
    <row r="126" spans="1:16" ht="15.75" customHeight="1">
      <c r="A126" s="21" t="s">
        <v>1259</v>
      </c>
      <c r="B126" s="22" t="s">
        <v>1260</v>
      </c>
      <c r="C126" s="22">
        <v>2026</v>
      </c>
      <c r="D126" s="22" t="s">
        <v>1262</v>
      </c>
      <c r="E126" s="22" t="s">
        <v>1263</v>
      </c>
      <c r="F126" s="23" t="s">
        <v>3763</v>
      </c>
      <c r="G126" s="23" t="s">
        <v>3764</v>
      </c>
      <c r="H126" s="23" t="s">
        <v>3765</v>
      </c>
      <c r="I126" s="23" t="s">
        <v>3766</v>
      </c>
      <c r="J126" s="23" t="s">
        <v>2964</v>
      </c>
      <c r="K126" s="23" t="s">
        <v>1266</v>
      </c>
      <c r="L126" s="23" t="s">
        <v>3976</v>
      </c>
      <c r="M126" s="23" t="s">
        <v>3977</v>
      </c>
      <c r="N126" s="23" t="s">
        <v>3813</v>
      </c>
      <c r="O126" s="23" t="s">
        <v>2943</v>
      </c>
      <c r="P126" s="23" t="s">
        <v>3978</v>
      </c>
    </row>
    <row r="127" spans="1:16" ht="15.75" customHeight="1">
      <c r="A127" s="21" t="s">
        <v>1267</v>
      </c>
      <c r="B127" s="22" t="s">
        <v>1268</v>
      </c>
      <c r="C127" s="22">
        <v>2025</v>
      </c>
      <c r="D127" s="22" t="s">
        <v>3339</v>
      </c>
      <c r="E127" s="22" t="s">
        <v>1270</v>
      </c>
      <c r="F127" s="23" t="s">
        <v>3763</v>
      </c>
      <c r="G127" s="23" t="s">
        <v>3764</v>
      </c>
      <c r="H127" s="23" t="s">
        <v>3765</v>
      </c>
      <c r="I127" s="23" t="s">
        <v>3766</v>
      </c>
      <c r="J127" s="23" t="s">
        <v>2939</v>
      </c>
      <c r="K127" s="23"/>
      <c r="L127" s="23"/>
      <c r="M127" s="23" t="s">
        <v>3979</v>
      </c>
      <c r="N127" s="23" t="s">
        <v>3768</v>
      </c>
      <c r="O127" s="23" t="s">
        <v>2943</v>
      </c>
      <c r="P127" s="23" t="s">
        <v>3980</v>
      </c>
    </row>
    <row r="128" spans="1:16" ht="15.75" customHeight="1">
      <c r="A128" s="21" t="s">
        <v>1274</v>
      </c>
      <c r="B128" s="24" t="s">
        <v>1275</v>
      </c>
      <c r="C128" s="24">
        <v>2026</v>
      </c>
      <c r="D128" s="24" t="s">
        <v>239</v>
      </c>
      <c r="E128" s="24" t="s">
        <v>1277</v>
      </c>
      <c r="F128" s="25" t="s">
        <v>3783</v>
      </c>
      <c r="G128" s="25"/>
      <c r="H128" s="25" t="s">
        <v>3975</v>
      </c>
      <c r="I128" s="25"/>
      <c r="J128" s="25"/>
      <c r="K128" s="25"/>
      <c r="L128" s="25"/>
      <c r="M128" s="25"/>
      <c r="N128" s="25"/>
      <c r="O128" s="25"/>
      <c r="P128" s="25"/>
    </row>
    <row r="129" spans="1:16" ht="15.75" customHeight="1">
      <c r="A129" s="21" t="s">
        <v>1281</v>
      </c>
      <c r="B129" s="22" t="s">
        <v>1282</v>
      </c>
      <c r="C129" s="22">
        <v>2025</v>
      </c>
      <c r="D129" s="22" t="s">
        <v>1284</v>
      </c>
      <c r="E129" s="22" t="s">
        <v>1285</v>
      </c>
      <c r="F129" s="23" t="s">
        <v>3763</v>
      </c>
      <c r="G129" s="23" t="s">
        <v>3764</v>
      </c>
      <c r="H129" s="23" t="s">
        <v>3765</v>
      </c>
      <c r="I129" s="23" t="s">
        <v>3766</v>
      </c>
      <c r="J129" s="23" t="s">
        <v>2939</v>
      </c>
      <c r="K129" s="23"/>
      <c r="L129" s="23"/>
      <c r="M129" s="23" t="s">
        <v>3981</v>
      </c>
      <c r="N129" s="23" t="s">
        <v>3768</v>
      </c>
      <c r="O129" s="23" t="s">
        <v>2943</v>
      </c>
      <c r="P129" s="23" t="s">
        <v>3982</v>
      </c>
    </row>
    <row r="130" spans="1:16" ht="15.75" customHeight="1">
      <c r="A130" s="21" t="s">
        <v>1289</v>
      </c>
      <c r="B130" s="24" t="s">
        <v>1290</v>
      </c>
      <c r="C130" s="24">
        <v>2026</v>
      </c>
      <c r="D130" s="24" t="s">
        <v>438</v>
      </c>
      <c r="E130" s="24" t="s">
        <v>1292</v>
      </c>
      <c r="F130" s="25" t="s">
        <v>3763</v>
      </c>
      <c r="G130" s="25" t="s">
        <v>3770</v>
      </c>
      <c r="H130" s="25" t="s">
        <v>3983</v>
      </c>
      <c r="I130" s="25" t="s">
        <v>3766</v>
      </c>
      <c r="J130" s="25" t="s">
        <v>2939</v>
      </c>
      <c r="K130" s="25"/>
      <c r="L130" s="25"/>
      <c r="M130" s="25" t="s">
        <v>3984</v>
      </c>
      <c r="N130" s="25" t="s">
        <v>3768</v>
      </c>
      <c r="O130" s="25" t="s">
        <v>2943</v>
      </c>
      <c r="P130" s="25" t="s">
        <v>3985</v>
      </c>
    </row>
    <row r="131" spans="1:16" ht="15.75" customHeight="1">
      <c r="A131" s="21" t="s">
        <v>1737</v>
      </c>
      <c r="B131" s="22" t="s">
        <v>1738</v>
      </c>
      <c r="C131" s="22">
        <v>2025</v>
      </c>
      <c r="D131" s="22" t="s">
        <v>144</v>
      </c>
      <c r="E131" s="22" t="s">
        <v>1740</v>
      </c>
      <c r="F131" s="23" t="s">
        <v>3763</v>
      </c>
      <c r="G131" s="23" t="s">
        <v>3764</v>
      </c>
      <c r="H131" s="23" t="s">
        <v>3765</v>
      </c>
      <c r="I131" s="23" t="s">
        <v>3766</v>
      </c>
      <c r="J131" s="23" t="s">
        <v>2964</v>
      </c>
      <c r="K131" s="23" t="s">
        <v>1743</v>
      </c>
      <c r="L131" s="23" t="s">
        <v>3986</v>
      </c>
      <c r="M131" s="23" t="s">
        <v>3987</v>
      </c>
      <c r="N131" s="23" t="s">
        <v>3813</v>
      </c>
      <c r="O131" s="23" t="s">
        <v>2943</v>
      </c>
      <c r="P131" s="23" t="s">
        <v>3988</v>
      </c>
    </row>
    <row r="132" spans="1:16" ht="15.75" customHeight="1">
      <c r="A132" s="21" t="s">
        <v>1774</v>
      </c>
      <c r="B132" s="24" t="s">
        <v>1775</v>
      </c>
      <c r="C132" s="24">
        <v>2024</v>
      </c>
      <c r="D132" s="24" t="s">
        <v>1602</v>
      </c>
      <c r="E132" s="24" t="s">
        <v>1777</v>
      </c>
      <c r="F132" s="25" t="s">
        <v>3783</v>
      </c>
      <c r="G132" s="25"/>
      <c r="H132" s="25"/>
      <c r="I132" s="25"/>
      <c r="J132" s="25"/>
      <c r="K132" s="25"/>
      <c r="L132" s="25"/>
      <c r="M132" s="25"/>
      <c r="N132" s="25"/>
      <c r="O132" s="25"/>
      <c r="P132" s="25"/>
    </row>
    <row r="133" spans="1:16" ht="15.75" customHeight="1">
      <c r="A133" s="21" t="s">
        <v>1819</v>
      </c>
      <c r="B133" s="22" t="s">
        <v>1820</v>
      </c>
      <c r="C133" s="22">
        <v>2026</v>
      </c>
      <c r="D133" s="22" t="s">
        <v>501</v>
      </c>
      <c r="E133" s="22" t="s">
        <v>1822</v>
      </c>
      <c r="F133" s="23" t="s">
        <v>3763</v>
      </c>
      <c r="G133" s="23" t="s">
        <v>3764</v>
      </c>
      <c r="H133" s="23" t="s">
        <v>3765</v>
      </c>
      <c r="I133" s="23" t="s">
        <v>3766</v>
      </c>
      <c r="J133" s="23" t="s">
        <v>2939</v>
      </c>
      <c r="K133" s="23"/>
      <c r="L133" s="23"/>
      <c r="M133" s="23" t="s">
        <v>3989</v>
      </c>
      <c r="N133" s="23" t="s">
        <v>3768</v>
      </c>
      <c r="O133" s="23" t="s">
        <v>2943</v>
      </c>
      <c r="P133" s="23" t="s">
        <v>3990</v>
      </c>
    </row>
    <row r="134" spans="1:16" ht="15.75" customHeight="1">
      <c r="A134" s="21" t="s">
        <v>1923</v>
      </c>
      <c r="B134" s="24" t="s">
        <v>1924</v>
      </c>
      <c r="C134" s="24">
        <v>2026</v>
      </c>
      <c r="D134" s="24" t="s">
        <v>501</v>
      </c>
      <c r="E134" s="24" t="s">
        <v>1926</v>
      </c>
      <c r="F134" s="25" t="s">
        <v>3763</v>
      </c>
      <c r="G134" s="25" t="s">
        <v>3764</v>
      </c>
      <c r="H134" s="25" t="s">
        <v>3765</v>
      </c>
      <c r="I134" s="25" t="s">
        <v>3766</v>
      </c>
      <c r="J134" s="25" t="s">
        <v>2939</v>
      </c>
      <c r="K134" s="25"/>
      <c r="L134" s="25"/>
      <c r="M134" s="25" t="s">
        <v>3991</v>
      </c>
      <c r="N134" s="25" t="s">
        <v>3768</v>
      </c>
      <c r="O134" s="25" t="s">
        <v>2943</v>
      </c>
      <c r="P134" s="25" t="s">
        <v>3992</v>
      </c>
    </row>
    <row r="135" spans="1:16" ht="15.75" customHeight="1">
      <c r="A135" s="21" t="s">
        <v>1995</v>
      </c>
      <c r="B135" s="22" t="s">
        <v>1996</v>
      </c>
      <c r="C135" s="22">
        <v>2025</v>
      </c>
      <c r="D135" s="22" t="s">
        <v>1998</v>
      </c>
      <c r="E135" s="22" t="s">
        <v>1999</v>
      </c>
      <c r="F135" s="23" t="s">
        <v>3783</v>
      </c>
      <c r="G135" s="23"/>
      <c r="H135" s="23"/>
      <c r="I135" s="23"/>
      <c r="J135" s="23"/>
      <c r="K135" s="23"/>
      <c r="L135" s="23"/>
      <c r="M135" s="23"/>
      <c r="N135" s="23"/>
      <c r="O135" s="23"/>
      <c r="P135" s="23"/>
    </row>
    <row r="136" spans="1:16" ht="15.75" customHeight="1">
      <c r="A136" s="21" t="s">
        <v>2047</v>
      </c>
      <c r="B136" s="24" t="s">
        <v>2048</v>
      </c>
      <c r="C136" s="24">
        <v>2025</v>
      </c>
      <c r="D136" s="24" t="s">
        <v>393</v>
      </c>
      <c r="E136" s="24" t="s">
        <v>2050</v>
      </c>
      <c r="F136" s="25" t="s">
        <v>3763</v>
      </c>
      <c r="G136" s="25" t="s">
        <v>3764</v>
      </c>
      <c r="H136" s="25" t="s">
        <v>3765</v>
      </c>
      <c r="I136" s="25" t="s">
        <v>3766</v>
      </c>
      <c r="J136" s="25" t="s">
        <v>2939</v>
      </c>
      <c r="K136" s="25"/>
      <c r="L136" s="25"/>
      <c r="M136" s="25" t="s">
        <v>3993</v>
      </c>
      <c r="N136" s="25" t="s">
        <v>3768</v>
      </c>
      <c r="O136" s="25" t="s">
        <v>2943</v>
      </c>
      <c r="P136" s="25" t="s">
        <v>3994</v>
      </c>
    </row>
    <row r="137" spans="1:16" ht="15.75" customHeight="1">
      <c r="A137" s="21" t="s">
        <v>2089</v>
      </c>
      <c r="B137" s="22" t="s">
        <v>2090</v>
      </c>
      <c r="C137" s="22">
        <v>2025</v>
      </c>
      <c r="D137" s="22" t="s">
        <v>1602</v>
      </c>
      <c r="E137" s="22" t="s">
        <v>2092</v>
      </c>
      <c r="F137" s="23" t="s">
        <v>3783</v>
      </c>
      <c r="G137" s="23"/>
      <c r="H137" s="23"/>
      <c r="I137" s="23"/>
      <c r="J137" s="23"/>
      <c r="K137" s="23"/>
      <c r="L137" s="23"/>
      <c r="M137" s="23"/>
      <c r="N137" s="23"/>
      <c r="O137" s="23"/>
      <c r="P137" s="23"/>
    </row>
    <row r="138" spans="1:16" ht="15.75" customHeight="1">
      <c r="A138" s="21" t="s">
        <v>2162</v>
      </c>
      <c r="B138" s="24" t="s">
        <v>2163</v>
      </c>
      <c r="C138" s="24">
        <v>2022</v>
      </c>
      <c r="D138" s="24" t="s">
        <v>2165</v>
      </c>
      <c r="E138" s="24" t="s">
        <v>2166</v>
      </c>
      <c r="F138" s="25" t="s">
        <v>3763</v>
      </c>
      <c r="G138" s="25" t="s">
        <v>3764</v>
      </c>
      <c r="H138" s="25" t="s">
        <v>3765</v>
      </c>
      <c r="I138" s="25" t="s">
        <v>3766</v>
      </c>
      <c r="J138" s="25" t="s">
        <v>2939</v>
      </c>
      <c r="K138" s="25"/>
      <c r="L138" s="25"/>
      <c r="M138" s="25" t="s">
        <v>3995</v>
      </c>
      <c r="N138" s="25" t="s">
        <v>3768</v>
      </c>
      <c r="O138" s="25" t="s">
        <v>2943</v>
      </c>
      <c r="P138" s="25" t="s">
        <v>3996</v>
      </c>
    </row>
    <row r="139" spans="1:16" ht="15.75" customHeight="1">
      <c r="A139" s="21" t="s">
        <v>2346</v>
      </c>
      <c r="B139" s="22" t="s">
        <v>2347</v>
      </c>
      <c r="C139" s="22">
        <v>2024</v>
      </c>
      <c r="D139" s="22" t="s">
        <v>540</v>
      </c>
      <c r="E139" s="22" t="s">
        <v>2349</v>
      </c>
      <c r="F139" s="23" t="s">
        <v>3783</v>
      </c>
      <c r="G139" s="23"/>
      <c r="H139" s="23"/>
      <c r="I139" s="23"/>
      <c r="J139" s="23"/>
      <c r="K139" s="23"/>
      <c r="L139" s="23"/>
      <c r="M139" s="23"/>
      <c r="N139" s="23"/>
      <c r="O139" s="23"/>
      <c r="P139" s="23"/>
    </row>
    <row r="140" spans="1:16" ht="15.75" customHeight="1">
      <c r="A140" s="21" t="s">
        <v>2353</v>
      </c>
      <c r="B140" s="24" t="s">
        <v>2354</v>
      </c>
      <c r="C140" s="24">
        <v>2026</v>
      </c>
      <c r="D140" s="24" t="s">
        <v>153</v>
      </c>
      <c r="E140" s="24" t="s">
        <v>2356</v>
      </c>
      <c r="F140" s="25" t="s">
        <v>3763</v>
      </c>
      <c r="G140" s="25" t="s">
        <v>3770</v>
      </c>
      <c r="H140" s="25" t="s">
        <v>3997</v>
      </c>
      <c r="I140" s="25" t="s">
        <v>3766</v>
      </c>
      <c r="J140" s="25" t="s">
        <v>2939</v>
      </c>
      <c r="K140" s="25"/>
      <c r="L140" s="25"/>
      <c r="M140" s="25" t="s">
        <v>3998</v>
      </c>
      <c r="N140" s="25" t="s">
        <v>3768</v>
      </c>
      <c r="O140" s="25" t="s">
        <v>2943</v>
      </c>
      <c r="P140" s="25" t="s">
        <v>3999</v>
      </c>
    </row>
    <row r="141" spans="1:16" ht="15.75" customHeight="1">
      <c r="A141" s="21" t="s">
        <v>2405</v>
      </c>
      <c r="B141" s="22" t="s">
        <v>2406</v>
      </c>
      <c r="C141" s="22">
        <v>2024</v>
      </c>
      <c r="D141" s="22" t="s">
        <v>325</v>
      </c>
      <c r="E141" s="22" t="s">
        <v>2408</v>
      </c>
      <c r="F141" s="23" t="s">
        <v>3763</v>
      </c>
      <c r="G141" s="23" t="s">
        <v>3764</v>
      </c>
      <c r="H141" s="23" t="s">
        <v>3765</v>
      </c>
      <c r="I141" s="23" t="s">
        <v>3766</v>
      </c>
      <c r="J141" s="23" t="s">
        <v>2939</v>
      </c>
      <c r="K141" s="23"/>
      <c r="L141" s="23"/>
      <c r="M141" s="23" t="s">
        <v>4000</v>
      </c>
      <c r="N141" s="23" t="s">
        <v>3768</v>
      </c>
      <c r="O141" s="23" t="s">
        <v>2943</v>
      </c>
      <c r="P141" s="23" t="s">
        <v>4001</v>
      </c>
    </row>
    <row r="142" spans="1:16" ht="15.75" customHeight="1">
      <c r="A142" s="21" t="s">
        <v>2491</v>
      </c>
      <c r="B142" s="24" t="s">
        <v>2492</v>
      </c>
      <c r="C142" s="24">
        <v>2025</v>
      </c>
      <c r="D142" s="24" t="s">
        <v>255</v>
      </c>
      <c r="E142" s="24" t="s">
        <v>2494</v>
      </c>
      <c r="F142" s="25" t="s">
        <v>3763</v>
      </c>
      <c r="G142" s="25" t="s">
        <v>3770</v>
      </c>
      <c r="H142" s="25" t="s">
        <v>4002</v>
      </c>
      <c r="I142" s="25" t="s">
        <v>3766</v>
      </c>
      <c r="J142" s="25" t="s">
        <v>2939</v>
      </c>
      <c r="K142" s="25"/>
      <c r="L142" s="25"/>
      <c r="M142" s="25" t="s">
        <v>4003</v>
      </c>
      <c r="N142" s="25" t="s">
        <v>3768</v>
      </c>
      <c r="O142" s="25" t="s">
        <v>2943</v>
      </c>
      <c r="P142" s="25" t="s">
        <v>4004</v>
      </c>
    </row>
    <row r="143" spans="1:16" ht="15.75" customHeight="1">
      <c r="A143" s="21" t="s">
        <v>2520</v>
      </c>
      <c r="B143" s="22" t="s">
        <v>2521</v>
      </c>
      <c r="C143" s="22">
        <v>2025</v>
      </c>
      <c r="D143" s="22" t="s">
        <v>198</v>
      </c>
      <c r="E143" s="22" t="s">
        <v>2523</v>
      </c>
      <c r="F143" s="23" t="s">
        <v>3763</v>
      </c>
      <c r="G143" s="23" t="s">
        <v>3764</v>
      </c>
      <c r="H143" s="23" t="s">
        <v>3765</v>
      </c>
      <c r="I143" s="23" t="s">
        <v>3766</v>
      </c>
      <c r="J143" s="23" t="s">
        <v>2939</v>
      </c>
      <c r="K143" s="23"/>
      <c r="L143" s="23"/>
      <c r="M143" s="23" t="s">
        <v>4005</v>
      </c>
      <c r="N143" s="23" t="s">
        <v>3768</v>
      </c>
      <c r="O143" s="23" t="s">
        <v>2943</v>
      </c>
      <c r="P143" s="23" t="s">
        <v>4006</v>
      </c>
    </row>
    <row r="144" spans="1:16" ht="15.75" customHeight="1">
      <c r="A144" s="21" t="s">
        <v>2548</v>
      </c>
      <c r="B144" s="24" t="s">
        <v>2549</v>
      </c>
      <c r="C144" s="24">
        <v>2024</v>
      </c>
      <c r="D144" s="24" t="s">
        <v>325</v>
      </c>
      <c r="E144" s="24" t="s">
        <v>2551</v>
      </c>
      <c r="F144" s="25" t="s">
        <v>3763</v>
      </c>
      <c r="G144" s="25" t="s">
        <v>3764</v>
      </c>
      <c r="H144" s="25" t="s">
        <v>3765</v>
      </c>
      <c r="I144" s="25" t="s">
        <v>3766</v>
      </c>
      <c r="J144" s="25" t="s">
        <v>2964</v>
      </c>
      <c r="K144" s="25" t="s">
        <v>1743</v>
      </c>
      <c r="L144" s="25" t="s">
        <v>4007</v>
      </c>
      <c r="M144" s="25" t="s">
        <v>4008</v>
      </c>
      <c r="N144" s="25" t="s">
        <v>3813</v>
      </c>
      <c r="O144" s="25" t="s">
        <v>2943</v>
      </c>
      <c r="P144" s="25" t="s">
        <v>4009</v>
      </c>
    </row>
    <row r="145" spans="1:16" ht="15.75" customHeight="1">
      <c r="A145" s="21" t="s">
        <v>2620</v>
      </c>
      <c r="B145" s="22" t="s">
        <v>2621</v>
      </c>
      <c r="C145" s="22">
        <v>2026</v>
      </c>
      <c r="D145" s="22" t="s">
        <v>438</v>
      </c>
      <c r="E145" s="22" t="s">
        <v>2623</v>
      </c>
      <c r="F145" s="23" t="s">
        <v>3783</v>
      </c>
      <c r="G145" s="23"/>
      <c r="H145" s="23"/>
      <c r="I145" s="23"/>
      <c r="J145" s="23"/>
      <c r="K145" s="23"/>
      <c r="L145" s="23"/>
      <c r="M145" s="23"/>
      <c r="N145" s="23"/>
      <c r="O145" s="23"/>
      <c r="P145" s="23"/>
    </row>
    <row r="146" spans="1:16" ht="15.75" customHeight="1">
      <c r="A146" s="36" t="s">
        <v>2665</v>
      </c>
      <c r="B146" s="36" t="s">
        <v>2666</v>
      </c>
      <c r="C146" s="36">
        <v>2023</v>
      </c>
      <c r="D146" s="36" t="s">
        <v>2668</v>
      </c>
      <c r="E146" s="36" t="s">
        <v>2669</v>
      </c>
      <c r="F146" s="36" t="s">
        <v>3763</v>
      </c>
      <c r="G146" s="36" t="s">
        <v>3764</v>
      </c>
      <c r="H146" s="36" t="s">
        <v>3765</v>
      </c>
      <c r="I146" s="36" t="s">
        <v>3766</v>
      </c>
      <c r="J146" s="36" t="s">
        <v>2939</v>
      </c>
      <c r="K146" s="36"/>
      <c r="L146" s="36"/>
      <c r="M146" s="36" t="s">
        <v>4010</v>
      </c>
      <c r="N146" s="36" t="s">
        <v>3768</v>
      </c>
      <c r="O146" s="36" t="s">
        <v>2943</v>
      </c>
      <c r="P146" s="36" t="s">
        <v>4011</v>
      </c>
    </row>
    <row r="147" spans="1:16" ht="15.75" customHeight="1">
      <c r="A147" s="37"/>
      <c r="B147" s="37"/>
      <c r="C147" s="37"/>
      <c r="D147" s="37"/>
      <c r="E147" s="37"/>
      <c r="F147" s="37"/>
      <c r="G147" s="37"/>
      <c r="H147" s="37"/>
      <c r="I147" s="37"/>
      <c r="J147" s="37"/>
      <c r="K147" s="37"/>
      <c r="L147" s="37"/>
      <c r="M147" s="37"/>
      <c r="N147" s="37"/>
      <c r="O147" s="37"/>
      <c r="P147" s="37"/>
    </row>
    <row r="148" spans="1:16" ht="15.75" customHeight="1">
      <c r="A148" s="36"/>
      <c r="B148" s="36"/>
      <c r="C148" s="36"/>
      <c r="D148" s="36"/>
      <c r="E148" s="36"/>
      <c r="F148" s="36"/>
      <c r="G148" s="36"/>
      <c r="H148" s="36"/>
      <c r="I148" s="36"/>
      <c r="J148" s="36"/>
      <c r="K148" s="36"/>
      <c r="L148" s="36"/>
      <c r="M148" s="36"/>
      <c r="N148" s="36"/>
      <c r="O148" s="36"/>
      <c r="P148" s="36"/>
    </row>
    <row r="149" spans="1:16" ht="15.75" customHeight="1">
      <c r="A149" s="37"/>
      <c r="B149" s="37"/>
      <c r="C149" s="37"/>
      <c r="D149" s="37"/>
      <c r="E149" s="37"/>
      <c r="F149" s="37"/>
      <c r="G149" s="37"/>
      <c r="H149" s="37"/>
      <c r="I149" s="37"/>
      <c r="J149" s="37"/>
      <c r="K149" s="37"/>
      <c r="L149" s="37"/>
      <c r="M149" s="37"/>
      <c r="N149" s="37"/>
      <c r="O149" s="37"/>
      <c r="P149" s="37"/>
    </row>
    <row r="150" spans="1:16" ht="15.75" customHeight="1">
      <c r="A150" s="36"/>
      <c r="B150" s="36"/>
      <c r="C150" s="36"/>
      <c r="D150" s="36"/>
      <c r="E150" s="36"/>
      <c r="F150" s="36"/>
      <c r="G150" s="36"/>
      <c r="H150" s="36"/>
      <c r="I150" s="36"/>
      <c r="J150" s="36"/>
      <c r="K150" s="36"/>
      <c r="L150" s="36"/>
      <c r="M150" s="36"/>
      <c r="N150" s="36"/>
      <c r="O150" s="36"/>
      <c r="P150" s="36"/>
    </row>
    <row r="151" spans="1:16" ht="15.75" customHeight="1">
      <c r="A151" s="37"/>
      <c r="B151" s="37"/>
      <c r="C151" s="37"/>
      <c r="D151" s="37"/>
      <c r="E151" s="37"/>
      <c r="F151" s="37"/>
      <c r="G151" s="37"/>
      <c r="H151" s="37"/>
      <c r="I151" s="37"/>
      <c r="J151" s="37"/>
      <c r="K151" s="37"/>
      <c r="L151" s="37"/>
      <c r="M151" s="37"/>
      <c r="N151" s="37"/>
      <c r="O151" s="37"/>
      <c r="P151" s="37"/>
    </row>
    <row r="152" spans="1:16" ht="15.75" customHeight="1">
      <c r="A152" s="36"/>
      <c r="B152" s="36"/>
      <c r="C152" s="36"/>
      <c r="D152" s="36"/>
      <c r="E152" s="36"/>
      <c r="F152" s="36"/>
      <c r="G152" s="36"/>
      <c r="H152" s="36"/>
      <c r="I152" s="36"/>
      <c r="J152" s="36"/>
      <c r="K152" s="36"/>
      <c r="L152" s="36"/>
      <c r="M152" s="36"/>
      <c r="N152" s="36"/>
      <c r="O152" s="36"/>
      <c r="P152" s="36"/>
    </row>
    <row r="153" spans="1:16" ht="15.75" customHeight="1">
      <c r="A153" s="37"/>
      <c r="B153" s="37"/>
      <c r="C153" s="37"/>
      <c r="D153" s="37"/>
      <c r="E153" s="37"/>
      <c r="F153" s="37"/>
      <c r="G153" s="37"/>
      <c r="H153" s="37"/>
      <c r="I153" s="37"/>
      <c r="J153" s="37"/>
      <c r="K153" s="37"/>
      <c r="L153" s="37"/>
      <c r="M153" s="37"/>
      <c r="N153" s="37"/>
      <c r="O153" s="37"/>
      <c r="P153" s="37"/>
    </row>
    <row r="154" spans="1:16" ht="15.75" customHeight="1">
      <c r="A154" s="36"/>
      <c r="B154" s="36"/>
      <c r="C154" s="36"/>
      <c r="D154" s="36"/>
      <c r="E154" s="36"/>
      <c r="F154" s="36"/>
      <c r="G154" s="36"/>
      <c r="H154" s="36"/>
      <c r="I154" s="36"/>
      <c r="J154" s="36"/>
      <c r="K154" s="36"/>
      <c r="L154" s="36"/>
      <c r="M154" s="36"/>
      <c r="N154" s="36"/>
      <c r="O154" s="36"/>
      <c r="P154" s="36"/>
    </row>
    <row r="155" spans="1:16" ht="15.75" customHeight="1">
      <c r="A155" s="37"/>
      <c r="B155" s="37"/>
      <c r="C155" s="37"/>
      <c r="D155" s="37"/>
      <c r="E155" s="37"/>
      <c r="F155" s="37"/>
      <c r="G155" s="37"/>
      <c r="H155" s="37"/>
      <c r="I155" s="37"/>
      <c r="J155" s="37"/>
      <c r="K155" s="37"/>
      <c r="L155" s="37"/>
      <c r="M155" s="37"/>
      <c r="N155" s="37"/>
      <c r="O155" s="37"/>
      <c r="P155" s="37"/>
    </row>
    <row r="156" spans="1:16" ht="15.75" customHeight="1">
      <c r="A156" s="36"/>
      <c r="B156" s="36"/>
      <c r="C156" s="36"/>
      <c r="D156" s="36"/>
      <c r="E156" s="36"/>
      <c r="F156" s="36"/>
      <c r="G156" s="36"/>
      <c r="H156" s="36"/>
      <c r="I156" s="36"/>
      <c r="J156" s="36"/>
      <c r="K156" s="36"/>
      <c r="L156" s="36"/>
      <c r="M156" s="36"/>
      <c r="N156" s="36"/>
      <c r="O156" s="36"/>
      <c r="P156" s="36"/>
    </row>
    <row r="157" spans="1:16" ht="15.75" customHeight="1">
      <c r="A157" s="37"/>
      <c r="B157" s="37"/>
      <c r="C157" s="37"/>
      <c r="D157" s="37"/>
      <c r="E157" s="37"/>
      <c r="F157" s="37"/>
      <c r="G157" s="37"/>
      <c r="H157" s="37"/>
      <c r="I157" s="37"/>
      <c r="J157" s="37"/>
      <c r="K157" s="37"/>
      <c r="L157" s="37"/>
      <c r="M157" s="37"/>
      <c r="N157" s="37"/>
      <c r="O157" s="37"/>
      <c r="P157" s="37"/>
    </row>
    <row r="158" spans="1:16" ht="15.75" customHeight="1">
      <c r="A158" s="36"/>
      <c r="B158" s="36"/>
      <c r="C158" s="36"/>
      <c r="D158" s="36"/>
      <c r="E158" s="36"/>
      <c r="F158" s="36"/>
      <c r="G158" s="36"/>
      <c r="H158" s="36"/>
      <c r="I158" s="36"/>
      <c r="J158" s="36"/>
      <c r="K158" s="36"/>
      <c r="L158" s="36"/>
      <c r="M158" s="36"/>
      <c r="N158" s="36"/>
      <c r="O158" s="36"/>
      <c r="P158" s="36"/>
    </row>
    <row r="159" spans="1:16" ht="15.75" customHeight="1">
      <c r="A159" s="37"/>
      <c r="B159" s="37"/>
      <c r="C159" s="37"/>
      <c r="D159" s="37"/>
      <c r="E159" s="37"/>
      <c r="F159" s="37"/>
      <c r="G159" s="37"/>
      <c r="H159" s="37"/>
      <c r="I159" s="37"/>
      <c r="J159" s="37"/>
      <c r="K159" s="37"/>
      <c r="L159" s="37"/>
      <c r="M159" s="37"/>
      <c r="N159" s="37"/>
      <c r="O159" s="37"/>
      <c r="P159" s="37"/>
    </row>
    <row r="160" spans="1:16" ht="15.75" customHeight="1">
      <c r="A160" s="36"/>
      <c r="B160" s="36"/>
      <c r="C160" s="36"/>
      <c r="D160" s="36"/>
      <c r="E160" s="36"/>
      <c r="F160" s="36"/>
      <c r="G160" s="36"/>
      <c r="H160" s="36"/>
      <c r="I160" s="36"/>
      <c r="J160" s="36"/>
      <c r="K160" s="36"/>
      <c r="L160" s="36"/>
      <c r="M160" s="36"/>
      <c r="N160" s="36"/>
      <c r="O160" s="36"/>
      <c r="P160" s="36"/>
    </row>
    <row r="161" spans="1:16" ht="15.75" customHeight="1">
      <c r="A161" s="37"/>
      <c r="B161" s="37"/>
      <c r="C161" s="37"/>
      <c r="D161" s="37"/>
      <c r="E161" s="37"/>
      <c r="F161" s="37"/>
      <c r="G161" s="37"/>
      <c r="H161" s="37"/>
      <c r="I161" s="37"/>
      <c r="J161" s="37"/>
      <c r="K161" s="37"/>
      <c r="L161" s="37"/>
      <c r="M161" s="37"/>
      <c r="N161" s="37"/>
      <c r="O161" s="37"/>
      <c r="P161" s="37"/>
    </row>
    <row r="162" spans="1:16" ht="15.75" customHeight="1">
      <c r="A162" s="36"/>
      <c r="B162" s="36"/>
      <c r="C162" s="36"/>
      <c r="D162" s="36"/>
      <c r="E162" s="36"/>
      <c r="F162" s="36"/>
      <c r="G162" s="36"/>
      <c r="H162" s="36"/>
      <c r="I162" s="36"/>
      <c r="J162" s="36"/>
      <c r="K162" s="36"/>
      <c r="L162" s="36"/>
      <c r="M162" s="36"/>
      <c r="N162" s="36"/>
      <c r="O162" s="36"/>
      <c r="P162" s="36"/>
    </row>
    <row r="163" spans="1:16" ht="15.75" customHeight="1">
      <c r="A163" s="37"/>
      <c r="B163" s="37"/>
      <c r="C163" s="37"/>
      <c r="D163" s="37"/>
      <c r="E163" s="37"/>
      <c r="F163" s="37"/>
      <c r="G163" s="37"/>
      <c r="H163" s="37"/>
      <c r="I163" s="37"/>
      <c r="J163" s="37"/>
      <c r="K163" s="37"/>
      <c r="L163" s="37"/>
      <c r="M163" s="37"/>
      <c r="N163" s="37"/>
      <c r="O163" s="37"/>
      <c r="P163" s="37"/>
    </row>
    <row r="164" spans="1:16" ht="15.75" customHeight="1">
      <c r="A164" s="36"/>
      <c r="B164" s="36"/>
      <c r="C164" s="36"/>
      <c r="D164" s="36"/>
      <c r="E164" s="36"/>
      <c r="F164" s="36"/>
      <c r="G164" s="36"/>
      <c r="H164" s="36"/>
      <c r="I164" s="36"/>
      <c r="J164" s="36"/>
      <c r="K164" s="36"/>
      <c r="L164" s="36"/>
      <c r="M164" s="36"/>
      <c r="N164" s="36"/>
      <c r="O164" s="36"/>
      <c r="P164" s="36"/>
    </row>
    <row r="165" spans="1:16" ht="15.75" customHeight="1">
      <c r="A165" s="37"/>
      <c r="B165" s="37"/>
      <c r="C165" s="37"/>
      <c r="D165" s="37"/>
      <c r="E165" s="37"/>
      <c r="F165" s="37"/>
      <c r="G165" s="37"/>
      <c r="H165" s="37"/>
      <c r="I165" s="37"/>
      <c r="J165" s="37"/>
      <c r="K165" s="37"/>
      <c r="L165" s="37"/>
      <c r="M165" s="37"/>
      <c r="N165" s="37"/>
      <c r="O165" s="37"/>
      <c r="P165" s="37"/>
    </row>
    <row r="166" spans="1:16" ht="15.75" customHeight="1">
      <c r="A166" s="36"/>
      <c r="B166" s="36"/>
      <c r="C166" s="36"/>
      <c r="D166" s="36"/>
      <c r="E166" s="36"/>
      <c r="F166" s="36"/>
      <c r="G166" s="36"/>
      <c r="H166" s="36"/>
      <c r="I166" s="36"/>
      <c r="J166" s="36"/>
      <c r="K166" s="36"/>
      <c r="L166" s="36"/>
      <c r="M166" s="36"/>
      <c r="N166" s="36"/>
      <c r="O166" s="36"/>
      <c r="P166" s="36"/>
    </row>
    <row r="167" spans="1:16" ht="15.75" customHeight="1">
      <c r="A167" s="37"/>
      <c r="B167" s="37"/>
      <c r="C167" s="37"/>
      <c r="D167" s="37"/>
      <c r="E167" s="37"/>
      <c r="F167" s="37"/>
      <c r="G167" s="37"/>
      <c r="H167" s="37"/>
      <c r="I167" s="37"/>
      <c r="J167" s="37"/>
      <c r="K167" s="37"/>
      <c r="L167" s="37"/>
      <c r="M167" s="37"/>
      <c r="N167" s="37"/>
      <c r="O167" s="37"/>
      <c r="P167" s="37"/>
    </row>
    <row r="168" spans="1:16" ht="15.75" customHeight="1">
      <c r="A168" s="36"/>
      <c r="B168" s="36"/>
      <c r="C168" s="36"/>
      <c r="D168" s="36"/>
      <c r="E168" s="36"/>
      <c r="F168" s="36"/>
      <c r="G168" s="36"/>
      <c r="H168" s="36"/>
      <c r="I168" s="36"/>
      <c r="J168" s="36"/>
      <c r="K168" s="36"/>
      <c r="L168" s="36"/>
      <c r="M168" s="36"/>
      <c r="N168" s="36"/>
      <c r="O168" s="36"/>
      <c r="P168" s="36"/>
    </row>
    <row r="169" spans="1:16" ht="15.75" customHeight="1">
      <c r="A169" s="37"/>
      <c r="B169" s="37"/>
      <c r="C169" s="37"/>
      <c r="D169" s="37"/>
      <c r="E169" s="37"/>
      <c r="F169" s="37"/>
      <c r="G169" s="37"/>
      <c r="H169" s="37"/>
      <c r="I169" s="37"/>
      <c r="J169" s="37"/>
      <c r="K169" s="37"/>
      <c r="L169" s="37"/>
      <c r="M169" s="37"/>
      <c r="N169" s="37"/>
      <c r="O169" s="37"/>
      <c r="P169" s="37"/>
    </row>
    <row r="170" spans="1:16" ht="15.75" customHeight="1">
      <c r="A170" s="36"/>
      <c r="B170" s="36"/>
      <c r="C170" s="36"/>
      <c r="D170" s="36"/>
      <c r="E170" s="36"/>
      <c r="F170" s="36"/>
      <c r="G170" s="36"/>
      <c r="H170" s="36"/>
      <c r="I170" s="36"/>
      <c r="J170" s="36"/>
      <c r="K170" s="36"/>
      <c r="L170" s="36"/>
      <c r="M170" s="36"/>
      <c r="N170" s="36"/>
      <c r="O170" s="36"/>
      <c r="P170" s="36"/>
    </row>
    <row r="171" spans="1:16" ht="15.75" customHeight="1">
      <c r="A171" s="37"/>
      <c r="B171" s="37"/>
      <c r="C171" s="37"/>
      <c r="D171" s="37"/>
      <c r="E171" s="37"/>
      <c r="F171" s="37"/>
      <c r="G171" s="37"/>
      <c r="H171" s="37"/>
      <c r="I171" s="37"/>
      <c r="J171" s="37"/>
      <c r="K171" s="37"/>
      <c r="L171" s="37"/>
      <c r="M171" s="37"/>
      <c r="N171" s="37"/>
      <c r="O171" s="37"/>
      <c r="P171" s="37"/>
    </row>
    <row r="172" spans="1:16" ht="15.75" customHeight="1">
      <c r="A172" s="36"/>
      <c r="B172" s="36"/>
      <c r="C172" s="36"/>
      <c r="D172" s="36"/>
      <c r="E172" s="36"/>
      <c r="F172" s="36"/>
      <c r="G172" s="36"/>
      <c r="H172" s="36"/>
      <c r="I172" s="36"/>
      <c r="J172" s="36"/>
      <c r="K172" s="36"/>
      <c r="L172" s="36"/>
      <c r="M172" s="36"/>
      <c r="N172" s="36"/>
      <c r="O172" s="36"/>
      <c r="P172" s="36"/>
    </row>
    <row r="173" spans="1:16" ht="15.75" customHeight="1">
      <c r="A173" s="37"/>
      <c r="B173" s="37"/>
      <c r="C173" s="37"/>
      <c r="D173" s="37"/>
      <c r="E173" s="37"/>
      <c r="F173" s="37"/>
      <c r="G173" s="37"/>
      <c r="H173" s="37"/>
      <c r="I173" s="37"/>
      <c r="J173" s="37"/>
      <c r="K173" s="37"/>
      <c r="L173" s="37"/>
      <c r="M173" s="37"/>
      <c r="N173" s="37"/>
      <c r="O173" s="37"/>
      <c r="P173" s="37"/>
    </row>
    <row r="174" spans="1:16" ht="15.75" customHeight="1">
      <c r="A174" s="36"/>
      <c r="B174" s="36"/>
      <c r="C174" s="36"/>
      <c r="D174" s="36"/>
      <c r="E174" s="36"/>
      <c r="F174" s="36"/>
      <c r="G174" s="36"/>
      <c r="H174" s="36"/>
      <c r="I174" s="36"/>
      <c r="J174" s="36"/>
      <c r="K174" s="36"/>
      <c r="L174" s="36"/>
      <c r="M174" s="36"/>
      <c r="N174" s="36"/>
      <c r="O174" s="36"/>
      <c r="P174" s="36"/>
    </row>
    <row r="175" spans="1:16" ht="15.75" customHeight="1">
      <c r="A175" s="37"/>
      <c r="B175" s="37"/>
      <c r="C175" s="37"/>
      <c r="D175" s="37"/>
      <c r="E175" s="37"/>
      <c r="F175" s="37"/>
      <c r="G175" s="37"/>
      <c r="H175" s="37"/>
      <c r="I175" s="37"/>
      <c r="J175" s="37"/>
      <c r="K175" s="37"/>
      <c r="L175" s="37"/>
      <c r="M175" s="37"/>
      <c r="N175" s="37"/>
      <c r="O175" s="37"/>
      <c r="P175" s="37"/>
    </row>
    <row r="176" spans="1:16" ht="15.75" customHeight="1">
      <c r="A176" s="36"/>
      <c r="B176" s="36"/>
      <c r="C176" s="36"/>
      <c r="D176" s="36"/>
      <c r="E176" s="36"/>
      <c r="F176" s="36"/>
      <c r="G176" s="36"/>
      <c r="H176" s="36"/>
      <c r="I176" s="36"/>
      <c r="J176" s="36"/>
      <c r="K176" s="36"/>
      <c r="L176" s="36"/>
      <c r="M176" s="36"/>
      <c r="N176" s="36"/>
      <c r="O176" s="36"/>
      <c r="P176" s="36"/>
    </row>
    <row r="177" spans="1:16" ht="15.75" customHeight="1">
      <c r="A177" s="37"/>
      <c r="B177" s="37"/>
      <c r="C177" s="37"/>
      <c r="D177" s="37"/>
      <c r="E177" s="37"/>
      <c r="F177" s="37"/>
      <c r="G177" s="37"/>
      <c r="H177" s="37"/>
      <c r="I177" s="37"/>
      <c r="J177" s="37"/>
      <c r="K177" s="37"/>
      <c r="L177" s="37"/>
      <c r="M177" s="37"/>
      <c r="N177" s="37"/>
      <c r="O177" s="37"/>
      <c r="P177" s="37"/>
    </row>
    <row r="178" spans="1:16" ht="15.75" customHeight="1">
      <c r="A178" s="36"/>
      <c r="B178" s="36"/>
      <c r="C178" s="36"/>
      <c r="D178" s="36"/>
      <c r="E178" s="36"/>
      <c r="F178" s="36"/>
      <c r="G178" s="36"/>
      <c r="H178" s="36"/>
      <c r="I178" s="36"/>
      <c r="J178" s="36"/>
      <c r="K178" s="36"/>
      <c r="L178" s="36"/>
      <c r="M178" s="36"/>
      <c r="N178" s="36"/>
      <c r="O178" s="36"/>
      <c r="P178" s="36"/>
    </row>
    <row r="179" spans="1:16" ht="15.75" customHeight="1">
      <c r="A179" s="37"/>
      <c r="B179" s="37"/>
      <c r="C179" s="37"/>
      <c r="D179" s="37"/>
      <c r="E179" s="37"/>
      <c r="F179" s="37"/>
      <c r="G179" s="37"/>
      <c r="H179" s="37"/>
      <c r="I179" s="37"/>
      <c r="J179" s="37"/>
      <c r="K179" s="37"/>
      <c r="L179" s="37"/>
      <c r="M179" s="37"/>
      <c r="N179" s="37"/>
      <c r="O179" s="37"/>
      <c r="P179" s="37"/>
    </row>
    <row r="180" spans="1:16" ht="15.75" customHeight="1">
      <c r="A180" s="36"/>
      <c r="B180" s="36"/>
      <c r="C180" s="36"/>
      <c r="D180" s="36"/>
      <c r="E180" s="36"/>
      <c r="F180" s="36"/>
      <c r="G180" s="36"/>
      <c r="H180" s="36"/>
      <c r="I180" s="36"/>
      <c r="J180" s="36"/>
      <c r="K180" s="36"/>
      <c r="L180" s="36"/>
      <c r="M180" s="36"/>
      <c r="N180" s="36"/>
      <c r="O180" s="36"/>
      <c r="P180" s="36"/>
    </row>
    <row r="181" spans="1:16" ht="15.75" customHeight="1">
      <c r="A181" s="37"/>
      <c r="B181" s="37"/>
      <c r="C181" s="37"/>
      <c r="D181" s="37"/>
      <c r="E181" s="37"/>
      <c r="F181" s="37"/>
      <c r="G181" s="37"/>
      <c r="H181" s="37"/>
      <c r="I181" s="37"/>
      <c r="J181" s="37"/>
      <c r="K181" s="37"/>
      <c r="L181" s="37"/>
      <c r="M181" s="37"/>
      <c r="N181" s="37"/>
      <c r="O181" s="37"/>
      <c r="P181" s="37"/>
    </row>
    <row r="182" spans="1:16" ht="15.75" customHeight="1">
      <c r="A182" s="36"/>
      <c r="B182" s="36"/>
      <c r="C182" s="36"/>
      <c r="D182" s="36"/>
      <c r="E182" s="36"/>
      <c r="F182" s="36"/>
      <c r="G182" s="36"/>
      <c r="H182" s="36"/>
      <c r="I182" s="36"/>
      <c r="J182" s="36"/>
      <c r="K182" s="36"/>
      <c r="L182" s="36"/>
      <c r="M182" s="36"/>
      <c r="N182" s="36"/>
      <c r="O182" s="36"/>
      <c r="P182" s="36"/>
    </row>
    <row r="183" spans="1:16" ht="15.75" customHeight="1">
      <c r="A183" s="37"/>
      <c r="B183" s="37"/>
      <c r="C183" s="37"/>
      <c r="D183" s="37"/>
      <c r="E183" s="37"/>
      <c r="F183" s="37"/>
      <c r="G183" s="37"/>
      <c r="H183" s="37"/>
      <c r="I183" s="37"/>
      <c r="J183" s="37"/>
      <c r="K183" s="37"/>
      <c r="L183" s="37"/>
      <c r="M183" s="37"/>
      <c r="N183" s="37"/>
      <c r="O183" s="37"/>
      <c r="P183" s="37"/>
    </row>
    <row r="184" spans="1:16" ht="15.75" customHeight="1">
      <c r="A184" s="36"/>
      <c r="B184" s="36"/>
      <c r="C184" s="36"/>
      <c r="D184" s="36"/>
      <c r="E184" s="36"/>
      <c r="F184" s="36"/>
      <c r="G184" s="36"/>
      <c r="H184" s="36"/>
      <c r="I184" s="36"/>
      <c r="J184" s="36"/>
      <c r="K184" s="36"/>
      <c r="L184" s="36"/>
      <c r="M184" s="36"/>
      <c r="N184" s="36"/>
      <c r="O184" s="36"/>
      <c r="P184" s="36"/>
    </row>
    <row r="185" spans="1:16" ht="15.75" customHeight="1">
      <c r="A185" s="37"/>
      <c r="B185" s="37"/>
      <c r="C185" s="37"/>
      <c r="D185" s="37"/>
      <c r="E185" s="37"/>
      <c r="F185" s="37"/>
      <c r="G185" s="37"/>
      <c r="H185" s="37"/>
      <c r="I185" s="37"/>
      <c r="J185" s="37"/>
      <c r="K185" s="37"/>
      <c r="L185" s="37"/>
      <c r="M185" s="37"/>
      <c r="N185" s="37"/>
      <c r="O185" s="37"/>
      <c r="P185" s="37"/>
    </row>
    <row r="186" spans="1:16" ht="15.75" customHeight="1">
      <c r="A186" s="36"/>
      <c r="B186" s="36"/>
      <c r="C186" s="36"/>
      <c r="D186" s="36"/>
      <c r="E186" s="36"/>
      <c r="F186" s="36"/>
      <c r="G186" s="36"/>
      <c r="H186" s="36"/>
      <c r="I186" s="36"/>
      <c r="J186" s="36"/>
      <c r="K186" s="36"/>
      <c r="L186" s="36"/>
      <c r="M186" s="36"/>
      <c r="N186" s="36"/>
      <c r="O186" s="36"/>
      <c r="P186" s="36"/>
    </row>
    <row r="187" spans="1:16" ht="15.75" customHeight="1">
      <c r="A187" s="37"/>
      <c r="B187" s="37"/>
      <c r="C187" s="37"/>
      <c r="D187" s="37"/>
      <c r="E187" s="37"/>
      <c r="F187" s="37"/>
      <c r="G187" s="37"/>
      <c r="H187" s="37"/>
      <c r="I187" s="37"/>
      <c r="J187" s="37"/>
      <c r="K187" s="37"/>
      <c r="L187" s="37"/>
      <c r="M187" s="37"/>
      <c r="N187" s="37"/>
      <c r="O187" s="37"/>
      <c r="P187" s="37"/>
    </row>
    <row r="188" spans="1:16" ht="15.75" customHeight="1">
      <c r="A188" s="36"/>
      <c r="B188" s="36"/>
      <c r="C188" s="36"/>
      <c r="D188" s="36"/>
      <c r="E188" s="36"/>
      <c r="F188" s="36"/>
      <c r="G188" s="36"/>
      <c r="H188" s="36"/>
      <c r="I188" s="36"/>
      <c r="J188" s="36"/>
      <c r="K188" s="36"/>
      <c r="L188" s="36"/>
      <c r="M188" s="36"/>
      <c r="N188" s="36"/>
      <c r="O188" s="36"/>
      <c r="P188" s="36"/>
    </row>
    <row r="189" spans="1:16" ht="15.75" customHeight="1">
      <c r="A189" s="37"/>
      <c r="B189" s="37"/>
      <c r="C189" s="37"/>
      <c r="D189" s="37"/>
      <c r="E189" s="37"/>
      <c r="F189" s="37"/>
      <c r="G189" s="37"/>
      <c r="H189" s="37"/>
      <c r="I189" s="37"/>
      <c r="J189" s="37"/>
      <c r="K189" s="37"/>
      <c r="L189" s="37"/>
      <c r="M189" s="37"/>
      <c r="N189" s="37"/>
      <c r="O189" s="37"/>
      <c r="P189" s="37"/>
    </row>
    <row r="190" spans="1:16" ht="15.75" customHeight="1">
      <c r="A190" s="36"/>
      <c r="B190" s="36"/>
      <c r="C190" s="36"/>
      <c r="D190" s="36"/>
      <c r="E190" s="36"/>
      <c r="F190" s="36"/>
      <c r="G190" s="36"/>
      <c r="H190" s="36"/>
      <c r="I190" s="36"/>
      <c r="J190" s="36"/>
      <c r="K190" s="36"/>
      <c r="L190" s="36"/>
      <c r="M190" s="36"/>
      <c r="N190" s="36"/>
      <c r="O190" s="36"/>
      <c r="P190" s="36"/>
    </row>
    <row r="191" spans="1:16" ht="15.75" customHeight="1">
      <c r="A191" s="37"/>
      <c r="B191" s="37"/>
      <c r="C191" s="37"/>
      <c r="D191" s="37"/>
      <c r="E191" s="37"/>
      <c r="F191" s="37"/>
      <c r="G191" s="37"/>
      <c r="H191" s="37"/>
      <c r="I191" s="37"/>
      <c r="J191" s="37"/>
      <c r="K191" s="37"/>
      <c r="L191" s="37"/>
      <c r="M191" s="37"/>
      <c r="N191" s="37"/>
      <c r="O191" s="37"/>
      <c r="P191" s="37"/>
    </row>
    <row r="192" spans="1:16" ht="15.75" customHeight="1">
      <c r="A192" s="36"/>
      <c r="B192" s="36"/>
      <c r="C192" s="36"/>
      <c r="D192" s="36"/>
      <c r="E192" s="36"/>
      <c r="F192" s="36"/>
      <c r="G192" s="36"/>
      <c r="H192" s="36"/>
      <c r="I192" s="36"/>
      <c r="J192" s="36"/>
      <c r="K192" s="36"/>
      <c r="L192" s="36"/>
      <c r="M192" s="36"/>
      <c r="N192" s="36"/>
      <c r="O192" s="36"/>
      <c r="P192" s="36"/>
    </row>
    <row r="193" spans="1:16" ht="15.75" customHeight="1">
      <c r="A193" s="37"/>
      <c r="B193" s="37"/>
      <c r="C193" s="37"/>
      <c r="D193" s="37"/>
      <c r="E193" s="37"/>
      <c r="F193" s="37"/>
      <c r="G193" s="37"/>
      <c r="H193" s="37"/>
      <c r="I193" s="37"/>
      <c r="J193" s="37"/>
      <c r="K193" s="37"/>
      <c r="L193" s="37"/>
      <c r="M193" s="37"/>
      <c r="N193" s="37"/>
      <c r="O193" s="37"/>
      <c r="P193" s="37"/>
    </row>
    <row r="194" spans="1:16" ht="15.75" customHeight="1">
      <c r="A194" s="36"/>
      <c r="B194" s="36"/>
      <c r="C194" s="36"/>
      <c r="D194" s="36"/>
      <c r="E194" s="36"/>
      <c r="F194" s="36"/>
      <c r="G194" s="36"/>
      <c r="H194" s="36"/>
      <c r="I194" s="36"/>
      <c r="J194" s="36"/>
      <c r="K194" s="36"/>
      <c r="L194" s="36"/>
      <c r="M194" s="36"/>
      <c r="N194" s="36"/>
      <c r="O194" s="36"/>
      <c r="P194" s="36"/>
    </row>
    <row r="195" spans="1:16" ht="15.75" customHeight="1">
      <c r="A195" s="37"/>
      <c r="B195" s="37"/>
      <c r="C195" s="37"/>
      <c r="D195" s="37"/>
      <c r="E195" s="37"/>
      <c r="F195" s="37"/>
      <c r="G195" s="37"/>
      <c r="H195" s="37"/>
      <c r="I195" s="37"/>
      <c r="J195" s="37"/>
      <c r="K195" s="37"/>
      <c r="L195" s="37"/>
      <c r="M195" s="37"/>
      <c r="N195" s="37"/>
      <c r="O195" s="37"/>
      <c r="P195" s="37"/>
    </row>
    <row r="196" spans="1:16" ht="15.75" customHeight="1">
      <c r="A196" s="36"/>
      <c r="B196" s="36"/>
      <c r="C196" s="36"/>
      <c r="D196" s="36"/>
      <c r="E196" s="36"/>
      <c r="F196" s="36"/>
      <c r="G196" s="36"/>
      <c r="H196" s="36"/>
      <c r="I196" s="36"/>
      <c r="J196" s="36"/>
      <c r="K196" s="36"/>
      <c r="L196" s="36"/>
      <c r="M196" s="36"/>
      <c r="N196" s="36"/>
      <c r="O196" s="36"/>
      <c r="P196" s="36"/>
    </row>
    <row r="197" spans="1:16" ht="15.75" customHeight="1">
      <c r="A197" s="37"/>
      <c r="B197" s="37"/>
      <c r="C197" s="37"/>
      <c r="D197" s="37"/>
      <c r="E197" s="37"/>
      <c r="F197" s="37"/>
      <c r="G197" s="37"/>
      <c r="H197" s="37"/>
      <c r="I197" s="37"/>
      <c r="J197" s="37"/>
      <c r="K197" s="37"/>
      <c r="L197" s="37"/>
      <c r="M197" s="37"/>
      <c r="N197" s="37"/>
      <c r="O197" s="37"/>
      <c r="P197" s="37"/>
    </row>
    <row r="198" spans="1:16" ht="15.75" customHeight="1">
      <c r="A198" s="36"/>
      <c r="B198" s="36"/>
      <c r="C198" s="36"/>
      <c r="D198" s="36"/>
      <c r="E198" s="36"/>
      <c r="F198" s="36"/>
      <c r="G198" s="36"/>
      <c r="H198" s="36"/>
      <c r="I198" s="36"/>
      <c r="J198" s="36"/>
      <c r="K198" s="36"/>
      <c r="L198" s="36"/>
      <c r="M198" s="36"/>
      <c r="N198" s="36"/>
      <c r="O198" s="36"/>
      <c r="P198" s="36"/>
    </row>
    <row r="199" spans="1:16" ht="15.75" customHeight="1">
      <c r="A199" s="37"/>
      <c r="B199" s="37"/>
      <c r="C199" s="37"/>
      <c r="D199" s="37"/>
      <c r="E199" s="37"/>
      <c r="F199" s="37"/>
      <c r="G199" s="37"/>
      <c r="H199" s="37"/>
      <c r="I199" s="37"/>
      <c r="J199" s="37"/>
      <c r="K199" s="37"/>
      <c r="L199" s="37"/>
      <c r="M199" s="37"/>
      <c r="N199" s="37"/>
      <c r="O199" s="37"/>
      <c r="P199" s="37"/>
    </row>
    <row r="200" spans="1:16" ht="15.75" customHeight="1">
      <c r="A200" s="36"/>
      <c r="B200" s="36"/>
      <c r="C200" s="36"/>
      <c r="D200" s="36"/>
      <c r="E200" s="36"/>
      <c r="F200" s="36"/>
      <c r="G200" s="36"/>
      <c r="H200" s="36"/>
      <c r="I200" s="36"/>
      <c r="J200" s="36"/>
      <c r="K200" s="36"/>
      <c r="L200" s="36"/>
      <c r="M200" s="36"/>
      <c r="N200" s="36"/>
      <c r="O200" s="36"/>
      <c r="P200" s="36"/>
    </row>
    <row r="201" spans="1:16" ht="15.75" customHeight="1">
      <c r="A201" s="37"/>
      <c r="B201" s="37"/>
      <c r="C201" s="37"/>
      <c r="D201" s="37"/>
      <c r="E201" s="37"/>
      <c r="F201" s="37"/>
      <c r="G201" s="37"/>
      <c r="H201" s="37"/>
      <c r="I201" s="37"/>
      <c r="J201" s="37"/>
      <c r="K201" s="37"/>
      <c r="L201" s="37"/>
      <c r="M201" s="37"/>
      <c r="N201" s="37"/>
      <c r="O201" s="37"/>
      <c r="P201" s="37"/>
    </row>
    <row r="202" spans="1:16" ht="15.75" customHeight="1">
      <c r="A202" s="36"/>
      <c r="B202" s="36"/>
      <c r="C202" s="36"/>
      <c r="D202" s="36"/>
      <c r="E202" s="36"/>
      <c r="F202" s="36"/>
      <c r="G202" s="36"/>
      <c r="H202" s="36"/>
      <c r="I202" s="36"/>
      <c r="J202" s="36"/>
      <c r="K202" s="36"/>
      <c r="L202" s="36"/>
      <c r="M202" s="36"/>
      <c r="N202" s="36"/>
      <c r="O202" s="36"/>
      <c r="P202" s="36"/>
    </row>
    <row r="203" spans="1:16" ht="15.75" customHeight="1">
      <c r="A203" s="37"/>
      <c r="B203" s="37"/>
      <c r="C203" s="37"/>
      <c r="D203" s="37"/>
      <c r="E203" s="37"/>
      <c r="F203" s="37"/>
      <c r="G203" s="37"/>
      <c r="H203" s="37"/>
      <c r="I203" s="37"/>
      <c r="J203" s="37"/>
      <c r="K203" s="37"/>
      <c r="L203" s="37"/>
      <c r="M203" s="37"/>
      <c r="N203" s="37"/>
      <c r="O203" s="37"/>
      <c r="P203" s="37"/>
    </row>
    <row r="204" spans="1:16" ht="15.75" customHeight="1">
      <c r="A204" s="36"/>
      <c r="B204" s="36"/>
      <c r="C204" s="36"/>
      <c r="D204" s="36"/>
      <c r="E204" s="36"/>
      <c r="F204" s="36"/>
      <c r="G204" s="36"/>
      <c r="H204" s="36"/>
      <c r="I204" s="36"/>
      <c r="J204" s="36"/>
      <c r="K204" s="36"/>
      <c r="L204" s="36"/>
      <c r="M204" s="36"/>
      <c r="N204" s="36"/>
      <c r="O204" s="36"/>
      <c r="P204" s="36"/>
    </row>
    <row r="205" spans="1:16" ht="15.75" customHeight="1">
      <c r="A205" s="37"/>
      <c r="B205" s="37"/>
      <c r="C205" s="37"/>
      <c r="D205" s="37"/>
      <c r="E205" s="37"/>
      <c r="F205" s="37"/>
      <c r="G205" s="37"/>
      <c r="H205" s="37"/>
      <c r="I205" s="37"/>
      <c r="J205" s="37"/>
      <c r="K205" s="37"/>
      <c r="L205" s="37"/>
      <c r="M205" s="37"/>
      <c r="N205" s="37"/>
      <c r="O205" s="37"/>
      <c r="P205" s="37"/>
    </row>
    <row r="206" spans="1:16" ht="15.75" customHeight="1">
      <c r="A206" s="36"/>
      <c r="B206" s="36"/>
      <c r="C206" s="36"/>
      <c r="D206" s="36"/>
      <c r="E206" s="36"/>
      <c r="F206" s="36"/>
      <c r="G206" s="36"/>
      <c r="H206" s="36"/>
      <c r="I206" s="36"/>
      <c r="J206" s="36"/>
      <c r="K206" s="36"/>
      <c r="L206" s="36"/>
      <c r="M206" s="36"/>
      <c r="N206" s="36"/>
      <c r="O206" s="36"/>
      <c r="P206" s="36"/>
    </row>
    <row r="207" spans="1:16" ht="15.75" customHeight="1">
      <c r="A207" s="37"/>
      <c r="B207" s="37"/>
      <c r="C207" s="37"/>
      <c r="D207" s="37"/>
      <c r="E207" s="37"/>
      <c r="F207" s="37"/>
      <c r="G207" s="37"/>
      <c r="H207" s="37"/>
      <c r="I207" s="37"/>
      <c r="J207" s="37"/>
      <c r="K207" s="37"/>
      <c r="L207" s="37"/>
      <c r="M207" s="37"/>
      <c r="N207" s="37"/>
      <c r="O207" s="37"/>
      <c r="P207" s="37"/>
    </row>
    <row r="208" spans="1:16" ht="15.75" customHeight="1">
      <c r="A208" s="36"/>
      <c r="B208" s="36"/>
      <c r="C208" s="36"/>
      <c r="D208" s="36"/>
      <c r="E208" s="36"/>
      <c r="F208" s="36"/>
      <c r="G208" s="36"/>
      <c r="H208" s="36"/>
      <c r="I208" s="36"/>
      <c r="J208" s="36"/>
      <c r="K208" s="36"/>
      <c r="L208" s="36"/>
      <c r="M208" s="36"/>
      <c r="N208" s="36"/>
      <c r="O208" s="36"/>
      <c r="P208" s="36"/>
    </row>
    <row r="209" spans="1:16" ht="15.75" customHeight="1">
      <c r="A209" s="37"/>
      <c r="B209" s="37"/>
      <c r="C209" s="37"/>
      <c r="D209" s="37"/>
      <c r="E209" s="37"/>
      <c r="F209" s="37"/>
      <c r="G209" s="37"/>
      <c r="H209" s="37"/>
      <c r="I209" s="37"/>
      <c r="J209" s="37"/>
      <c r="K209" s="37"/>
      <c r="L209" s="37"/>
      <c r="M209" s="37"/>
      <c r="N209" s="37"/>
      <c r="O209" s="37"/>
      <c r="P209" s="37"/>
    </row>
    <row r="210" spans="1:16" ht="15.75" customHeight="1">
      <c r="A210" s="36"/>
      <c r="B210" s="36"/>
      <c r="C210" s="36"/>
      <c r="D210" s="36"/>
      <c r="E210" s="36"/>
      <c r="F210" s="36"/>
      <c r="G210" s="36"/>
      <c r="H210" s="36"/>
      <c r="I210" s="36"/>
      <c r="J210" s="36"/>
      <c r="K210" s="36"/>
      <c r="L210" s="36"/>
      <c r="M210" s="36"/>
      <c r="N210" s="36"/>
      <c r="O210" s="36"/>
      <c r="P210" s="36"/>
    </row>
    <row r="211" spans="1:16" ht="15.75" customHeight="1">
      <c r="A211" s="37"/>
      <c r="B211" s="37"/>
      <c r="C211" s="37"/>
      <c r="D211" s="37"/>
      <c r="E211" s="37"/>
      <c r="F211" s="37"/>
      <c r="G211" s="37"/>
      <c r="H211" s="37"/>
      <c r="I211" s="37"/>
      <c r="J211" s="37"/>
      <c r="K211" s="37"/>
      <c r="L211" s="37"/>
      <c r="M211" s="37"/>
      <c r="N211" s="37"/>
      <c r="O211" s="37"/>
      <c r="P211" s="37"/>
    </row>
    <row r="212" spans="1:16" ht="15.75" customHeight="1">
      <c r="A212" s="36"/>
      <c r="B212" s="36"/>
      <c r="C212" s="36"/>
      <c r="D212" s="36"/>
      <c r="E212" s="36"/>
      <c r="F212" s="36"/>
      <c r="G212" s="36"/>
      <c r="H212" s="36"/>
      <c r="I212" s="36"/>
      <c r="J212" s="36"/>
      <c r="K212" s="36"/>
      <c r="L212" s="36"/>
      <c r="M212" s="36"/>
      <c r="N212" s="36"/>
      <c r="O212" s="36"/>
      <c r="P212" s="36"/>
    </row>
    <row r="213" spans="1:16" ht="15.75" customHeight="1">
      <c r="A213" s="37"/>
      <c r="B213" s="37"/>
      <c r="C213" s="37"/>
      <c r="D213" s="37"/>
      <c r="E213" s="37"/>
      <c r="F213" s="37"/>
      <c r="G213" s="37"/>
      <c r="H213" s="37"/>
      <c r="I213" s="37"/>
      <c r="J213" s="37"/>
      <c r="K213" s="37"/>
      <c r="L213" s="37"/>
      <c r="M213" s="37"/>
      <c r="N213" s="37"/>
      <c r="O213" s="37"/>
      <c r="P213" s="37"/>
    </row>
    <row r="214" spans="1:16" ht="15.75" customHeight="1">
      <c r="A214" s="36"/>
      <c r="B214" s="36"/>
      <c r="C214" s="36"/>
      <c r="D214" s="36"/>
      <c r="E214" s="36"/>
      <c r="F214" s="36"/>
      <c r="G214" s="36"/>
      <c r="H214" s="36"/>
      <c r="I214" s="36"/>
      <c r="J214" s="36"/>
      <c r="K214" s="36"/>
      <c r="L214" s="36"/>
      <c r="M214" s="36"/>
      <c r="N214" s="36"/>
      <c r="O214" s="36"/>
      <c r="P214" s="36"/>
    </row>
    <row r="215" spans="1:16" ht="15.75" customHeight="1">
      <c r="A215" s="37"/>
      <c r="B215" s="37"/>
      <c r="C215" s="37"/>
      <c r="D215" s="37"/>
      <c r="E215" s="37"/>
      <c r="F215" s="37"/>
      <c r="G215" s="37"/>
      <c r="H215" s="37"/>
      <c r="I215" s="37"/>
      <c r="J215" s="37"/>
      <c r="K215" s="37"/>
      <c r="L215" s="37"/>
      <c r="M215" s="37"/>
      <c r="N215" s="37"/>
      <c r="O215" s="37"/>
      <c r="P215" s="37"/>
    </row>
    <row r="216" spans="1:16" ht="15.75" customHeight="1">
      <c r="A216" s="36"/>
      <c r="B216" s="36"/>
      <c r="C216" s="36"/>
      <c r="D216" s="36"/>
      <c r="E216" s="36"/>
      <c r="F216" s="36"/>
      <c r="G216" s="36"/>
      <c r="H216" s="36"/>
      <c r="I216" s="36"/>
      <c r="J216" s="36"/>
      <c r="K216" s="36"/>
      <c r="L216" s="36"/>
      <c r="M216" s="36"/>
      <c r="N216" s="36"/>
      <c r="O216" s="36"/>
      <c r="P216" s="36"/>
    </row>
    <row r="217" spans="1:16" ht="15.75" customHeight="1">
      <c r="A217" s="37"/>
      <c r="B217" s="37"/>
      <c r="C217" s="37"/>
      <c r="D217" s="37"/>
      <c r="E217" s="37"/>
      <c r="F217" s="37"/>
      <c r="G217" s="37"/>
      <c r="H217" s="37"/>
      <c r="I217" s="37"/>
      <c r="J217" s="37"/>
      <c r="K217" s="37"/>
      <c r="L217" s="37"/>
      <c r="M217" s="37"/>
      <c r="N217" s="37"/>
      <c r="O217" s="37"/>
      <c r="P217" s="37"/>
    </row>
    <row r="218" spans="1:16" ht="15.75" customHeight="1">
      <c r="A218" s="36"/>
      <c r="B218" s="36"/>
      <c r="C218" s="36"/>
      <c r="D218" s="36"/>
      <c r="E218" s="36"/>
      <c r="F218" s="36"/>
      <c r="G218" s="36"/>
      <c r="H218" s="36"/>
      <c r="I218" s="36"/>
      <c r="J218" s="36"/>
      <c r="K218" s="36"/>
      <c r="L218" s="36"/>
      <c r="M218" s="36"/>
      <c r="N218" s="36"/>
      <c r="O218" s="36"/>
      <c r="P218" s="36"/>
    </row>
    <row r="219" spans="1:16" ht="15.75" customHeight="1">
      <c r="A219" s="37"/>
      <c r="B219" s="37"/>
      <c r="C219" s="37"/>
      <c r="D219" s="37"/>
      <c r="E219" s="37"/>
      <c r="F219" s="37"/>
      <c r="G219" s="37"/>
      <c r="H219" s="37"/>
      <c r="I219" s="37"/>
      <c r="J219" s="37"/>
      <c r="K219" s="37"/>
      <c r="L219" s="37"/>
      <c r="M219" s="37"/>
      <c r="N219" s="37"/>
      <c r="O219" s="37"/>
      <c r="P219" s="37"/>
    </row>
    <row r="220" spans="1:16" ht="15.75" customHeight="1">
      <c r="A220" s="36"/>
      <c r="B220" s="36"/>
      <c r="C220" s="36"/>
      <c r="D220" s="36"/>
      <c r="E220" s="36"/>
      <c r="F220" s="36"/>
      <c r="G220" s="36"/>
      <c r="H220" s="36"/>
      <c r="I220" s="36"/>
      <c r="J220" s="36"/>
      <c r="K220" s="36"/>
      <c r="L220" s="36"/>
      <c r="M220" s="36"/>
      <c r="N220" s="36"/>
      <c r="O220" s="36"/>
      <c r="P220" s="36"/>
    </row>
    <row r="221" spans="1:16" ht="15.75" customHeight="1">
      <c r="A221" s="37"/>
      <c r="B221" s="37"/>
      <c r="C221" s="37"/>
      <c r="D221" s="37"/>
      <c r="E221" s="37"/>
      <c r="F221" s="37"/>
      <c r="G221" s="37"/>
      <c r="H221" s="37"/>
      <c r="I221" s="37"/>
      <c r="J221" s="37"/>
      <c r="K221" s="37"/>
      <c r="L221" s="37"/>
      <c r="M221" s="37"/>
      <c r="N221" s="37"/>
      <c r="O221" s="37"/>
      <c r="P221" s="37"/>
    </row>
    <row r="222" spans="1:16" ht="15.75" customHeight="1">
      <c r="A222" s="36"/>
      <c r="B222" s="36"/>
      <c r="C222" s="36"/>
      <c r="D222" s="36"/>
      <c r="E222" s="36"/>
      <c r="F222" s="36"/>
      <c r="G222" s="36"/>
      <c r="H222" s="36"/>
      <c r="I222" s="36"/>
      <c r="J222" s="36"/>
      <c r="K222" s="36"/>
      <c r="L222" s="36"/>
      <c r="M222" s="36"/>
      <c r="N222" s="36"/>
      <c r="O222" s="36"/>
      <c r="P222" s="36"/>
    </row>
    <row r="223" spans="1:16" ht="15.75" customHeight="1">
      <c r="A223" s="37"/>
      <c r="B223" s="37"/>
      <c r="C223" s="37"/>
      <c r="D223" s="37"/>
      <c r="E223" s="37"/>
      <c r="F223" s="37"/>
      <c r="G223" s="37"/>
      <c r="H223" s="37"/>
      <c r="I223" s="37"/>
      <c r="J223" s="37"/>
      <c r="K223" s="37"/>
      <c r="L223" s="37"/>
      <c r="M223" s="37"/>
      <c r="N223" s="37"/>
      <c r="O223" s="37"/>
      <c r="P223" s="37"/>
    </row>
    <row r="224" spans="1:16" ht="15.75" customHeight="1">
      <c r="A224" s="36"/>
      <c r="B224" s="36"/>
      <c r="C224" s="36"/>
      <c r="D224" s="36"/>
      <c r="E224" s="36"/>
      <c r="F224" s="36"/>
      <c r="G224" s="36"/>
      <c r="H224" s="36"/>
      <c r="I224" s="36"/>
      <c r="J224" s="36"/>
      <c r="K224" s="36"/>
      <c r="L224" s="36"/>
      <c r="M224" s="36"/>
      <c r="N224" s="36"/>
      <c r="O224" s="36"/>
      <c r="P224" s="36"/>
    </row>
    <row r="225" spans="1:16" ht="15.75" customHeight="1">
      <c r="A225" s="37"/>
      <c r="B225" s="37"/>
      <c r="C225" s="37"/>
      <c r="D225" s="37"/>
      <c r="E225" s="37"/>
      <c r="F225" s="37"/>
      <c r="G225" s="37"/>
      <c r="H225" s="37"/>
      <c r="I225" s="37"/>
      <c r="J225" s="37"/>
      <c r="K225" s="37"/>
      <c r="L225" s="37"/>
      <c r="M225" s="37"/>
      <c r="N225" s="37"/>
      <c r="O225" s="37"/>
      <c r="P225" s="37"/>
    </row>
    <row r="226" spans="1:16" ht="15.75" customHeight="1">
      <c r="A226" s="36"/>
      <c r="B226" s="36"/>
      <c r="C226" s="36"/>
      <c r="D226" s="36"/>
      <c r="E226" s="36"/>
      <c r="F226" s="36"/>
      <c r="G226" s="36"/>
      <c r="H226" s="36"/>
      <c r="I226" s="36"/>
      <c r="J226" s="36"/>
      <c r="K226" s="36"/>
      <c r="L226" s="36"/>
      <c r="M226" s="36"/>
      <c r="N226" s="36"/>
      <c r="O226" s="36"/>
      <c r="P226" s="36"/>
    </row>
    <row r="227" spans="1:16" ht="15.75" customHeight="1">
      <c r="A227" s="37"/>
      <c r="B227" s="37"/>
      <c r="C227" s="37"/>
      <c r="D227" s="37"/>
      <c r="E227" s="37"/>
      <c r="F227" s="37"/>
      <c r="G227" s="37"/>
      <c r="H227" s="37"/>
      <c r="I227" s="37"/>
      <c r="J227" s="37"/>
      <c r="K227" s="37"/>
      <c r="L227" s="37"/>
      <c r="M227" s="37"/>
      <c r="N227" s="37"/>
      <c r="O227" s="37"/>
      <c r="P227" s="37"/>
    </row>
    <row r="228" spans="1:16" ht="15.75" customHeight="1">
      <c r="A228" s="36"/>
      <c r="B228" s="36"/>
      <c r="C228" s="36"/>
      <c r="D228" s="36"/>
      <c r="E228" s="36"/>
      <c r="F228" s="36"/>
      <c r="G228" s="36"/>
      <c r="H228" s="36"/>
      <c r="I228" s="36"/>
      <c r="J228" s="36"/>
      <c r="K228" s="36"/>
      <c r="L228" s="36"/>
      <c r="M228" s="36"/>
      <c r="N228" s="36"/>
      <c r="O228" s="36"/>
      <c r="P228" s="36"/>
    </row>
    <row r="229" spans="1:16" ht="15.75" customHeight="1">
      <c r="A229" s="37"/>
      <c r="B229" s="37"/>
      <c r="C229" s="37"/>
      <c r="D229" s="37"/>
      <c r="E229" s="37"/>
      <c r="F229" s="37"/>
      <c r="G229" s="37"/>
      <c r="H229" s="37"/>
      <c r="I229" s="37"/>
      <c r="J229" s="37"/>
      <c r="K229" s="37"/>
      <c r="L229" s="37"/>
      <c r="M229" s="37"/>
      <c r="N229" s="37"/>
      <c r="O229" s="37"/>
      <c r="P229" s="37"/>
    </row>
    <row r="230" spans="1:16" ht="15.75" customHeight="1">
      <c r="A230" s="36"/>
      <c r="B230" s="36"/>
      <c r="C230" s="36"/>
      <c r="D230" s="36"/>
      <c r="E230" s="36"/>
      <c r="F230" s="36"/>
      <c r="G230" s="36"/>
      <c r="H230" s="36"/>
      <c r="I230" s="36"/>
      <c r="J230" s="36"/>
      <c r="K230" s="36"/>
      <c r="L230" s="36"/>
      <c r="M230" s="36"/>
      <c r="N230" s="36"/>
      <c r="O230" s="36"/>
      <c r="P230" s="36"/>
    </row>
    <row r="231" spans="1:16" ht="15.75" customHeight="1">
      <c r="A231" s="37"/>
      <c r="B231" s="37"/>
      <c r="C231" s="37"/>
      <c r="D231" s="37"/>
      <c r="E231" s="37"/>
      <c r="F231" s="37"/>
      <c r="G231" s="37"/>
      <c r="H231" s="37"/>
      <c r="I231" s="37"/>
      <c r="J231" s="37"/>
      <c r="K231" s="37"/>
      <c r="L231" s="37"/>
      <c r="M231" s="37"/>
      <c r="N231" s="37"/>
      <c r="O231" s="37"/>
      <c r="P231" s="37"/>
    </row>
    <row r="232" spans="1:16" ht="15.75" customHeight="1">
      <c r="A232" s="36"/>
      <c r="B232" s="36"/>
      <c r="C232" s="36"/>
      <c r="D232" s="36"/>
      <c r="E232" s="36"/>
      <c r="F232" s="36"/>
      <c r="G232" s="36"/>
      <c r="H232" s="36"/>
      <c r="I232" s="36"/>
      <c r="J232" s="36"/>
      <c r="K232" s="36"/>
      <c r="L232" s="36"/>
      <c r="M232" s="36"/>
      <c r="N232" s="36"/>
      <c r="O232" s="36"/>
      <c r="P232" s="36"/>
    </row>
    <row r="233" spans="1:16" ht="15.75" customHeight="1">
      <c r="A233" s="37"/>
      <c r="B233" s="37"/>
      <c r="C233" s="37"/>
      <c r="D233" s="37"/>
      <c r="E233" s="37"/>
      <c r="F233" s="37"/>
      <c r="G233" s="37"/>
      <c r="H233" s="37"/>
      <c r="I233" s="37"/>
      <c r="J233" s="37"/>
      <c r="K233" s="37"/>
      <c r="L233" s="37"/>
      <c r="M233" s="37"/>
      <c r="N233" s="37"/>
      <c r="O233" s="37"/>
      <c r="P233" s="37"/>
    </row>
    <row r="234" spans="1:16" ht="15.75" customHeight="1">
      <c r="A234" s="36"/>
      <c r="B234" s="36"/>
      <c r="C234" s="36"/>
      <c r="D234" s="36"/>
      <c r="E234" s="36"/>
      <c r="F234" s="36"/>
      <c r="G234" s="36"/>
      <c r="H234" s="36"/>
      <c r="I234" s="36"/>
      <c r="J234" s="36"/>
      <c r="K234" s="36"/>
      <c r="L234" s="36"/>
      <c r="M234" s="36"/>
      <c r="N234" s="36"/>
      <c r="O234" s="36"/>
      <c r="P234" s="36"/>
    </row>
    <row r="235" spans="1:16" ht="15.75" customHeight="1">
      <c r="A235" s="37"/>
      <c r="B235" s="37"/>
      <c r="C235" s="37"/>
      <c r="D235" s="37"/>
      <c r="E235" s="37"/>
      <c r="F235" s="37"/>
      <c r="G235" s="37"/>
      <c r="H235" s="37"/>
      <c r="I235" s="37"/>
      <c r="J235" s="37"/>
      <c r="K235" s="37"/>
      <c r="L235" s="37"/>
      <c r="M235" s="37"/>
      <c r="N235" s="37"/>
      <c r="O235" s="37"/>
      <c r="P235" s="37"/>
    </row>
    <row r="236" spans="1:16" ht="15.75" customHeight="1">
      <c r="A236" s="36"/>
      <c r="B236" s="36"/>
      <c r="C236" s="36"/>
      <c r="D236" s="36"/>
      <c r="E236" s="36"/>
      <c r="F236" s="36"/>
      <c r="G236" s="36"/>
      <c r="H236" s="36"/>
      <c r="I236" s="36"/>
      <c r="J236" s="36"/>
      <c r="K236" s="36"/>
      <c r="L236" s="36"/>
      <c r="M236" s="36"/>
      <c r="N236" s="36"/>
      <c r="O236" s="36"/>
      <c r="P236" s="36"/>
    </row>
    <row r="237" spans="1:16" ht="15.75" customHeight="1">
      <c r="A237" s="37"/>
      <c r="B237" s="37"/>
      <c r="C237" s="37"/>
      <c r="D237" s="37"/>
      <c r="E237" s="37"/>
      <c r="F237" s="37"/>
      <c r="G237" s="37"/>
      <c r="H237" s="37"/>
      <c r="I237" s="37"/>
      <c r="J237" s="37"/>
      <c r="K237" s="37"/>
      <c r="L237" s="37"/>
      <c r="M237" s="37"/>
      <c r="N237" s="37"/>
      <c r="O237" s="37"/>
      <c r="P237" s="37"/>
    </row>
    <row r="238" spans="1:16" ht="15.75" customHeight="1">
      <c r="A238" s="36"/>
      <c r="B238" s="36"/>
      <c r="C238" s="36"/>
      <c r="D238" s="36"/>
      <c r="E238" s="36"/>
      <c r="F238" s="36"/>
      <c r="G238" s="36"/>
      <c r="H238" s="36"/>
      <c r="I238" s="36"/>
      <c r="J238" s="36"/>
      <c r="K238" s="36"/>
      <c r="L238" s="36"/>
      <c r="M238" s="36"/>
      <c r="N238" s="36"/>
      <c r="O238" s="36"/>
      <c r="P238" s="36"/>
    </row>
    <row r="239" spans="1:16" ht="15.75" customHeight="1">
      <c r="A239" s="37"/>
      <c r="B239" s="37"/>
      <c r="C239" s="37"/>
      <c r="D239" s="37"/>
      <c r="E239" s="37"/>
      <c r="F239" s="37"/>
      <c r="G239" s="37"/>
      <c r="H239" s="37"/>
      <c r="I239" s="37"/>
      <c r="J239" s="37"/>
      <c r="K239" s="37"/>
      <c r="L239" s="37"/>
      <c r="M239" s="37"/>
      <c r="N239" s="37"/>
      <c r="O239" s="37"/>
      <c r="P239" s="37"/>
    </row>
    <row r="240" spans="1:16" ht="15.75" customHeight="1">
      <c r="A240" s="36"/>
      <c r="B240" s="36"/>
      <c r="C240" s="36"/>
      <c r="D240" s="36"/>
      <c r="E240" s="36"/>
      <c r="F240" s="36"/>
      <c r="G240" s="36"/>
      <c r="H240" s="36"/>
      <c r="I240" s="36"/>
      <c r="J240" s="36"/>
      <c r="K240" s="36"/>
      <c r="L240" s="36"/>
      <c r="M240" s="36"/>
      <c r="N240" s="36"/>
      <c r="O240" s="36"/>
      <c r="P240" s="36"/>
    </row>
    <row r="241" spans="1:16" ht="15.75" customHeight="1">
      <c r="A241" s="37"/>
      <c r="B241" s="37"/>
      <c r="C241" s="37"/>
      <c r="D241" s="37"/>
      <c r="E241" s="37"/>
      <c r="F241" s="37"/>
      <c r="G241" s="37"/>
      <c r="H241" s="37"/>
      <c r="I241" s="37"/>
      <c r="J241" s="37"/>
      <c r="K241" s="37"/>
      <c r="L241" s="37"/>
      <c r="M241" s="37"/>
      <c r="N241" s="37"/>
      <c r="O241" s="37"/>
      <c r="P241" s="37"/>
    </row>
    <row r="242" spans="1:16" ht="15.75" customHeight="1">
      <c r="A242" s="36"/>
      <c r="B242" s="36"/>
      <c r="C242" s="36"/>
      <c r="D242" s="36"/>
      <c r="E242" s="36"/>
      <c r="F242" s="36"/>
      <c r="G242" s="36"/>
      <c r="H242" s="36"/>
      <c r="I242" s="36"/>
      <c r="J242" s="36"/>
      <c r="K242" s="36"/>
      <c r="L242" s="36"/>
      <c r="M242" s="36"/>
      <c r="N242" s="36"/>
      <c r="O242" s="36"/>
      <c r="P242" s="36"/>
    </row>
    <row r="243" spans="1:16" ht="15.75" customHeight="1">
      <c r="A243" s="37"/>
      <c r="B243" s="37"/>
      <c r="C243" s="37"/>
      <c r="D243" s="37"/>
      <c r="E243" s="37"/>
      <c r="F243" s="37"/>
      <c r="G243" s="37"/>
      <c r="H243" s="37"/>
      <c r="I243" s="37"/>
      <c r="J243" s="37"/>
      <c r="K243" s="37"/>
      <c r="L243" s="37"/>
      <c r="M243" s="37"/>
      <c r="N243" s="37"/>
      <c r="O243" s="37"/>
      <c r="P243" s="37"/>
    </row>
    <row r="244" spans="1:16" ht="15.75" customHeight="1">
      <c r="A244" s="36"/>
      <c r="B244" s="36"/>
      <c r="C244" s="36"/>
      <c r="D244" s="36"/>
      <c r="E244" s="36"/>
      <c r="F244" s="36"/>
      <c r="G244" s="36"/>
      <c r="H244" s="36"/>
      <c r="I244" s="36"/>
      <c r="J244" s="36"/>
      <c r="K244" s="36"/>
      <c r="L244" s="36"/>
      <c r="M244" s="36"/>
      <c r="N244" s="36"/>
      <c r="O244" s="36"/>
      <c r="P244" s="36"/>
    </row>
    <row r="245" spans="1:16" ht="15.75" customHeight="1">
      <c r="A245" s="37"/>
      <c r="B245" s="37"/>
      <c r="C245" s="37"/>
      <c r="D245" s="37"/>
      <c r="E245" s="37"/>
      <c r="F245" s="37"/>
      <c r="G245" s="37"/>
      <c r="H245" s="37"/>
      <c r="I245" s="37"/>
      <c r="J245" s="37"/>
      <c r="K245" s="37"/>
      <c r="L245" s="37"/>
      <c r="M245" s="37"/>
      <c r="N245" s="37"/>
      <c r="O245" s="37"/>
      <c r="P245" s="37"/>
    </row>
    <row r="246" spans="1:16" ht="15.75" customHeight="1">
      <c r="A246" s="36"/>
      <c r="B246" s="36"/>
      <c r="C246" s="36"/>
      <c r="D246" s="36"/>
      <c r="E246" s="36"/>
      <c r="F246" s="36"/>
      <c r="G246" s="36"/>
      <c r="H246" s="36"/>
      <c r="I246" s="36"/>
      <c r="J246" s="36"/>
      <c r="K246" s="36"/>
      <c r="L246" s="36"/>
      <c r="M246" s="36"/>
      <c r="N246" s="36"/>
      <c r="O246" s="36"/>
      <c r="P246" s="36"/>
    </row>
    <row r="247" spans="1:16" ht="15.75" customHeight="1">
      <c r="A247" s="37"/>
      <c r="B247" s="37"/>
      <c r="C247" s="37"/>
      <c r="D247" s="37"/>
      <c r="E247" s="37"/>
      <c r="F247" s="37"/>
      <c r="G247" s="37"/>
      <c r="H247" s="37"/>
      <c r="I247" s="37"/>
      <c r="J247" s="37"/>
      <c r="K247" s="37"/>
      <c r="L247" s="37"/>
      <c r="M247" s="37"/>
      <c r="N247" s="37"/>
      <c r="O247" s="37"/>
      <c r="P247" s="37"/>
    </row>
    <row r="248" spans="1:16" ht="15.75" customHeight="1">
      <c r="A248" s="36"/>
      <c r="B248" s="36"/>
      <c r="C248" s="36"/>
      <c r="D248" s="36"/>
      <c r="E248" s="36"/>
      <c r="F248" s="36"/>
      <c r="G248" s="36"/>
      <c r="H248" s="36"/>
      <c r="I248" s="36"/>
      <c r="J248" s="36"/>
      <c r="K248" s="36"/>
      <c r="L248" s="36"/>
      <c r="M248" s="36"/>
      <c r="N248" s="36"/>
      <c r="O248" s="36"/>
      <c r="P248" s="36"/>
    </row>
    <row r="249" spans="1:16" ht="15.75" customHeight="1">
      <c r="A249" s="37"/>
      <c r="B249" s="37"/>
      <c r="C249" s="37"/>
      <c r="D249" s="37"/>
      <c r="E249" s="37"/>
      <c r="F249" s="37"/>
      <c r="G249" s="37"/>
      <c r="H249" s="37"/>
      <c r="I249" s="37"/>
      <c r="J249" s="37"/>
      <c r="K249" s="37"/>
      <c r="L249" s="37"/>
      <c r="M249" s="37"/>
      <c r="N249" s="37"/>
      <c r="O249" s="37"/>
      <c r="P249" s="37"/>
    </row>
    <row r="250" spans="1:16" ht="15.75" customHeight="1">
      <c r="A250" s="36"/>
      <c r="B250" s="36"/>
      <c r="C250" s="36"/>
      <c r="D250" s="36"/>
      <c r="E250" s="36"/>
      <c r="F250" s="36"/>
      <c r="G250" s="36"/>
      <c r="H250" s="36"/>
      <c r="I250" s="36"/>
      <c r="J250" s="36"/>
      <c r="K250" s="36"/>
      <c r="L250" s="36"/>
      <c r="M250" s="36"/>
      <c r="N250" s="36"/>
      <c r="O250" s="36"/>
      <c r="P250" s="36"/>
    </row>
    <row r="251" spans="1:16" ht="15.75" customHeight="1">
      <c r="A251" s="37"/>
      <c r="B251" s="37"/>
      <c r="C251" s="37"/>
      <c r="D251" s="37"/>
      <c r="E251" s="37"/>
      <c r="F251" s="37"/>
      <c r="G251" s="37"/>
      <c r="H251" s="37"/>
      <c r="I251" s="37"/>
      <c r="J251" s="37"/>
      <c r="K251" s="37"/>
      <c r="L251" s="37"/>
      <c r="M251" s="37"/>
      <c r="N251" s="37"/>
      <c r="O251" s="37"/>
      <c r="P251" s="37"/>
    </row>
    <row r="252" spans="1:16" ht="15.75" customHeight="1">
      <c r="A252" s="36"/>
      <c r="B252" s="36"/>
      <c r="C252" s="36"/>
      <c r="D252" s="36"/>
      <c r="E252" s="36"/>
      <c r="F252" s="36"/>
      <c r="G252" s="36"/>
      <c r="H252" s="36"/>
      <c r="I252" s="36"/>
      <c r="J252" s="36"/>
      <c r="K252" s="36"/>
      <c r="L252" s="36"/>
      <c r="M252" s="36"/>
      <c r="N252" s="36"/>
      <c r="O252" s="36"/>
      <c r="P252" s="36"/>
    </row>
    <row r="253" spans="1:16" ht="15.75" customHeight="1">
      <c r="A253" s="37"/>
      <c r="B253" s="37"/>
      <c r="C253" s="37"/>
      <c r="D253" s="37"/>
      <c r="E253" s="37"/>
      <c r="F253" s="37"/>
      <c r="G253" s="37"/>
      <c r="H253" s="37"/>
      <c r="I253" s="37"/>
      <c r="J253" s="37"/>
      <c r="K253" s="37"/>
      <c r="L253" s="37"/>
      <c r="M253" s="37"/>
      <c r="N253" s="37"/>
      <c r="O253" s="37"/>
      <c r="P253" s="37"/>
    </row>
    <row r="254" spans="1:16" ht="15.75" customHeight="1">
      <c r="A254" s="36"/>
      <c r="B254" s="36"/>
      <c r="C254" s="36"/>
      <c r="D254" s="36"/>
      <c r="E254" s="36"/>
      <c r="F254" s="36"/>
      <c r="G254" s="36"/>
      <c r="H254" s="36"/>
      <c r="I254" s="36"/>
      <c r="J254" s="36"/>
      <c r="K254" s="36"/>
      <c r="L254" s="36"/>
      <c r="M254" s="36"/>
      <c r="N254" s="36"/>
      <c r="O254" s="36"/>
      <c r="P254" s="36"/>
    </row>
    <row r="255" spans="1:16" ht="15.75" customHeight="1">
      <c r="A255" s="37"/>
      <c r="B255" s="37"/>
      <c r="C255" s="37"/>
      <c r="D255" s="37"/>
      <c r="E255" s="37"/>
      <c r="F255" s="37"/>
      <c r="G255" s="37"/>
      <c r="H255" s="37"/>
      <c r="I255" s="37"/>
      <c r="J255" s="37"/>
      <c r="K255" s="37"/>
      <c r="L255" s="37"/>
      <c r="M255" s="37"/>
      <c r="N255" s="37"/>
      <c r="O255" s="37"/>
      <c r="P255" s="37"/>
    </row>
    <row r="256" spans="1:16" ht="15.75" customHeight="1">
      <c r="A256" s="36"/>
      <c r="B256" s="36"/>
      <c r="C256" s="36"/>
      <c r="D256" s="36"/>
      <c r="E256" s="36"/>
      <c r="F256" s="36"/>
      <c r="G256" s="36"/>
      <c r="H256" s="36"/>
      <c r="I256" s="36"/>
      <c r="J256" s="36"/>
      <c r="K256" s="36"/>
      <c r="L256" s="36"/>
      <c r="M256" s="36"/>
      <c r="N256" s="36"/>
      <c r="O256" s="36"/>
      <c r="P256" s="36"/>
    </row>
    <row r="257" spans="1:16" ht="15.75" customHeight="1">
      <c r="A257" s="37"/>
      <c r="B257" s="37"/>
      <c r="C257" s="37"/>
      <c r="D257" s="37"/>
      <c r="E257" s="37"/>
      <c r="F257" s="37"/>
      <c r="G257" s="37"/>
      <c r="H257" s="37"/>
      <c r="I257" s="37"/>
      <c r="J257" s="37"/>
      <c r="K257" s="37"/>
      <c r="L257" s="37"/>
      <c r="M257" s="37"/>
      <c r="N257" s="37"/>
      <c r="O257" s="37"/>
      <c r="P257" s="37"/>
    </row>
    <row r="258" spans="1:16" ht="15.75" customHeight="1">
      <c r="A258" s="36"/>
      <c r="B258" s="36"/>
      <c r="C258" s="36"/>
      <c r="D258" s="36"/>
      <c r="E258" s="36"/>
      <c r="F258" s="36"/>
      <c r="G258" s="36"/>
      <c r="H258" s="36"/>
      <c r="I258" s="36"/>
      <c r="J258" s="36"/>
      <c r="K258" s="36"/>
      <c r="L258" s="36"/>
      <c r="M258" s="36"/>
      <c r="N258" s="36"/>
      <c r="O258" s="36"/>
      <c r="P258" s="36"/>
    </row>
    <row r="259" spans="1:16" ht="15.75" customHeight="1">
      <c r="A259" s="37"/>
      <c r="B259" s="37"/>
      <c r="C259" s="37"/>
      <c r="D259" s="37"/>
      <c r="E259" s="37"/>
      <c r="F259" s="37"/>
      <c r="G259" s="37"/>
      <c r="H259" s="37"/>
      <c r="I259" s="37"/>
      <c r="J259" s="37"/>
      <c r="K259" s="37"/>
      <c r="L259" s="37"/>
      <c r="M259" s="37"/>
      <c r="N259" s="37"/>
      <c r="O259" s="37"/>
      <c r="P259" s="37"/>
    </row>
    <row r="260" spans="1:16" ht="15.75" customHeight="1">
      <c r="A260" s="36"/>
      <c r="B260" s="36"/>
      <c r="C260" s="36"/>
      <c r="D260" s="36"/>
      <c r="E260" s="36"/>
      <c r="F260" s="36"/>
      <c r="G260" s="36"/>
      <c r="H260" s="36"/>
      <c r="I260" s="36"/>
      <c r="J260" s="36"/>
      <c r="K260" s="36"/>
      <c r="L260" s="36"/>
      <c r="M260" s="36"/>
      <c r="N260" s="36"/>
      <c r="O260" s="36"/>
      <c r="P260" s="36"/>
    </row>
    <row r="261" spans="1:16" ht="15.75" customHeight="1">
      <c r="A261" s="37"/>
      <c r="B261" s="37"/>
      <c r="C261" s="37"/>
      <c r="D261" s="37"/>
      <c r="E261" s="37"/>
      <c r="F261" s="37"/>
      <c r="G261" s="37"/>
      <c r="H261" s="37"/>
      <c r="I261" s="37"/>
      <c r="J261" s="37"/>
      <c r="K261" s="37"/>
      <c r="L261" s="37"/>
      <c r="M261" s="37"/>
      <c r="N261" s="37"/>
      <c r="O261" s="37"/>
      <c r="P261" s="37"/>
    </row>
    <row r="262" spans="1:16" ht="15.75" customHeight="1">
      <c r="A262" s="36"/>
      <c r="B262" s="36"/>
      <c r="C262" s="36"/>
      <c r="D262" s="36"/>
      <c r="E262" s="36"/>
      <c r="F262" s="36"/>
      <c r="G262" s="36"/>
      <c r="H262" s="36"/>
      <c r="I262" s="36"/>
      <c r="J262" s="36"/>
      <c r="K262" s="36"/>
      <c r="L262" s="36"/>
      <c r="M262" s="36"/>
      <c r="N262" s="36"/>
      <c r="O262" s="36"/>
      <c r="P262" s="36"/>
    </row>
    <row r="263" spans="1:16" ht="15.75" customHeight="1">
      <c r="A263" s="37"/>
      <c r="B263" s="37"/>
      <c r="C263" s="37"/>
      <c r="D263" s="37"/>
      <c r="E263" s="37"/>
      <c r="F263" s="37"/>
      <c r="G263" s="37"/>
      <c r="H263" s="37"/>
      <c r="I263" s="37"/>
      <c r="J263" s="37"/>
      <c r="K263" s="37"/>
      <c r="L263" s="37"/>
      <c r="M263" s="37"/>
      <c r="N263" s="37"/>
      <c r="O263" s="37"/>
      <c r="P263" s="37"/>
    </row>
    <row r="264" spans="1:16" ht="15.75" customHeight="1">
      <c r="A264" s="36"/>
      <c r="B264" s="36"/>
      <c r="C264" s="36"/>
      <c r="D264" s="36"/>
      <c r="E264" s="36"/>
      <c r="F264" s="36"/>
      <c r="G264" s="36"/>
      <c r="H264" s="36"/>
      <c r="I264" s="36"/>
      <c r="J264" s="36"/>
      <c r="K264" s="36"/>
      <c r="L264" s="36"/>
      <c r="M264" s="36"/>
      <c r="N264" s="36"/>
      <c r="O264" s="36"/>
      <c r="P264" s="36"/>
    </row>
    <row r="265" spans="1:16" ht="15.75" customHeight="1">
      <c r="A265" s="37"/>
      <c r="B265" s="37"/>
      <c r="C265" s="37"/>
      <c r="D265" s="37"/>
      <c r="E265" s="37"/>
      <c r="F265" s="37"/>
      <c r="G265" s="37"/>
      <c r="H265" s="37"/>
      <c r="I265" s="37"/>
      <c r="J265" s="37"/>
      <c r="K265" s="37"/>
      <c r="L265" s="37"/>
      <c r="M265" s="37"/>
      <c r="N265" s="37"/>
      <c r="O265" s="37"/>
      <c r="P265" s="37"/>
    </row>
    <row r="266" spans="1:16" ht="15.75" customHeight="1">
      <c r="A266" s="36"/>
      <c r="B266" s="36"/>
      <c r="C266" s="36"/>
      <c r="D266" s="36"/>
      <c r="E266" s="36"/>
      <c r="F266" s="36"/>
      <c r="G266" s="36"/>
      <c r="H266" s="36"/>
      <c r="I266" s="36"/>
      <c r="J266" s="36"/>
      <c r="K266" s="36"/>
      <c r="L266" s="36"/>
      <c r="M266" s="36"/>
      <c r="N266" s="36"/>
      <c r="O266" s="36"/>
      <c r="P266" s="36"/>
    </row>
    <row r="267" spans="1:16" ht="15.75" customHeight="1">
      <c r="A267" s="37"/>
      <c r="B267" s="37"/>
      <c r="C267" s="37"/>
      <c r="D267" s="37"/>
      <c r="E267" s="37"/>
      <c r="F267" s="37"/>
      <c r="G267" s="37"/>
      <c r="H267" s="37"/>
      <c r="I267" s="37"/>
      <c r="J267" s="37"/>
      <c r="K267" s="37"/>
      <c r="L267" s="37"/>
      <c r="M267" s="37"/>
      <c r="N267" s="37"/>
      <c r="O267" s="37"/>
      <c r="P267" s="37"/>
    </row>
    <row r="268" spans="1:16" ht="15.75" customHeight="1">
      <c r="A268" s="36"/>
      <c r="B268" s="36"/>
      <c r="C268" s="36"/>
      <c r="D268" s="36"/>
      <c r="E268" s="36"/>
      <c r="F268" s="36"/>
      <c r="G268" s="36"/>
      <c r="H268" s="36"/>
      <c r="I268" s="36"/>
      <c r="J268" s="36"/>
      <c r="K268" s="36"/>
      <c r="L268" s="36"/>
      <c r="M268" s="36"/>
      <c r="N268" s="36"/>
      <c r="O268" s="36"/>
      <c r="P268" s="36"/>
    </row>
    <row r="269" spans="1:16" ht="15.75" customHeight="1">
      <c r="A269" s="37"/>
      <c r="B269" s="37"/>
      <c r="C269" s="37"/>
      <c r="D269" s="37"/>
      <c r="E269" s="37"/>
      <c r="F269" s="37"/>
      <c r="G269" s="37"/>
      <c r="H269" s="37"/>
      <c r="I269" s="37"/>
      <c r="J269" s="37"/>
      <c r="K269" s="37"/>
      <c r="L269" s="37"/>
      <c r="M269" s="37"/>
      <c r="N269" s="37"/>
      <c r="O269" s="37"/>
      <c r="P269" s="37"/>
    </row>
    <row r="270" spans="1:16" ht="15.75" customHeight="1">
      <c r="A270" s="36"/>
      <c r="B270" s="36"/>
      <c r="C270" s="36"/>
      <c r="D270" s="36"/>
      <c r="E270" s="36"/>
      <c r="F270" s="36"/>
      <c r="G270" s="36"/>
      <c r="H270" s="36"/>
      <c r="I270" s="36"/>
      <c r="J270" s="36"/>
      <c r="K270" s="36"/>
      <c r="L270" s="36"/>
      <c r="M270" s="36"/>
      <c r="N270" s="36"/>
      <c r="O270" s="36"/>
      <c r="P270" s="36"/>
    </row>
    <row r="271" spans="1:16" ht="15.75" customHeight="1">
      <c r="A271" s="37"/>
      <c r="B271" s="37"/>
      <c r="C271" s="37"/>
      <c r="D271" s="37"/>
      <c r="E271" s="37"/>
      <c r="F271" s="37"/>
      <c r="G271" s="37"/>
      <c r="H271" s="37"/>
      <c r="I271" s="37"/>
      <c r="J271" s="37"/>
      <c r="K271" s="37"/>
      <c r="L271" s="37"/>
      <c r="M271" s="37"/>
      <c r="N271" s="37"/>
      <c r="O271" s="37"/>
      <c r="P271" s="37"/>
    </row>
    <row r="272" spans="1:16" ht="15.75" customHeight="1">
      <c r="A272" s="36"/>
      <c r="B272" s="36"/>
      <c r="C272" s="36"/>
      <c r="D272" s="36"/>
      <c r="E272" s="36"/>
      <c r="F272" s="36"/>
      <c r="G272" s="36"/>
      <c r="H272" s="36"/>
      <c r="I272" s="36"/>
      <c r="J272" s="36"/>
      <c r="K272" s="36"/>
      <c r="L272" s="36"/>
      <c r="M272" s="36"/>
      <c r="N272" s="36"/>
      <c r="O272" s="36"/>
      <c r="P272" s="36"/>
    </row>
    <row r="273" spans="1:16" ht="15.75" customHeight="1">
      <c r="A273" s="37"/>
      <c r="B273" s="37"/>
      <c r="C273" s="37"/>
      <c r="D273" s="37"/>
      <c r="E273" s="37"/>
      <c r="F273" s="37"/>
      <c r="G273" s="37"/>
      <c r="H273" s="37"/>
      <c r="I273" s="37"/>
      <c r="J273" s="37"/>
      <c r="K273" s="37"/>
      <c r="L273" s="37"/>
      <c r="M273" s="37"/>
      <c r="N273" s="37"/>
      <c r="O273" s="37"/>
      <c r="P273" s="37"/>
    </row>
    <row r="274" spans="1:16" ht="15.75" customHeight="1">
      <c r="A274" s="36"/>
      <c r="B274" s="36"/>
      <c r="C274" s="36"/>
      <c r="D274" s="36"/>
      <c r="E274" s="36"/>
      <c r="F274" s="36"/>
      <c r="G274" s="36"/>
      <c r="H274" s="36"/>
      <c r="I274" s="36"/>
      <c r="J274" s="36"/>
      <c r="K274" s="36"/>
      <c r="L274" s="36"/>
      <c r="M274" s="36"/>
      <c r="N274" s="36"/>
      <c r="O274" s="36"/>
      <c r="P274" s="36"/>
    </row>
    <row r="275" spans="1:16" ht="15.75" customHeight="1">
      <c r="A275" s="37"/>
      <c r="B275" s="37"/>
      <c r="C275" s="37"/>
      <c r="D275" s="37"/>
      <c r="E275" s="37"/>
      <c r="F275" s="37"/>
      <c r="G275" s="37"/>
      <c r="H275" s="37"/>
      <c r="I275" s="37"/>
      <c r="J275" s="37"/>
      <c r="K275" s="37"/>
      <c r="L275" s="37"/>
      <c r="M275" s="37"/>
      <c r="N275" s="37"/>
      <c r="O275" s="37"/>
      <c r="P275" s="37"/>
    </row>
    <row r="276" spans="1:16" ht="15.75" customHeight="1">
      <c r="A276" s="36"/>
      <c r="B276" s="36"/>
      <c r="C276" s="36"/>
      <c r="D276" s="36"/>
      <c r="E276" s="36"/>
      <c r="F276" s="36"/>
      <c r="G276" s="36"/>
      <c r="H276" s="36"/>
      <c r="I276" s="36"/>
      <c r="J276" s="36"/>
      <c r="K276" s="36"/>
      <c r="L276" s="36"/>
      <c r="M276" s="36"/>
      <c r="N276" s="36"/>
      <c r="O276" s="36"/>
      <c r="P276" s="36"/>
    </row>
    <row r="277" spans="1:16" ht="15.75" customHeight="1">
      <c r="A277" s="37"/>
      <c r="B277" s="37"/>
      <c r="C277" s="37"/>
      <c r="D277" s="37"/>
      <c r="E277" s="37"/>
      <c r="F277" s="37"/>
      <c r="G277" s="37"/>
      <c r="H277" s="37"/>
      <c r="I277" s="37"/>
      <c r="J277" s="37"/>
      <c r="K277" s="37"/>
      <c r="L277" s="37"/>
      <c r="M277" s="37"/>
      <c r="N277" s="37"/>
      <c r="O277" s="37"/>
      <c r="P277" s="37"/>
    </row>
    <row r="278" spans="1:16" ht="15.75" customHeight="1">
      <c r="A278" s="36"/>
      <c r="B278" s="36"/>
      <c r="C278" s="36"/>
      <c r="D278" s="36"/>
      <c r="E278" s="36"/>
      <c r="F278" s="36"/>
      <c r="G278" s="36"/>
      <c r="H278" s="36"/>
      <c r="I278" s="36"/>
      <c r="J278" s="36"/>
      <c r="K278" s="36"/>
      <c r="L278" s="36"/>
      <c r="M278" s="36"/>
      <c r="N278" s="36"/>
      <c r="O278" s="36"/>
      <c r="P278" s="36"/>
    </row>
    <row r="279" spans="1:16" ht="15.75" customHeight="1">
      <c r="A279" s="37"/>
      <c r="B279" s="37"/>
      <c r="C279" s="37"/>
      <c r="D279" s="37"/>
      <c r="E279" s="37"/>
      <c r="F279" s="37"/>
      <c r="G279" s="37"/>
      <c r="H279" s="37"/>
      <c r="I279" s="37"/>
      <c r="J279" s="37"/>
      <c r="K279" s="37"/>
      <c r="L279" s="37"/>
      <c r="M279" s="37"/>
      <c r="N279" s="37"/>
      <c r="O279" s="37"/>
      <c r="P279" s="37"/>
    </row>
    <row r="280" spans="1:16" ht="15.75" customHeight="1">
      <c r="A280" s="36"/>
      <c r="B280" s="36"/>
      <c r="C280" s="36"/>
      <c r="D280" s="36"/>
      <c r="E280" s="36"/>
      <c r="F280" s="36"/>
      <c r="G280" s="36"/>
      <c r="H280" s="36"/>
      <c r="I280" s="36"/>
      <c r="J280" s="36"/>
      <c r="K280" s="36"/>
      <c r="L280" s="36"/>
      <c r="M280" s="36"/>
      <c r="N280" s="36"/>
      <c r="O280" s="36"/>
      <c r="P280" s="36"/>
    </row>
    <row r="281" spans="1:16" ht="15.75" customHeight="1">
      <c r="A281" s="37"/>
      <c r="B281" s="37"/>
      <c r="C281" s="37"/>
      <c r="D281" s="37"/>
      <c r="E281" s="37"/>
      <c r="F281" s="37"/>
      <c r="G281" s="37"/>
      <c r="H281" s="37"/>
      <c r="I281" s="37"/>
      <c r="J281" s="37"/>
      <c r="K281" s="37"/>
      <c r="L281" s="37"/>
      <c r="M281" s="37"/>
      <c r="N281" s="37"/>
      <c r="O281" s="37"/>
      <c r="P281" s="37"/>
    </row>
    <row r="282" spans="1:16" ht="15.75" customHeight="1">
      <c r="A282" s="36"/>
      <c r="B282" s="36"/>
      <c r="C282" s="36"/>
      <c r="D282" s="36"/>
      <c r="E282" s="36"/>
      <c r="F282" s="36"/>
      <c r="G282" s="36"/>
      <c r="H282" s="36"/>
      <c r="I282" s="36"/>
      <c r="J282" s="36"/>
      <c r="K282" s="36"/>
      <c r="L282" s="36"/>
      <c r="M282" s="36"/>
      <c r="N282" s="36"/>
      <c r="O282" s="36"/>
      <c r="P282" s="36"/>
    </row>
    <row r="283" spans="1:16" ht="15.75" customHeight="1">
      <c r="A283" s="37"/>
      <c r="B283" s="37"/>
      <c r="C283" s="37"/>
      <c r="D283" s="37"/>
      <c r="E283" s="37"/>
      <c r="F283" s="37"/>
      <c r="G283" s="37"/>
      <c r="H283" s="37"/>
      <c r="I283" s="37"/>
      <c r="J283" s="37"/>
      <c r="K283" s="37"/>
      <c r="L283" s="37"/>
      <c r="M283" s="37"/>
      <c r="N283" s="37"/>
      <c r="O283" s="37"/>
      <c r="P283" s="37"/>
    </row>
    <row r="284" spans="1:16" ht="15.75" customHeight="1">
      <c r="A284" s="36"/>
      <c r="B284" s="36"/>
      <c r="C284" s="36"/>
      <c r="D284" s="36"/>
      <c r="E284" s="36"/>
      <c r="F284" s="36"/>
      <c r="G284" s="36"/>
      <c r="H284" s="36"/>
      <c r="I284" s="36"/>
      <c r="J284" s="36"/>
      <c r="K284" s="36"/>
      <c r="L284" s="36"/>
      <c r="M284" s="36"/>
      <c r="N284" s="36"/>
      <c r="O284" s="36"/>
      <c r="P284" s="36"/>
    </row>
    <row r="285" spans="1:16" ht="15.75" customHeight="1">
      <c r="A285" s="37"/>
      <c r="B285" s="37"/>
      <c r="C285" s="37"/>
      <c r="D285" s="37"/>
      <c r="E285" s="37"/>
      <c r="F285" s="37"/>
      <c r="G285" s="37"/>
      <c r="H285" s="37"/>
      <c r="I285" s="37"/>
      <c r="J285" s="37"/>
      <c r="K285" s="37"/>
      <c r="L285" s="37"/>
      <c r="M285" s="37"/>
      <c r="N285" s="37"/>
      <c r="O285" s="37"/>
      <c r="P285" s="37"/>
    </row>
    <row r="286" spans="1:16" ht="15.75" customHeight="1">
      <c r="A286" s="36"/>
      <c r="B286" s="36"/>
      <c r="C286" s="36"/>
      <c r="D286" s="36"/>
      <c r="E286" s="36"/>
      <c r="F286" s="36"/>
      <c r="G286" s="36"/>
      <c r="H286" s="36"/>
      <c r="I286" s="36"/>
      <c r="J286" s="36"/>
      <c r="K286" s="36"/>
      <c r="L286" s="36"/>
      <c r="M286" s="36"/>
      <c r="N286" s="36"/>
      <c r="O286" s="36"/>
      <c r="P286" s="36"/>
    </row>
    <row r="287" spans="1:16" ht="15.75" customHeight="1">
      <c r="A287" s="37"/>
      <c r="B287" s="37"/>
      <c r="C287" s="37"/>
      <c r="D287" s="37"/>
      <c r="E287" s="37"/>
      <c r="F287" s="37"/>
      <c r="G287" s="37"/>
      <c r="H287" s="37"/>
      <c r="I287" s="37"/>
      <c r="J287" s="37"/>
      <c r="K287" s="37"/>
      <c r="L287" s="37"/>
      <c r="M287" s="37"/>
      <c r="N287" s="37"/>
      <c r="O287" s="37"/>
      <c r="P287" s="37"/>
    </row>
    <row r="288" spans="1:16" ht="15.75" customHeight="1">
      <c r="A288" s="36"/>
      <c r="B288" s="36"/>
      <c r="C288" s="36"/>
      <c r="D288" s="36"/>
      <c r="E288" s="36"/>
      <c r="F288" s="36"/>
      <c r="G288" s="36"/>
      <c r="H288" s="36"/>
      <c r="I288" s="36"/>
      <c r="J288" s="36"/>
      <c r="K288" s="36"/>
      <c r="L288" s="36"/>
      <c r="M288" s="36"/>
      <c r="N288" s="36"/>
      <c r="O288" s="36"/>
      <c r="P288" s="36"/>
    </row>
    <row r="289" spans="1:16" ht="15.75" customHeight="1">
      <c r="A289" s="37"/>
      <c r="B289" s="37"/>
      <c r="C289" s="37"/>
      <c r="D289" s="37"/>
      <c r="E289" s="37"/>
      <c r="F289" s="37"/>
      <c r="G289" s="37"/>
      <c r="H289" s="37"/>
      <c r="I289" s="37"/>
      <c r="J289" s="37"/>
      <c r="K289" s="37"/>
      <c r="L289" s="37"/>
      <c r="M289" s="37"/>
      <c r="N289" s="37"/>
      <c r="O289" s="37"/>
      <c r="P289" s="37"/>
    </row>
    <row r="290" spans="1:16" ht="15.75" customHeight="1">
      <c r="A290" s="36"/>
      <c r="B290" s="36"/>
      <c r="C290" s="36"/>
      <c r="D290" s="36"/>
      <c r="E290" s="36"/>
      <c r="F290" s="36"/>
      <c r="G290" s="36"/>
      <c r="H290" s="36"/>
      <c r="I290" s="36"/>
      <c r="J290" s="36"/>
      <c r="K290" s="36"/>
      <c r="L290" s="36"/>
      <c r="M290" s="36"/>
      <c r="N290" s="36"/>
      <c r="O290" s="36"/>
      <c r="P290" s="36"/>
    </row>
    <row r="291" spans="1:16" ht="15.75" customHeight="1">
      <c r="A291" s="37"/>
      <c r="B291" s="37"/>
      <c r="C291" s="37"/>
      <c r="D291" s="37"/>
      <c r="E291" s="37"/>
      <c r="F291" s="37"/>
      <c r="G291" s="37"/>
      <c r="H291" s="37"/>
      <c r="I291" s="37"/>
      <c r="J291" s="37"/>
      <c r="K291" s="37"/>
      <c r="L291" s="37"/>
      <c r="M291" s="37"/>
      <c r="N291" s="37"/>
      <c r="O291" s="37"/>
      <c r="P291" s="37"/>
    </row>
    <row r="292" spans="1:16" ht="15.75" customHeight="1">
      <c r="A292" s="36"/>
      <c r="B292" s="36"/>
      <c r="C292" s="36"/>
      <c r="D292" s="36"/>
      <c r="E292" s="36"/>
      <c r="F292" s="36"/>
      <c r="G292" s="36"/>
      <c r="H292" s="36"/>
      <c r="I292" s="36"/>
      <c r="J292" s="36"/>
      <c r="K292" s="36"/>
      <c r="L292" s="36"/>
      <c r="M292" s="36"/>
      <c r="N292" s="36"/>
      <c r="O292" s="36"/>
      <c r="P292" s="36"/>
    </row>
    <row r="293" spans="1:16" ht="15.75" customHeight="1">
      <c r="A293" s="37"/>
      <c r="B293" s="37"/>
      <c r="C293" s="37"/>
      <c r="D293" s="37"/>
      <c r="E293" s="37"/>
      <c r="F293" s="37"/>
      <c r="G293" s="37"/>
      <c r="H293" s="37"/>
      <c r="I293" s="37"/>
      <c r="J293" s="37"/>
      <c r="K293" s="37"/>
      <c r="L293" s="37"/>
      <c r="M293" s="37"/>
      <c r="N293" s="37"/>
      <c r="O293" s="37"/>
      <c r="P293" s="37"/>
    </row>
    <row r="294" spans="1:16" ht="15.75" customHeight="1">
      <c r="A294" s="36"/>
      <c r="B294" s="36"/>
      <c r="C294" s="36"/>
      <c r="D294" s="36"/>
      <c r="E294" s="36"/>
      <c r="F294" s="36"/>
      <c r="G294" s="36"/>
      <c r="H294" s="36"/>
      <c r="I294" s="36"/>
      <c r="J294" s="36"/>
      <c r="K294" s="36"/>
      <c r="L294" s="36"/>
      <c r="M294" s="36"/>
      <c r="N294" s="36"/>
      <c r="O294" s="36"/>
      <c r="P294" s="36"/>
    </row>
    <row r="295" spans="1:16" ht="15.75" customHeight="1">
      <c r="A295" s="37"/>
      <c r="B295" s="37"/>
      <c r="C295" s="37"/>
      <c r="D295" s="37"/>
      <c r="E295" s="37"/>
      <c r="F295" s="37"/>
      <c r="G295" s="37"/>
      <c r="H295" s="37"/>
      <c r="I295" s="37"/>
      <c r="J295" s="37"/>
      <c r="K295" s="37"/>
      <c r="L295" s="37"/>
      <c r="M295" s="37"/>
      <c r="N295" s="37"/>
      <c r="O295" s="37"/>
      <c r="P295" s="37"/>
    </row>
    <row r="296" spans="1:16" ht="15.75" customHeight="1">
      <c r="A296" s="36"/>
      <c r="B296" s="36"/>
      <c r="C296" s="36"/>
      <c r="D296" s="36"/>
      <c r="E296" s="36"/>
      <c r="F296" s="36"/>
      <c r="G296" s="36"/>
      <c r="H296" s="36"/>
      <c r="I296" s="36"/>
      <c r="J296" s="36"/>
      <c r="K296" s="36"/>
      <c r="L296" s="36"/>
      <c r="M296" s="36"/>
      <c r="N296" s="36"/>
      <c r="O296" s="36"/>
      <c r="P296" s="36"/>
    </row>
    <row r="297" spans="1:16" ht="15.75" customHeight="1">
      <c r="A297" s="37"/>
      <c r="B297" s="37"/>
      <c r="C297" s="37"/>
      <c r="D297" s="37"/>
      <c r="E297" s="37"/>
      <c r="F297" s="37"/>
      <c r="G297" s="37"/>
      <c r="H297" s="37"/>
      <c r="I297" s="37"/>
      <c r="J297" s="37"/>
      <c r="K297" s="37"/>
      <c r="L297" s="37"/>
      <c r="M297" s="37"/>
      <c r="N297" s="37"/>
      <c r="O297" s="37"/>
      <c r="P297" s="37"/>
    </row>
    <row r="298" spans="1:16" ht="15.75" customHeight="1">
      <c r="A298" s="36"/>
      <c r="B298" s="36"/>
      <c r="C298" s="36"/>
      <c r="D298" s="36"/>
      <c r="E298" s="36"/>
      <c r="F298" s="36"/>
      <c r="G298" s="36"/>
      <c r="H298" s="36"/>
      <c r="I298" s="36"/>
      <c r="J298" s="36"/>
      <c r="K298" s="36"/>
      <c r="L298" s="36"/>
      <c r="M298" s="36"/>
      <c r="N298" s="36"/>
      <c r="O298" s="36"/>
      <c r="P298" s="36"/>
    </row>
    <row r="299" spans="1:16" ht="15.75" customHeight="1">
      <c r="A299" s="37"/>
      <c r="B299" s="37"/>
      <c r="C299" s="37"/>
      <c r="D299" s="37"/>
      <c r="E299" s="37"/>
      <c r="F299" s="37"/>
      <c r="G299" s="37"/>
      <c r="H299" s="37"/>
      <c r="I299" s="37"/>
      <c r="J299" s="37"/>
      <c r="K299" s="37"/>
      <c r="L299" s="37"/>
      <c r="M299" s="37"/>
      <c r="N299" s="37"/>
      <c r="O299" s="37"/>
      <c r="P299" s="37"/>
    </row>
    <row r="300" spans="1:16" ht="15.75" customHeight="1">
      <c r="A300" s="36"/>
      <c r="B300" s="36"/>
      <c r="C300" s="36"/>
      <c r="D300" s="36"/>
      <c r="E300" s="36"/>
      <c r="F300" s="36"/>
      <c r="G300" s="36"/>
      <c r="H300" s="36"/>
      <c r="I300" s="36"/>
      <c r="J300" s="36"/>
      <c r="K300" s="36"/>
      <c r="L300" s="36"/>
      <c r="M300" s="36"/>
      <c r="N300" s="36"/>
      <c r="O300" s="36"/>
      <c r="P300" s="36"/>
    </row>
    <row r="301" spans="1:16" ht="15.75" customHeight="1">
      <c r="A301" s="37"/>
      <c r="B301" s="37"/>
      <c r="C301" s="37"/>
      <c r="D301" s="37"/>
      <c r="E301" s="37"/>
      <c r="F301" s="37"/>
      <c r="G301" s="37"/>
      <c r="H301" s="37"/>
      <c r="I301" s="37"/>
      <c r="J301" s="37"/>
      <c r="K301" s="37"/>
      <c r="L301" s="37"/>
      <c r="M301" s="37"/>
      <c r="N301" s="37"/>
      <c r="O301" s="37"/>
      <c r="P301" s="37"/>
    </row>
    <row r="302" spans="1:16" ht="15.75" customHeight="1">
      <c r="A302" s="36"/>
      <c r="B302" s="36"/>
      <c r="C302" s="36"/>
      <c r="D302" s="36"/>
      <c r="E302" s="36"/>
      <c r="F302" s="36"/>
      <c r="G302" s="36"/>
      <c r="H302" s="36"/>
      <c r="I302" s="36"/>
      <c r="J302" s="36"/>
      <c r="K302" s="36"/>
      <c r="L302" s="36"/>
      <c r="M302" s="36"/>
      <c r="N302" s="36"/>
      <c r="O302" s="36"/>
      <c r="P302" s="36"/>
    </row>
    <row r="303" spans="1:16" ht="15.75" customHeight="1">
      <c r="A303" s="37"/>
      <c r="B303" s="37"/>
      <c r="C303" s="37"/>
      <c r="D303" s="37"/>
      <c r="E303" s="37"/>
      <c r="F303" s="37"/>
      <c r="G303" s="37"/>
      <c r="H303" s="37"/>
      <c r="I303" s="37"/>
      <c r="J303" s="37"/>
      <c r="K303" s="37"/>
      <c r="L303" s="37"/>
      <c r="M303" s="37"/>
      <c r="N303" s="37"/>
      <c r="O303" s="37"/>
      <c r="P303" s="37"/>
    </row>
    <row r="304" spans="1:16" ht="15.75" customHeight="1">
      <c r="A304" s="36"/>
      <c r="B304" s="36"/>
      <c r="C304" s="36"/>
      <c r="D304" s="36"/>
      <c r="E304" s="36"/>
      <c r="F304" s="36"/>
      <c r="G304" s="36"/>
      <c r="H304" s="36"/>
      <c r="I304" s="36"/>
      <c r="J304" s="36"/>
      <c r="K304" s="36"/>
      <c r="L304" s="36"/>
      <c r="M304" s="36"/>
      <c r="N304" s="36"/>
      <c r="O304" s="36"/>
      <c r="P304" s="36"/>
    </row>
    <row r="305" spans="1:16" ht="15.75" customHeight="1">
      <c r="A305" s="37"/>
      <c r="B305" s="37"/>
      <c r="C305" s="37"/>
      <c r="D305" s="37"/>
      <c r="E305" s="37"/>
      <c r="F305" s="37"/>
      <c r="G305" s="37"/>
      <c r="H305" s="37"/>
      <c r="I305" s="37"/>
      <c r="J305" s="37"/>
      <c r="K305" s="37"/>
      <c r="L305" s="37"/>
      <c r="M305" s="37"/>
      <c r="N305" s="37"/>
      <c r="O305" s="37"/>
      <c r="P305" s="37"/>
    </row>
    <row r="306" spans="1:16" ht="15.75" customHeight="1">
      <c r="A306" s="36"/>
      <c r="B306" s="36"/>
      <c r="C306" s="36"/>
      <c r="D306" s="36"/>
      <c r="E306" s="36"/>
      <c r="F306" s="36"/>
      <c r="G306" s="36"/>
      <c r="H306" s="36"/>
      <c r="I306" s="36"/>
      <c r="J306" s="36"/>
      <c r="K306" s="36"/>
      <c r="L306" s="36"/>
      <c r="M306" s="36"/>
      <c r="N306" s="36"/>
      <c r="O306" s="36"/>
      <c r="P306" s="36"/>
    </row>
    <row r="307" spans="1:16" ht="15.75" customHeight="1">
      <c r="A307" s="37"/>
      <c r="B307" s="37"/>
      <c r="C307" s="37"/>
      <c r="D307" s="37"/>
      <c r="E307" s="37"/>
      <c r="F307" s="37"/>
      <c r="G307" s="37"/>
      <c r="H307" s="37"/>
      <c r="I307" s="37"/>
      <c r="J307" s="37"/>
      <c r="K307" s="37"/>
      <c r="L307" s="37"/>
      <c r="M307" s="37"/>
      <c r="N307" s="37"/>
      <c r="O307" s="37"/>
      <c r="P307" s="37"/>
    </row>
    <row r="308" spans="1:16" ht="15.75" customHeight="1">
      <c r="A308" s="36"/>
      <c r="B308" s="36"/>
      <c r="C308" s="36"/>
      <c r="D308" s="36"/>
      <c r="E308" s="36"/>
      <c r="F308" s="36"/>
      <c r="G308" s="36"/>
      <c r="H308" s="36"/>
      <c r="I308" s="36"/>
      <c r="J308" s="36"/>
      <c r="K308" s="36"/>
      <c r="L308" s="36"/>
      <c r="M308" s="36"/>
      <c r="N308" s="36"/>
      <c r="O308" s="36"/>
      <c r="P308" s="36"/>
    </row>
    <row r="309" spans="1:16" ht="15.75" customHeight="1">
      <c r="A309" s="37"/>
      <c r="B309" s="37"/>
      <c r="C309" s="37"/>
      <c r="D309" s="37"/>
      <c r="E309" s="37"/>
      <c r="F309" s="37"/>
      <c r="G309" s="37"/>
      <c r="H309" s="37"/>
      <c r="I309" s="37"/>
      <c r="J309" s="37"/>
      <c r="K309" s="37"/>
      <c r="L309" s="37"/>
      <c r="M309" s="37"/>
      <c r="N309" s="37"/>
      <c r="O309" s="37"/>
      <c r="P309" s="37"/>
    </row>
    <row r="310" spans="1:16" ht="15.75" customHeight="1">
      <c r="A310" s="36"/>
      <c r="B310" s="36"/>
      <c r="C310" s="36"/>
      <c r="D310" s="36"/>
      <c r="E310" s="36"/>
      <c r="F310" s="36"/>
      <c r="G310" s="36"/>
      <c r="H310" s="36"/>
      <c r="I310" s="36"/>
      <c r="J310" s="36"/>
      <c r="K310" s="36"/>
      <c r="L310" s="36"/>
      <c r="M310" s="36"/>
      <c r="N310" s="36"/>
      <c r="O310" s="36"/>
      <c r="P310" s="36"/>
    </row>
    <row r="311" spans="1:16" ht="15.75" customHeight="1">
      <c r="A311" s="37"/>
      <c r="B311" s="37"/>
      <c r="C311" s="37"/>
      <c r="D311" s="37"/>
      <c r="E311" s="37"/>
      <c r="F311" s="37"/>
      <c r="G311" s="37"/>
      <c r="H311" s="37"/>
      <c r="I311" s="37"/>
      <c r="J311" s="37"/>
      <c r="K311" s="37"/>
      <c r="L311" s="37"/>
      <c r="M311" s="37"/>
      <c r="N311" s="37"/>
      <c r="O311" s="37"/>
      <c r="P311" s="37"/>
    </row>
    <row r="312" spans="1:16" ht="15.75" customHeight="1">
      <c r="A312" s="36"/>
      <c r="B312" s="36"/>
      <c r="C312" s="36"/>
      <c r="D312" s="36"/>
      <c r="E312" s="36"/>
      <c r="F312" s="36"/>
      <c r="G312" s="36"/>
      <c r="H312" s="36"/>
      <c r="I312" s="36"/>
      <c r="J312" s="36"/>
      <c r="K312" s="36"/>
      <c r="L312" s="36"/>
      <c r="M312" s="36"/>
      <c r="N312" s="36"/>
      <c r="O312" s="36"/>
      <c r="P312" s="36"/>
    </row>
    <row r="313" spans="1:16" ht="15.75" customHeight="1">
      <c r="A313" s="37"/>
      <c r="B313" s="37"/>
      <c r="C313" s="37"/>
      <c r="D313" s="37"/>
      <c r="E313" s="37"/>
      <c r="F313" s="37"/>
      <c r="G313" s="37"/>
      <c r="H313" s="37"/>
      <c r="I313" s="37"/>
      <c r="J313" s="37"/>
      <c r="K313" s="37"/>
      <c r="L313" s="37"/>
      <c r="M313" s="37"/>
      <c r="N313" s="37"/>
      <c r="O313" s="37"/>
      <c r="P313" s="37"/>
    </row>
    <row r="314" spans="1:16" ht="15.75" customHeight="1">
      <c r="A314" s="36"/>
      <c r="B314" s="36"/>
      <c r="C314" s="36"/>
      <c r="D314" s="36"/>
      <c r="E314" s="36"/>
      <c r="F314" s="36"/>
      <c r="G314" s="36"/>
      <c r="H314" s="36"/>
      <c r="I314" s="36"/>
      <c r="J314" s="36"/>
      <c r="K314" s="36"/>
      <c r="L314" s="36"/>
      <c r="M314" s="36"/>
      <c r="N314" s="36"/>
      <c r="O314" s="36"/>
      <c r="P314" s="36"/>
    </row>
    <row r="315" spans="1:16" ht="15.75" customHeight="1">
      <c r="A315" s="37"/>
      <c r="B315" s="37"/>
      <c r="C315" s="37"/>
      <c r="D315" s="37"/>
      <c r="E315" s="37"/>
      <c r="F315" s="37"/>
      <c r="G315" s="37"/>
      <c r="H315" s="37"/>
      <c r="I315" s="37"/>
      <c r="J315" s="37"/>
      <c r="K315" s="37"/>
      <c r="L315" s="37"/>
      <c r="M315" s="37"/>
      <c r="N315" s="37"/>
      <c r="O315" s="37"/>
      <c r="P315" s="37"/>
    </row>
    <row r="316" spans="1:16" ht="15.75" customHeight="1">
      <c r="A316" s="36"/>
      <c r="B316" s="36"/>
      <c r="C316" s="36"/>
      <c r="D316" s="36"/>
      <c r="E316" s="36"/>
      <c r="F316" s="36"/>
      <c r="G316" s="36"/>
      <c r="H316" s="36"/>
      <c r="I316" s="36"/>
      <c r="J316" s="36"/>
      <c r="K316" s="36"/>
      <c r="L316" s="36"/>
      <c r="M316" s="36"/>
      <c r="N316" s="36"/>
      <c r="O316" s="36"/>
      <c r="P316" s="36"/>
    </row>
    <row r="317" spans="1:16" ht="15.75" customHeight="1">
      <c r="A317" s="37"/>
      <c r="B317" s="37"/>
      <c r="C317" s="37"/>
      <c r="D317" s="37"/>
      <c r="E317" s="37"/>
      <c r="F317" s="37"/>
      <c r="G317" s="37"/>
      <c r="H317" s="37"/>
      <c r="I317" s="37"/>
      <c r="J317" s="37"/>
      <c r="K317" s="37"/>
      <c r="L317" s="37"/>
      <c r="M317" s="37"/>
      <c r="N317" s="37"/>
      <c r="O317" s="37"/>
      <c r="P317" s="37"/>
    </row>
    <row r="318" spans="1:16" ht="15.75" customHeight="1">
      <c r="A318" s="36"/>
      <c r="B318" s="36"/>
      <c r="C318" s="36"/>
      <c r="D318" s="36"/>
      <c r="E318" s="36"/>
      <c r="F318" s="36"/>
      <c r="G318" s="36"/>
      <c r="H318" s="36"/>
      <c r="I318" s="36"/>
      <c r="J318" s="36"/>
      <c r="K318" s="36"/>
      <c r="L318" s="36"/>
      <c r="M318" s="36"/>
      <c r="N318" s="36"/>
      <c r="O318" s="36"/>
      <c r="P318" s="36"/>
    </row>
    <row r="319" spans="1:16" ht="15.75" customHeight="1">
      <c r="A319" s="37"/>
      <c r="B319" s="37"/>
      <c r="C319" s="37"/>
      <c r="D319" s="37"/>
      <c r="E319" s="37"/>
      <c r="F319" s="37"/>
      <c r="G319" s="37"/>
      <c r="H319" s="37"/>
      <c r="I319" s="37"/>
      <c r="J319" s="37"/>
      <c r="K319" s="37"/>
      <c r="L319" s="37"/>
      <c r="M319" s="37"/>
      <c r="N319" s="37"/>
      <c r="O319" s="37"/>
      <c r="P319" s="37"/>
    </row>
    <row r="320" spans="1:16" ht="15.75" customHeight="1">
      <c r="A320" s="36"/>
      <c r="B320" s="36"/>
      <c r="C320" s="36"/>
      <c r="D320" s="36"/>
      <c r="E320" s="36"/>
      <c r="F320" s="36"/>
      <c r="G320" s="36"/>
      <c r="H320" s="36"/>
      <c r="I320" s="36"/>
      <c r="J320" s="36"/>
      <c r="K320" s="36"/>
      <c r="L320" s="36"/>
      <c r="M320" s="36"/>
      <c r="N320" s="36"/>
      <c r="O320" s="36"/>
      <c r="P320" s="36"/>
    </row>
    <row r="321" spans="1:16" ht="15.75" customHeight="1">
      <c r="A321" s="37"/>
      <c r="B321" s="37"/>
      <c r="C321" s="37"/>
      <c r="D321" s="37"/>
      <c r="E321" s="37"/>
      <c r="F321" s="37"/>
      <c r="G321" s="37"/>
      <c r="H321" s="37"/>
      <c r="I321" s="37"/>
      <c r="J321" s="37"/>
      <c r="K321" s="37"/>
      <c r="L321" s="37"/>
      <c r="M321" s="37"/>
      <c r="N321" s="37"/>
      <c r="O321" s="37"/>
      <c r="P321" s="37"/>
    </row>
    <row r="322" spans="1:16" ht="15.75" customHeight="1">
      <c r="A322" s="36"/>
      <c r="B322" s="36"/>
      <c r="C322" s="36"/>
      <c r="D322" s="36"/>
      <c r="E322" s="36"/>
      <c r="F322" s="36"/>
      <c r="G322" s="36"/>
      <c r="H322" s="36"/>
      <c r="I322" s="36"/>
      <c r="J322" s="36"/>
      <c r="K322" s="36"/>
      <c r="L322" s="36"/>
      <c r="M322" s="36"/>
      <c r="N322" s="36"/>
      <c r="O322" s="36"/>
      <c r="P322" s="36"/>
    </row>
    <row r="323" spans="1:16" ht="15.75" customHeight="1">
      <c r="A323" s="37"/>
      <c r="B323" s="37"/>
      <c r="C323" s="37"/>
      <c r="D323" s="37"/>
      <c r="E323" s="37"/>
      <c r="F323" s="37"/>
      <c r="G323" s="37"/>
      <c r="H323" s="37"/>
      <c r="I323" s="37"/>
      <c r="J323" s="37"/>
      <c r="K323" s="37"/>
      <c r="L323" s="37"/>
      <c r="M323" s="37"/>
      <c r="N323" s="37"/>
      <c r="O323" s="37"/>
      <c r="P323" s="37"/>
    </row>
    <row r="324" spans="1:16" ht="15.75" customHeight="1">
      <c r="A324" s="36"/>
      <c r="B324" s="36"/>
      <c r="C324" s="36"/>
      <c r="D324" s="36"/>
      <c r="E324" s="36"/>
      <c r="F324" s="36"/>
      <c r="G324" s="36"/>
      <c r="H324" s="36"/>
      <c r="I324" s="36"/>
      <c r="J324" s="36"/>
      <c r="K324" s="36"/>
      <c r="L324" s="36"/>
      <c r="M324" s="36"/>
      <c r="N324" s="36"/>
      <c r="O324" s="36"/>
      <c r="P324" s="36"/>
    </row>
    <row r="325" spans="1:16" ht="15.75" customHeight="1">
      <c r="A325" s="37"/>
      <c r="B325" s="37"/>
      <c r="C325" s="37"/>
      <c r="D325" s="37"/>
      <c r="E325" s="37"/>
      <c r="F325" s="37"/>
      <c r="G325" s="37"/>
      <c r="H325" s="37"/>
      <c r="I325" s="37"/>
      <c r="J325" s="37"/>
      <c r="K325" s="37"/>
      <c r="L325" s="37"/>
      <c r="M325" s="37"/>
      <c r="N325" s="37"/>
      <c r="O325" s="37"/>
      <c r="P325" s="37"/>
    </row>
    <row r="326" spans="1:16" ht="15.75" customHeight="1">
      <c r="A326" s="36"/>
      <c r="B326" s="36"/>
      <c r="C326" s="36"/>
      <c r="D326" s="36"/>
      <c r="E326" s="36"/>
      <c r="F326" s="36"/>
      <c r="G326" s="36"/>
      <c r="H326" s="36"/>
      <c r="I326" s="36"/>
      <c r="J326" s="36"/>
      <c r="K326" s="36"/>
      <c r="L326" s="36"/>
      <c r="M326" s="36"/>
      <c r="N326" s="36"/>
      <c r="O326" s="36"/>
      <c r="P326" s="36"/>
    </row>
    <row r="327" spans="1:16" ht="15.75" customHeight="1">
      <c r="A327" s="37"/>
      <c r="B327" s="37"/>
      <c r="C327" s="37"/>
      <c r="D327" s="37"/>
      <c r="E327" s="37"/>
      <c r="F327" s="37"/>
      <c r="G327" s="37"/>
      <c r="H327" s="37"/>
      <c r="I327" s="37"/>
      <c r="J327" s="37"/>
      <c r="K327" s="37"/>
      <c r="L327" s="37"/>
      <c r="M327" s="37"/>
      <c r="N327" s="37"/>
      <c r="O327" s="37"/>
      <c r="P327" s="37"/>
    </row>
    <row r="328" spans="1:16" ht="15.75" customHeight="1">
      <c r="A328" s="36"/>
      <c r="B328" s="36"/>
      <c r="C328" s="36"/>
      <c r="D328" s="36"/>
      <c r="E328" s="36"/>
      <c r="F328" s="36"/>
      <c r="G328" s="36"/>
      <c r="H328" s="36"/>
      <c r="I328" s="36"/>
      <c r="J328" s="36"/>
      <c r="K328" s="36"/>
      <c r="L328" s="36"/>
      <c r="M328" s="36"/>
      <c r="N328" s="36"/>
      <c r="O328" s="36"/>
      <c r="P328" s="36"/>
    </row>
    <row r="329" spans="1:16" ht="15.75" customHeight="1">
      <c r="A329" s="37"/>
      <c r="B329" s="37"/>
      <c r="C329" s="37"/>
      <c r="D329" s="37"/>
      <c r="E329" s="37"/>
      <c r="F329" s="37"/>
      <c r="G329" s="37"/>
      <c r="H329" s="37"/>
      <c r="I329" s="37"/>
      <c r="J329" s="37"/>
      <c r="K329" s="37"/>
      <c r="L329" s="37"/>
      <c r="M329" s="37"/>
      <c r="N329" s="37"/>
      <c r="O329" s="37"/>
      <c r="P329" s="37"/>
    </row>
    <row r="330" spans="1:16" ht="15.75" customHeight="1">
      <c r="A330" s="36"/>
      <c r="B330" s="36"/>
      <c r="C330" s="36"/>
      <c r="D330" s="36"/>
      <c r="E330" s="36"/>
      <c r="F330" s="36"/>
      <c r="G330" s="36"/>
      <c r="H330" s="36"/>
      <c r="I330" s="36"/>
      <c r="J330" s="36"/>
      <c r="K330" s="36"/>
      <c r="L330" s="36"/>
      <c r="M330" s="36"/>
      <c r="N330" s="36"/>
      <c r="O330" s="36"/>
      <c r="P330" s="36"/>
    </row>
    <row r="331" spans="1:16" ht="15.75" customHeight="1">
      <c r="A331" s="37"/>
      <c r="B331" s="37"/>
      <c r="C331" s="37"/>
      <c r="D331" s="37"/>
      <c r="E331" s="37"/>
      <c r="F331" s="37"/>
      <c r="G331" s="37"/>
      <c r="H331" s="37"/>
      <c r="I331" s="37"/>
      <c r="J331" s="37"/>
      <c r="K331" s="37"/>
      <c r="L331" s="37"/>
      <c r="M331" s="37"/>
      <c r="N331" s="37"/>
      <c r="O331" s="37"/>
      <c r="P331" s="37"/>
    </row>
    <row r="332" spans="1:16" ht="15.75" customHeight="1">
      <c r="A332" s="36"/>
      <c r="B332" s="36"/>
      <c r="C332" s="36"/>
      <c r="D332" s="36"/>
      <c r="E332" s="36"/>
      <c r="F332" s="36"/>
      <c r="G332" s="36"/>
      <c r="H332" s="36"/>
      <c r="I332" s="36"/>
      <c r="J332" s="36"/>
      <c r="K332" s="36"/>
      <c r="L332" s="36"/>
      <c r="M332" s="36"/>
      <c r="N332" s="36"/>
      <c r="O332" s="36"/>
      <c r="P332" s="36"/>
    </row>
    <row r="333" spans="1:16" ht="15.75" customHeight="1">
      <c r="A333" s="37"/>
      <c r="B333" s="37"/>
      <c r="C333" s="37"/>
      <c r="D333" s="37"/>
      <c r="E333" s="37"/>
      <c r="F333" s="37"/>
      <c r="G333" s="37"/>
      <c r="H333" s="37"/>
      <c r="I333" s="37"/>
      <c r="J333" s="37"/>
      <c r="K333" s="37"/>
      <c r="L333" s="37"/>
      <c r="M333" s="37"/>
      <c r="N333" s="37"/>
      <c r="O333" s="37"/>
      <c r="P333" s="37"/>
    </row>
    <row r="334" spans="1:16" ht="15.75" customHeight="1">
      <c r="A334" s="36"/>
      <c r="B334" s="36"/>
      <c r="C334" s="36"/>
      <c r="D334" s="36"/>
      <c r="E334" s="36"/>
      <c r="F334" s="36"/>
      <c r="G334" s="36"/>
      <c r="H334" s="36"/>
      <c r="I334" s="36"/>
      <c r="J334" s="36"/>
      <c r="K334" s="36"/>
      <c r="L334" s="36"/>
      <c r="M334" s="36"/>
      <c r="N334" s="36"/>
      <c r="O334" s="36"/>
      <c r="P334" s="36"/>
    </row>
    <row r="335" spans="1:16" ht="15.75" customHeight="1">
      <c r="A335" s="37"/>
      <c r="B335" s="37"/>
      <c r="C335" s="37"/>
      <c r="D335" s="37"/>
      <c r="E335" s="37"/>
      <c r="F335" s="37"/>
      <c r="G335" s="37"/>
      <c r="H335" s="37"/>
      <c r="I335" s="37"/>
      <c r="J335" s="37"/>
      <c r="K335" s="37"/>
      <c r="L335" s="37"/>
      <c r="M335" s="37"/>
      <c r="N335" s="37"/>
      <c r="O335" s="37"/>
      <c r="P335" s="37"/>
    </row>
    <row r="336" spans="1:16" ht="15.75" customHeight="1">
      <c r="A336" s="36"/>
      <c r="B336" s="36"/>
      <c r="C336" s="36"/>
      <c r="D336" s="36"/>
      <c r="E336" s="36"/>
      <c r="F336" s="36"/>
      <c r="G336" s="36"/>
      <c r="H336" s="36"/>
      <c r="I336" s="36"/>
      <c r="J336" s="36"/>
      <c r="K336" s="36"/>
      <c r="L336" s="36"/>
      <c r="M336" s="36"/>
      <c r="N336" s="36"/>
      <c r="O336" s="36"/>
      <c r="P336" s="36"/>
    </row>
    <row r="337" spans="1:16" ht="15.75" customHeight="1">
      <c r="A337" s="37"/>
      <c r="B337" s="37"/>
      <c r="C337" s="37"/>
      <c r="D337" s="37"/>
      <c r="E337" s="37"/>
      <c r="F337" s="37"/>
      <c r="G337" s="37"/>
      <c r="H337" s="37"/>
      <c r="I337" s="37"/>
      <c r="J337" s="37"/>
      <c r="K337" s="37"/>
      <c r="L337" s="37"/>
      <c r="M337" s="37"/>
      <c r="N337" s="37"/>
      <c r="O337" s="37"/>
      <c r="P337" s="37"/>
    </row>
    <row r="338" spans="1:16" ht="15.75" customHeight="1">
      <c r="A338" s="36"/>
      <c r="B338" s="36"/>
      <c r="C338" s="36"/>
      <c r="D338" s="36"/>
      <c r="E338" s="36"/>
      <c r="F338" s="36"/>
      <c r="G338" s="36"/>
      <c r="H338" s="36"/>
      <c r="I338" s="36"/>
      <c r="J338" s="36"/>
      <c r="K338" s="36"/>
      <c r="L338" s="36"/>
      <c r="M338" s="36"/>
      <c r="N338" s="36"/>
      <c r="O338" s="36"/>
      <c r="P338" s="36"/>
    </row>
    <row r="339" spans="1:16" ht="15.75" customHeight="1">
      <c r="A339" s="37"/>
      <c r="B339" s="37"/>
      <c r="C339" s="37"/>
      <c r="D339" s="37"/>
      <c r="E339" s="37"/>
      <c r="F339" s="37"/>
      <c r="G339" s="37"/>
      <c r="H339" s="37"/>
      <c r="I339" s="37"/>
      <c r="J339" s="37"/>
      <c r="K339" s="37"/>
      <c r="L339" s="37"/>
      <c r="M339" s="37"/>
      <c r="N339" s="37"/>
      <c r="O339" s="37"/>
      <c r="P339" s="37"/>
    </row>
    <row r="340" spans="1:16" ht="15.75" customHeight="1">
      <c r="A340" s="36"/>
      <c r="B340" s="36"/>
      <c r="C340" s="36"/>
      <c r="D340" s="36"/>
      <c r="E340" s="36"/>
      <c r="F340" s="36"/>
      <c r="G340" s="36"/>
      <c r="H340" s="36"/>
      <c r="I340" s="36"/>
      <c r="J340" s="36"/>
      <c r="K340" s="36"/>
      <c r="L340" s="36"/>
      <c r="M340" s="36"/>
      <c r="N340" s="36"/>
      <c r="O340" s="36"/>
      <c r="P340" s="36"/>
    </row>
    <row r="341" spans="1:16" ht="15.75" customHeight="1">
      <c r="A341" s="37"/>
      <c r="B341" s="37"/>
      <c r="C341" s="37"/>
      <c r="D341" s="37"/>
      <c r="E341" s="37"/>
      <c r="F341" s="37"/>
      <c r="G341" s="37"/>
      <c r="H341" s="37"/>
      <c r="I341" s="37"/>
      <c r="J341" s="37"/>
      <c r="K341" s="37"/>
      <c r="L341" s="37"/>
      <c r="M341" s="37"/>
      <c r="N341" s="37"/>
      <c r="O341" s="37"/>
      <c r="P341" s="37"/>
    </row>
    <row r="342" spans="1:16" ht="15.75" customHeight="1">
      <c r="A342" s="36"/>
      <c r="B342" s="36"/>
      <c r="C342" s="36"/>
      <c r="D342" s="36"/>
      <c r="E342" s="36"/>
      <c r="F342" s="36"/>
      <c r="G342" s="36"/>
      <c r="H342" s="36"/>
      <c r="I342" s="36"/>
      <c r="J342" s="36"/>
      <c r="K342" s="36"/>
      <c r="L342" s="36"/>
      <c r="M342" s="36"/>
      <c r="N342" s="36"/>
      <c r="O342" s="36"/>
      <c r="P342" s="36"/>
    </row>
    <row r="343" spans="1:16" ht="15.75" customHeight="1">
      <c r="A343" s="37"/>
      <c r="B343" s="37"/>
      <c r="C343" s="37"/>
      <c r="D343" s="37"/>
      <c r="E343" s="37"/>
      <c r="F343" s="37"/>
      <c r="G343" s="37"/>
      <c r="H343" s="37"/>
      <c r="I343" s="37"/>
      <c r="J343" s="37"/>
      <c r="K343" s="37"/>
      <c r="L343" s="37"/>
      <c r="M343" s="37"/>
      <c r="N343" s="37"/>
      <c r="O343" s="37"/>
      <c r="P343" s="37"/>
    </row>
    <row r="344" spans="1:16" ht="15.75" customHeight="1">
      <c r="A344" s="36"/>
      <c r="B344" s="36"/>
      <c r="C344" s="36"/>
      <c r="D344" s="36"/>
      <c r="E344" s="36"/>
      <c r="F344" s="36"/>
      <c r="G344" s="36"/>
      <c r="H344" s="36"/>
      <c r="I344" s="36"/>
      <c r="J344" s="36"/>
      <c r="K344" s="36"/>
      <c r="L344" s="36"/>
      <c r="M344" s="36"/>
      <c r="N344" s="36"/>
      <c r="O344" s="36"/>
      <c r="P344" s="36"/>
    </row>
    <row r="345" spans="1:16" ht="15.75" customHeight="1">
      <c r="A345" s="37"/>
      <c r="B345" s="37"/>
      <c r="C345" s="37"/>
      <c r="D345" s="37"/>
      <c r="E345" s="37"/>
      <c r="F345" s="37"/>
      <c r="G345" s="37"/>
      <c r="H345" s="37"/>
      <c r="I345" s="37"/>
      <c r="J345" s="37"/>
      <c r="K345" s="37"/>
      <c r="L345" s="37"/>
      <c r="M345" s="37"/>
      <c r="N345" s="37"/>
      <c r="O345" s="37"/>
      <c r="P345" s="37"/>
    </row>
    <row r="346" spans="1:16" ht="15.75" customHeight="1">
      <c r="A346" s="36"/>
      <c r="B346" s="36"/>
      <c r="C346" s="36"/>
      <c r="D346" s="36"/>
      <c r="E346" s="36"/>
      <c r="F346" s="36"/>
      <c r="G346" s="36"/>
      <c r="H346" s="36"/>
      <c r="I346" s="36"/>
      <c r="J346" s="36"/>
      <c r="K346" s="36"/>
      <c r="L346" s="36"/>
      <c r="M346" s="36"/>
      <c r="N346" s="36"/>
      <c r="O346" s="36"/>
      <c r="P346" s="36"/>
    </row>
    <row r="347" spans="1:16" ht="15.75" customHeight="1">
      <c r="A347" s="37"/>
      <c r="B347" s="37"/>
      <c r="C347" s="37"/>
      <c r="D347" s="37"/>
      <c r="E347" s="37"/>
      <c r="F347" s="37"/>
      <c r="G347" s="37"/>
      <c r="H347" s="37"/>
      <c r="I347" s="37"/>
      <c r="J347" s="37"/>
      <c r="K347" s="37"/>
      <c r="L347" s="37"/>
      <c r="M347" s="37"/>
      <c r="N347" s="37"/>
      <c r="O347" s="37"/>
      <c r="P347" s="37"/>
    </row>
    <row r="348" spans="1:16" ht="15.75" customHeight="1">
      <c r="A348" s="36"/>
      <c r="B348" s="36"/>
      <c r="C348" s="36"/>
      <c r="D348" s="36"/>
      <c r="E348" s="36"/>
      <c r="F348" s="36"/>
      <c r="G348" s="36"/>
      <c r="H348" s="36"/>
      <c r="I348" s="36"/>
      <c r="J348" s="36"/>
      <c r="K348" s="36"/>
      <c r="L348" s="36"/>
      <c r="M348" s="36"/>
      <c r="N348" s="36"/>
      <c r="O348" s="36"/>
      <c r="P348" s="36"/>
    </row>
    <row r="349" spans="1:16" ht="15.75" customHeight="1">
      <c r="A349" s="37"/>
      <c r="B349" s="37"/>
      <c r="C349" s="37"/>
      <c r="D349" s="37"/>
      <c r="E349" s="37"/>
      <c r="F349" s="37"/>
      <c r="G349" s="37"/>
      <c r="H349" s="37"/>
      <c r="I349" s="37"/>
      <c r="J349" s="37"/>
      <c r="K349" s="37"/>
      <c r="L349" s="37"/>
      <c r="M349" s="37"/>
      <c r="N349" s="37"/>
      <c r="O349" s="37"/>
      <c r="P349" s="37"/>
    </row>
    <row r="350" spans="1:16" ht="15.75" customHeight="1">
      <c r="A350" s="36"/>
      <c r="B350" s="36"/>
      <c r="C350" s="36"/>
      <c r="D350" s="36"/>
      <c r="E350" s="36"/>
      <c r="F350" s="36"/>
      <c r="G350" s="36"/>
      <c r="H350" s="36"/>
      <c r="I350" s="36"/>
      <c r="J350" s="36"/>
      <c r="K350" s="36"/>
      <c r="L350" s="36"/>
      <c r="M350" s="36"/>
      <c r="N350" s="36"/>
      <c r="O350" s="36"/>
      <c r="P350" s="36"/>
    </row>
    <row r="351" spans="1:16" ht="15.75" customHeight="1">
      <c r="A351" s="37"/>
      <c r="B351" s="37"/>
      <c r="C351" s="37"/>
      <c r="D351" s="37"/>
      <c r="E351" s="37"/>
      <c r="F351" s="37"/>
      <c r="G351" s="37"/>
      <c r="H351" s="37"/>
      <c r="I351" s="37"/>
      <c r="J351" s="37"/>
      <c r="K351" s="37"/>
      <c r="L351" s="37"/>
      <c r="M351" s="37"/>
      <c r="N351" s="37"/>
      <c r="O351" s="37"/>
      <c r="P351" s="37"/>
    </row>
    <row r="352" spans="1:16" ht="15.75" customHeight="1">
      <c r="A352" s="36"/>
      <c r="B352" s="36"/>
      <c r="C352" s="36"/>
      <c r="D352" s="36"/>
      <c r="E352" s="36"/>
      <c r="F352" s="36"/>
      <c r="G352" s="36"/>
      <c r="H352" s="36"/>
      <c r="I352" s="36"/>
      <c r="J352" s="36"/>
      <c r="K352" s="36"/>
      <c r="L352" s="36"/>
      <c r="M352" s="36"/>
      <c r="N352" s="36"/>
      <c r="O352" s="36"/>
      <c r="P352" s="36"/>
    </row>
    <row r="353" spans="1:16" ht="15.75" customHeight="1">
      <c r="A353" s="37"/>
      <c r="B353" s="37"/>
      <c r="C353" s="37"/>
      <c r="D353" s="37"/>
      <c r="E353" s="37"/>
      <c r="F353" s="37"/>
      <c r="G353" s="37"/>
      <c r="H353" s="37"/>
      <c r="I353" s="37"/>
      <c r="J353" s="37"/>
      <c r="K353" s="37"/>
      <c r="L353" s="37"/>
      <c r="M353" s="37"/>
      <c r="N353" s="37"/>
      <c r="O353" s="37"/>
      <c r="P353" s="37"/>
    </row>
    <row r="354" spans="1:16" ht="15.75" customHeight="1">
      <c r="A354" s="36"/>
      <c r="B354" s="36"/>
      <c r="C354" s="36"/>
      <c r="D354" s="36"/>
      <c r="E354" s="36"/>
      <c r="F354" s="36"/>
      <c r="G354" s="36"/>
      <c r="H354" s="36"/>
      <c r="I354" s="36"/>
      <c r="J354" s="36"/>
      <c r="K354" s="36"/>
      <c r="L354" s="36"/>
      <c r="M354" s="36"/>
      <c r="N354" s="36"/>
      <c r="O354" s="36"/>
      <c r="P354" s="36"/>
    </row>
    <row r="355" spans="1:16" ht="15.75" customHeight="1">
      <c r="A355" s="37"/>
      <c r="B355" s="37"/>
      <c r="C355" s="37"/>
      <c r="D355" s="37"/>
      <c r="E355" s="37"/>
      <c r="F355" s="37"/>
      <c r="G355" s="37"/>
      <c r="H355" s="37"/>
      <c r="I355" s="37"/>
      <c r="J355" s="37"/>
      <c r="K355" s="37"/>
      <c r="L355" s="37"/>
      <c r="M355" s="37"/>
      <c r="N355" s="37"/>
      <c r="O355" s="37"/>
      <c r="P355" s="37"/>
    </row>
    <row r="356" spans="1:16" ht="15.75" customHeight="1">
      <c r="A356" s="36"/>
      <c r="B356" s="36"/>
      <c r="C356" s="36"/>
      <c r="D356" s="36"/>
      <c r="E356" s="36"/>
      <c r="F356" s="36"/>
      <c r="G356" s="36"/>
      <c r="H356" s="36"/>
      <c r="I356" s="36"/>
      <c r="J356" s="36"/>
      <c r="K356" s="36"/>
      <c r="L356" s="36"/>
      <c r="M356" s="36"/>
      <c r="N356" s="36"/>
      <c r="O356" s="36"/>
      <c r="P356" s="36"/>
    </row>
    <row r="357" spans="1:16" ht="15.75" customHeight="1">
      <c r="A357" s="37"/>
      <c r="B357" s="37"/>
      <c r="C357" s="37"/>
      <c r="D357" s="37"/>
      <c r="E357" s="37"/>
      <c r="F357" s="37"/>
      <c r="G357" s="37"/>
      <c r="H357" s="37"/>
      <c r="I357" s="37"/>
      <c r="J357" s="37"/>
      <c r="K357" s="37"/>
      <c r="L357" s="37"/>
      <c r="M357" s="37"/>
      <c r="N357" s="37"/>
      <c r="O357" s="37"/>
      <c r="P357" s="37"/>
    </row>
    <row r="358" spans="1:16" ht="15.75" customHeight="1">
      <c r="A358" s="36"/>
      <c r="B358" s="36"/>
      <c r="C358" s="36"/>
      <c r="D358" s="36"/>
      <c r="E358" s="36"/>
      <c r="F358" s="36"/>
      <c r="G358" s="36"/>
      <c r="H358" s="36"/>
      <c r="I358" s="36"/>
      <c r="J358" s="36"/>
      <c r="K358" s="36"/>
      <c r="L358" s="36"/>
      <c r="M358" s="36"/>
      <c r="N358" s="36"/>
      <c r="O358" s="36"/>
      <c r="P358" s="36"/>
    </row>
    <row r="359" spans="1:16" ht="15.75" customHeight="1">
      <c r="A359" s="37"/>
      <c r="B359" s="37"/>
      <c r="C359" s="37"/>
      <c r="D359" s="37"/>
      <c r="E359" s="37"/>
      <c r="F359" s="37"/>
      <c r="G359" s="37"/>
      <c r="H359" s="37"/>
      <c r="I359" s="37"/>
      <c r="J359" s="37"/>
      <c r="K359" s="37"/>
      <c r="L359" s="37"/>
      <c r="M359" s="37"/>
      <c r="N359" s="37"/>
      <c r="O359" s="37"/>
      <c r="P359" s="37"/>
    </row>
    <row r="360" spans="1:16" ht="15.75" customHeight="1">
      <c r="A360" s="36"/>
      <c r="B360" s="36"/>
      <c r="C360" s="36"/>
      <c r="D360" s="36"/>
      <c r="E360" s="36"/>
      <c r="F360" s="36"/>
      <c r="G360" s="36"/>
      <c r="H360" s="36"/>
      <c r="I360" s="36"/>
      <c r="J360" s="36"/>
      <c r="K360" s="36"/>
      <c r="L360" s="36"/>
      <c r="M360" s="36"/>
      <c r="N360" s="36"/>
      <c r="O360" s="36"/>
      <c r="P360" s="36"/>
    </row>
    <row r="361" spans="1:16" ht="15.75" customHeight="1">
      <c r="A361" s="37"/>
      <c r="B361" s="37"/>
      <c r="C361" s="37"/>
      <c r="D361" s="37"/>
      <c r="E361" s="37"/>
      <c r="F361" s="37"/>
      <c r="G361" s="37"/>
      <c r="H361" s="37"/>
      <c r="I361" s="37"/>
      <c r="J361" s="37"/>
      <c r="K361" s="37"/>
      <c r="L361" s="37"/>
      <c r="M361" s="37"/>
      <c r="N361" s="37"/>
      <c r="O361" s="37"/>
      <c r="P361" s="37"/>
    </row>
    <row r="362" spans="1:16" ht="15.75" customHeight="1">
      <c r="A362" s="36"/>
      <c r="B362" s="36"/>
      <c r="C362" s="36"/>
      <c r="D362" s="36"/>
      <c r="E362" s="36"/>
      <c r="F362" s="36"/>
      <c r="G362" s="36"/>
      <c r="H362" s="36"/>
      <c r="I362" s="36"/>
      <c r="J362" s="36"/>
      <c r="K362" s="36"/>
      <c r="L362" s="36"/>
      <c r="M362" s="36"/>
      <c r="N362" s="36"/>
      <c r="O362" s="36"/>
      <c r="P362" s="36"/>
    </row>
    <row r="363" spans="1:16" ht="15.75" customHeight="1">
      <c r="A363" s="37"/>
      <c r="B363" s="37"/>
      <c r="C363" s="37"/>
      <c r="D363" s="37"/>
      <c r="E363" s="37"/>
      <c r="F363" s="37"/>
      <c r="G363" s="37"/>
      <c r="H363" s="37"/>
      <c r="I363" s="37"/>
      <c r="J363" s="37"/>
      <c r="K363" s="37"/>
      <c r="L363" s="37"/>
      <c r="M363" s="37"/>
      <c r="N363" s="37"/>
      <c r="O363" s="37"/>
      <c r="P363" s="37"/>
    </row>
    <row r="364" spans="1:16" ht="15.75" customHeight="1">
      <c r="A364" s="36"/>
      <c r="B364" s="36"/>
      <c r="C364" s="36"/>
      <c r="D364" s="36"/>
      <c r="E364" s="36"/>
      <c r="F364" s="36"/>
      <c r="G364" s="36"/>
      <c r="H364" s="36"/>
      <c r="I364" s="36"/>
      <c r="J364" s="36"/>
      <c r="K364" s="36"/>
      <c r="L364" s="36"/>
      <c r="M364" s="36"/>
      <c r="N364" s="36"/>
      <c r="O364" s="36"/>
      <c r="P364" s="36"/>
    </row>
    <row r="365" spans="1:16" ht="15.75" customHeight="1">
      <c r="A365" s="37"/>
      <c r="B365" s="37"/>
      <c r="C365" s="37"/>
      <c r="D365" s="37"/>
      <c r="E365" s="37"/>
      <c r="F365" s="37"/>
      <c r="G365" s="37"/>
      <c r="H365" s="37"/>
      <c r="I365" s="37"/>
      <c r="J365" s="37"/>
      <c r="K365" s="37"/>
      <c r="L365" s="37"/>
      <c r="M365" s="37"/>
      <c r="N365" s="37"/>
      <c r="O365" s="37"/>
      <c r="P365" s="37"/>
    </row>
    <row r="366" spans="1:16" ht="15.75" customHeight="1">
      <c r="A366" s="36"/>
      <c r="B366" s="36"/>
      <c r="C366" s="36"/>
      <c r="D366" s="36"/>
      <c r="E366" s="36"/>
      <c r="F366" s="36"/>
      <c r="G366" s="36"/>
      <c r="H366" s="36"/>
      <c r="I366" s="36"/>
      <c r="J366" s="36"/>
      <c r="K366" s="36"/>
      <c r="L366" s="36"/>
      <c r="M366" s="36"/>
      <c r="N366" s="36"/>
      <c r="O366" s="36"/>
      <c r="P366" s="36"/>
    </row>
    <row r="367" spans="1:16" ht="15.75" customHeight="1">
      <c r="A367" s="37"/>
      <c r="B367" s="37"/>
      <c r="C367" s="37"/>
      <c r="D367" s="37"/>
      <c r="E367" s="37"/>
      <c r="F367" s="37"/>
      <c r="G367" s="37"/>
      <c r="H367" s="37"/>
      <c r="I367" s="37"/>
      <c r="J367" s="37"/>
      <c r="K367" s="37"/>
      <c r="L367" s="37"/>
      <c r="M367" s="37"/>
      <c r="N367" s="37"/>
      <c r="O367" s="37"/>
      <c r="P367" s="37"/>
    </row>
    <row r="368" spans="1:16" ht="15.75" customHeight="1">
      <c r="A368" s="36"/>
      <c r="B368" s="36"/>
      <c r="C368" s="36"/>
      <c r="D368" s="36"/>
      <c r="E368" s="36"/>
      <c r="F368" s="36"/>
      <c r="G368" s="36"/>
      <c r="H368" s="36"/>
      <c r="I368" s="36"/>
      <c r="J368" s="36"/>
      <c r="K368" s="36"/>
      <c r="L368" s="36"/>
      <c r="M368" s="36"/>
      <c r="N368" s="36"/>
      <c r="O368" s="36"/>
      <c r="P368" s="36"/>
    </row>
    <row r="369" spans="1:16" ht="15.75" customHeight="1">
      <c r="A369" s="37"/>
      <c r="B369" s="37"/>
      <c r="C369" s="37"/>
      <c r="D369" s="37"/>
      <c r="E369" s="37"/>
      <c r="F369" s="37"/>
      <c r="G369" s="37"/>
      <c r="H369" s="37"/>
      <c r="I369" s="37"/>
      <c r="J369" s="37"/>
      <c r="K369" s="37"/>
      <c r="L369" s="37"/>
      <c r="M369" s="37"/>
      <c r="N369" s="37"/>
      <c r="O369" s="37"/>
      <c r="P369" s="37"/>
    </row>
    <row r="370" spans="1:16" ht="15.75" customHeight="1">
      <c r="A370" s="36"/>
      <c r="B370" s="36"/>
      <c r="C370" s="36"/>
      <c r="D370" s="36"/>
      <c r="E370" s="36"/>
      <c r="F370" s="36"/>
      <c r="G370" s="36"/>
      <c r="H370" s="36"/>
      <c r="I370" s="36"/>
      <c r="J370" s="36"/>
      <c r="K370" s="36"/>
      <c r="L370" s="36"/>
      <c r="M370" s="36"/>
      <c r="N370" s="36"/>
      <c r="O370" s="36"/>
      <c r="P370" s="36"/>
    </row>
    <row r="371" spans="1:16" ht="15.75" customHeight="1">
      <c r="A371" s="37"/>
      <c r="B371" s="37"/>
      <c r="C371" s="37"/>
      <c r="D371" s="37"/>
      <c r="E371" s="37"/>
      <c r="F371" s="37"/>
      <c r="G371" s="37"/>
      <c r="H371" s="37"/>
      <c r="I371" s="37"/>
      <c r="J371" s="37"/>
      <c r="K371" s="37"/>
      <c r="L371" s="37"/>
      <c r="M371" s="37"/>
      <c r="N371" s="37"/>
      <c r="O371" s="37"/>
      <c r="P371" s="37"/>
    </row>
    <row r="372" spans="1:16" ht="15.75" customHeight="1">
      <c r="A372" s="36"/>
      <c r="B372" s="36"/>
      <c r="C372" s="36"/>
      <c r="D372" s="36"/>
      <c r="E372" s="36"/>
      <c r="F372" s="36"/>
      <c r="G372" s="36"/>
      <c r="H372" s="36"/>
      <c r="I372" s="36"/>
      <c r="J372" s="36"/>
      <c r="K372" s="36"/>
      <c r="L372" s="36"/>
      <c r="M372" s="36"/>
      <c r="N372" s="36"/>
      <c r="O372" s="36"/>
      <c r="P372" s="36"/>
    </row>
    <row r="373" spans="1:16" ht="15.75" customHeight="1">
      <c r="A373" s="37"/>
      <c r="B373" s="37"/>
      <c r="C373" s="37"/>
      <c r="D373" s="37"/>
      <c r="E373" s="37"/>
      <c r="F373" s="37"/>
      <c r="G373" s="37"/>
      <c r="H373" s="37"/>
      <c r="I373" s="37"/>
      <c r="J373" s="37"/>
      <c r="K373" s="37"/>
      <c r="L373" s="37"/>
      <c r="M373" s="37"/>
      <c r="N373" s="37"/>
      <c r="O373" s="37"/>
      <c r="P373" s="37"/>
    </row>
    <row r="374" spans="1:16" ht="15.75" customHeight="1">
      <c r="A374" s="36"/>
      <c r="B374" s="36"/>
      <c r="C374" s="36"/>
      <c r="D374" s="36"/>
      <c r="E374" s="36"/>
      <c r="F374" s="36"/>
      <c r="G374" s="36"/>
      <c r="H374" s="36"/>
      <c r="I374" s="36"/>
      <c r="J374" s="36"/>
      <c r="K374" s="36"/>
      <c r="L374" s="36"/>
      <c r="M374" s="36"/>
      <c r="N374" s="36"/>
      <c r="O374" s="36"/>
      <c r="P374" s="36"/>
    </row>
    <row r="375" spans="1:16" ht="15.75" customHeight="1">
      <c r="A375" s="37"/>
      <c r="B375" s="37"/>
      <c r="C375" s="37"/>
      <c r="D375" s="37"/>
      <c r="E375" s="37"/>
      <c r="F375" s="37"/>
      <c r="G375" s="37"/>
      <c r="H375" s="37"/>
      <c r="I375" s="37"/>
      <c r="J375" s="37"/>
      <c r="K375" s="37"/>
      <c r="L375" s="37"/>
      <c r="M375" s="37"/>
      <c r="N375" s="37"/>
      <c r="O375" s="37"/>
      <c r="P375" s="37"/>
    </row>
    <row r="376" spans="1:16" ht="15.75" customHeight="1">
      <c r="A376" s="36"/>
      <c r="B376" s="36"/>
      <c r="C376" s="36"/>
      <c r="D376" s="36"/>
      <c r="E376" s="36"/>
      <c r="F376" s="36"/>
      <c r="G376" s="36"/>
      <c r="H376" s="36"/>
      <c r="I376" s="36"/>
      <c r="J376" s="36"/>
      <c r="K376" s="36"/>
      <c r="L376" s="36"/>
      <c r="M376" s="36"/>
      <c r="N376" s="36"/>
      <c r="O376" s="36"/>
      <c r="P376" s="36"/>
    </row>
    <row r="377" spans="1:16" ht="15.75" customHeight="1">
      <c r="A377" s="37"/>
      <c r="B377" s="37"/>
      <c r="C377" s="37"/>
      <c r="D377" s="37"/>
      <c r="E377" s="37"/>
      <c r="F377" s="37"/>
      <c r="G377" s="37"/>
      <c r="H377" s="37"/>
      <c r="I377" s="37"/>
      <c r="J377" s="37"/>
      <c r="K377" s="37"/>
      <c r="L377" s="37"/>
      <c r="M377" s="37"/>
      <c r="N377" s="37"/>
      <c r="O377" s="37"/>
      <c r="P377" s="37"/>
    </row>
    <row r="378" spans="1:16" ht="15.75" customHeight="1">
      <c r="A378" s="36"/>
      <c r="B378" s="36"/>
      <c r="C378" s="36"/>
      <c r="D378" s="36"/>
      <c r="E378" s="36"/>
      <c r="F378" s="36"/>
      <c r="G378" s="36"/>
      <c r="H378" s="36"/>
      <c r="I378" s="36"/>
      <c r="J378" s="36"/>
      <c r="K378" s="36"/>
      <c r="L378" s="36"/>
      <c r="M378" s="36"/>
      <c r="N378" s="36"/>
      <c r="O378" s="36"/>
      <c r="P378" s="36"/>
    </row>
    <row r="379" spans="1:16" ht="15.75" customHeight="1">
      <c r="A379" s="37"/>
      <c r="B379" s="37"/>
      <c r="C379" s="37"/>
      <c r="D379" s="37"/>
      <c r="E379" s="37"/>
      <c r="F379" s="37"/>
      <c r="G379" s="37"/>
      <c r="H379" s="37"/>
      <c r="I379" s="37"/>
      <c r="J379" s="37"/>
      <c r="K379" s="37"/>
      <c r="L379" s="37"/>
      <c r="M379" s="37"/>
      <c r="N379" s="37"/>
      <c r="O379" s="37"/>
      <c r="P379" s="37"/>
    </row>
    <row r="380" spans="1:16" ht="15.75" customHeight="1">
      <c r="A380" s="36"/>
      <c r="B380" s="36"/>
      <c r="C380" s="36"/>
      <c r="D380" s="36"/>
      <c r="E380" s="36"/>
      <c r="F380" s="36"/>
      <c r="G380" s="36"/>
      <c r="H380" s="36"/>
      <c r="I380" s="36"/>
      <c r="J380" s="36"/>
      <c r="K380" s="36"/>
      <c r="L380" s="36"/>
      <c r="M380" s="36"/>
      <c r="N380" s="36"/>
      <c r="O380" s="36"/>
      <c r="P380" s="36"/>
    </row>
    <row r="381" spans="1:16" ht="15.75" customHeight="1">
      <c r="A381" s="37"/>
      <c r="B381" s="37"/>
      <c r="C381" s="37"/>
      <c r="D381" s="37"/>
      <c r="E381" s="37"/>
      <c r="F381" s="37"/>
      <c r="G381" s="37"/>
      <c r="H381" s="37"/>
      <c r="I381" s="37"/>
      <c r="J381" s="37"/>
      <c r="K381" s="37"/>
      <c r="L381" s="37"/>
      <c r="M381" s="37"/>
      <c r="N381" s="37"/>
      <c r="O381" s="37"/>
      <c r="P381" s="37"/>
    </row>
    <row r="382" spans="1:16" ht="15.75" customHeight="1">
      <c r="A382" s="36"/>
      <c r="B382" s="36"/>
      <c r="C382" s="36"/>
      <c r="D382" s="36"/>
      <c r="E382" s="36"/>
      <c r="F382" s="36"/>
      <c r="G382" s="36"/>
      <c r="H382" s="36"/>
      <c r="I382" s="36"/>
      <c r="J382" s="36"/>
      <c r="K382" s="36"/>
      <c r="L382" s="36"/>
      <c r="M382" s="36"/>
      <c r="N382" s="36"/>
      <c r="O382" s="36"/>
      <c r="P382" s="36"/>
    </row>
    <row r="383" spans="1:16" ht="15.75" customHeight="1">
      <c r="A383" s="37"/>
      <c r="B383" s="37"/>
      <c r="C383" s="37"/>
      <c r="D383" s="37"/>
      <c r="E383" s="37"/>
      <c r="F383" s="37"/>
      <c r="G383" s="37"/>
      <c r="H383" s="37"/>
      <c r="I383" s="37"/>
      <c r="J383" s="37"/>
      <c r="K383" s="37"/>
      <c r="L383" s="37"/>
      <c r="M383" s="37"/>
      <c r="N383" s="37"/>
      <c r="O383" s="37"/>
      <c r="P383" s="37"/>
    </row>
    <row r="384" spans="1:16" ht="15.75" customHeight="1">
      <c r="A384" s="36"/>
      <c r="B384" s="36"/>
      <c r="C384" s="36"/>
      <c r="D384" s="36"/>
      <c r="E384" s="36"/>
      <c r="F384" s="36"/>
      <c r="G384" s="36"/>
      <c r="H384" s="36"/>
      <c r="I384" s="36"/>
      <c r="J384" s="36"/>
      <c r="K384" s="36"/>
      <c r="L384" s="36"/>
      <c r="M384" s="36"/>
      <c r="N384" s="36"/>
      <c r="O384" s="36"/>
      <c r="P384" s="36"/>
    </row>
    <row r="385" spans="1:16" ht="15.75" customHeight="1">
      <c r="A385" s="37"/>
      <c r="B385" s="37"/>
      <c r="C385" s="37"/>
      <c r="D385" s="37"/>
      <c r="E385" s="37"/>
      <c r="F385" s="37"/>
      <c r="G385" s="37"/>
      <c r="H385" s="37"/>
      <c r="I385" s="37"/>
      <c r="J385" s="37"/>
      <c r="K385" s="37"/>
      <c r="L385" s="37"/>
      <c r="M385" s="37"/>
      <c r="N385" s="37"/>
      <c r="O385" s="37"/>
      <c r="P385" s="37"/>
    </row>
    <row r="386" spans="1:16" ht="15.75" customHeight="1">
      <c r="A386" s="36"/>
      <c r="B386" s="36"/>
      <c r="C386" s="36"/>
      <c r="D386" s="36"/>
      <c r="E386" s="36"/>
      <c r="F386" s="36"/>
      <c r="G386" s="36"/>
      <c r="H386" s="36"/>
      <c r="I386" s="36"/>
      <c r="J386" s="36"/>
      <c r="K386" s="36"/>
      <c r="L386" s="36"/>
      <c r="M386" s="36"/>
      <c r="N386" s="36"/>
      <c r="O386" s="36"/>
      <c r="P386" s="36"/>
    </row>
    <row r="387" spans="1:16" ht="15.75" customHeight="1">
      <c r="A387" s="37"/>
      <c r="B387" s="37"/>
      <c r="C387" s="37"/>
      <c r="D387" s="37"/>
      <c r="E387" s="37"/>
      <c r="F387" s="37"/>
      <c r="G387" s="37"/>
      <c r="H387" s="37"/>
      <c r="I387" s="37"/>
      <c r="J387" s="37"/>
      <c r="K387" s="37"/>
      <c r="L387" s="37"/>
      <c r="M387" s="37"/>
      <c r="N387" s="37"/>
      <c r="O387" s="37"/>
      <c r="P387" s="37"/>
    </row>
    <row r="388" spans="1:16" ht="15.75" customHeight="1">
      <c r="A388" s="36"/>
      <c r="B388" s="36"/>
      <c r="C388" s="36"/>
      <c r="D388" s="36"/>
      <c r="E388" s="36"/>
      <c r="F388" s="36"/>
      <c r="G388" s="36"/>
      <c r="H388" s="36"/>
      <c r="I388" s="36"/>
      <c r="J388" s="36"/>
      <c r="K388" s="36"/>
      <c r="L388" s="36"/>
      <c r="M388" s="36"/>
      <c r="N388" s="36"/>
      <c r="O388" s="36"/>
      <c r="P388" s="36"/>
    </row>
    <row r="389" spans="1:16" ht="15.75" customHeight="1">
      <c r="A389" s="37"/>
      <c r="B389" s="37"/>
      <c r="C389" s="37"/>
      <c r="D389" s="37"/>
      <c r="E389" s="37"/>
      <c r="F389" s="37"/>
      <c r="G389" s="37"/>
      <c r="H389" s="37"/>
      <c r="I389" s="37"/>
      <c r="J389" s="37"/>
      <c r="K389" s="37"/>
      <c r="L389" s="37"/>
      <c r="M389" s="37"/>
      <c r="N389" s="37"/>
      <c r="O389" s="37"/>
      <c r="P389" s="37"/>
    </row>
    <row r="390" spans="1:16" ht="15.75" customHeight="1">
      <c r="A390" s="36"/>
      <c r="B390" s="36"/>
      <c r="C390" s="36"/>
      <c r="D390" s="36"/>
      <c r="E390" s="36"/>
      <c r="F390" s="36"/>
      <c r="G390" s="36"/>
      <c r="H390" s="36"/>
      <c r="I390" s="36"/>
      <c r="J390" s="36"/>
      <c r="K390" s="36"/>
      <c r="L390" s="36"/>
      <c r="M390" s="36"/>
      <c r="N390" s="36"/>
      <c r="O390" s="36"/>
      <c r="P390" s="36"/>
    </row>
    <row r="391" spans="1:16" ht="15.75" customHeight="1">
      <c r="A391" s="37"/>
      <c r="B391" s="37"/>
      <c r="C391" s="37"/>
      <c r="D391" s="37"/>
      <c r="E391" s="37"/>
      <c r="F391" s="37"/>
      <c r="G391" s="37"/>
      <c r="H391" s="37"/>
      <c r="I391" s="37"/>
      <c r="J391" s="37"/>
      <c r="K391" s="37"/>
      <c r="L391" s="37"/>
      <c r="M391" s="37"/>
      <c r="N391" s="37"/>
      <c r="O391" s="37"/>
      <c r="P391" s="37"/>
    </row>
    <row r="392" spans="1:16" ht="15.75" customHeight="1">
      <c r="A392" s="36"/>
      <c r="B392" s="36"/>
      <c r="C392" s="36"/>
      <c r="D392" s="36"/>
      <c r="E392" s="36"/>
      <c r="F392" s="36"/>
      <c r="G392" s="36"/>
      <c r="H392" s="36"/>
      <c r="I392" s="36"/>
      <c r="J392" s="36"/>
      <c r="K392" s="36"/>
      <c r="L392" s="36"/>
      <c r="M392" s="36"/>
      <c r="N392" s="36"/>
      <c r="O392" s="36"/>
      <c r="P392" s="36"/>
    </row>
    <row r="393" spans="1:16" ht="15.75" customHeight="1">
      <c r="A393" s="37"/>
      <c r="B393" s="37"/>
      <c r="C393" s="37"/>
      <c r="D393" s="37"/>
      <c r="E393" s="37"/>
      <c r="F393" s="37"/>
      <c r="G393" s="37"/>
      <c r="H393" s="37"/>
      <c r="I393" s="37"/>
      <c r="J393" s="37"/>
      <c r="K393" s="37"/>
      <c r="L393" s="37"/>
      <c r="M393" s="37"/>
      <c r="N393" s="37"/>
      <c r="O393" s="37"/>
      <c r="P393" s="37"/>
    </row>
    <row r="394" spans="1:16" ht="15.75" customHeight="1">
      <c r="A394" s="36"/>
      <c r="B394" s="36"/>
      <c r="C394" s="36"/>
      <c r="D394" s="36"/>
      <c r="E394" s="36"/>
      <c r="F394" s="36"/>
      <c r="G394" s="36"/>
      <c r="H394" s="36"/>
      <c r="I394" s="36"/>
      <c r="J394" s="36"/>
      <c r="K394" s="36"/>
      <c r="L394" s="36"/>
      <c r="M394" s="36"/>
      <c r="N394" s="36"/>
      <c r="O394" s="36"/>
      <c r="P394" s="36"/>
    </row>
    <row r="395" spans="1:16" ht="15.75" customHeight="1">
      <c r="A395" s="37"/>
      <c r="B395" s="37"/>
      <c r="C395" s="37"/>
      <c r="D395" s="37"/>
      <c r="E395" s="37"/>
      <c r="F395" s="37"/>
      <c r="G395" s="37"/>
      <c r="H395" s="37"/>
      <c r="I395" s="37"/>
      <c r="J395" s="37"/>
      <c r="K395" s="37"/>
      <c r="L395" s="37"/>
      <c r="M395" s="37"/>
      <c r="N395" s="37"/>
      <c r="O395" s="37"/>
      <c r="P395" s="37"/>
    </row>
    <row r="396" spans="1:16" ht="15.75" customHeight="1">
      <c r="A396" s="36"/>
      <c r="B396" s="36"/>
      <c r="C396" s="36"/>
      <c r="D396" s="36"/>
      <c r="E396" s="36"/>
      <c r="F396" s="36"/>
      <c r="G396" s="36"/>
      <c r="H396" s="36"/>
      <c r="I396" s="36"/>
      <c r="J396" s="36"/>
      <c r="K396" s="36"/>
      <c r="L396" s="36"/>
      <c r="M396" s="36"/>
      <c r="N396" s="36"/>
      <c r="O396" s="36"/>
      <c r="P396" s="36"/>
    </row>
    <row r="397" spans="1:16" ht="15.75" customHeight="1">
      <c r="A397" s="37"/>
      <c r="B397" s="37"/>
      <c r="C397" s="37"/>
      <c r="D397" s="37"/>
      <c r="E397" s="37"/>
      <c r="F397" s="37"/>
      <c r="G397" s="37"/>
      <c r="H397" s="37"/>
      <c r="I397" s="37"/>
      <c r="J397" s="37"/>
      <c r="K397" s="37"/>
      <c r="L397" s="37"/>
      <c r="M397" s="37"/>
      <c r="N397" s="37"/>
      <c r="O397" s="37"/>
      <c r="P397" s="37"/>
    </row>
    <row r="398" spans="1:16" ht="15.75" customHeight="1">
      <c r="A398" s="36"/>
      <c r="B398" s="36"/>
      <c r="C398" s="36"/>
      <c r="D398" s="36"/>
      <c r="E398" s="36"/>
      <c r="F398" s="36"/>
      <c r="G398" s="36"/>
      <c r="H398" s="36"/>
      <c r="I398" s="36"/>
      <c r="J398" s="36"/>
      <c r="K398" s="36"/>
      <c r="L398" s="36"/>
      <c r="M398" s="36"/>
      <c r="N398" s="36"/>
      <c r="O398" s="36"/>
      <c r="P398" s="36"/>
    </row>
    <row r="399" spans="1:16" ht="15.75" customHeight="1">
      <c r="A399" s="37"/>
      <c r="B399" s="37"/>
      <c r="C399" s="37"/>
      <c r="D399" s="37"/>
      <c r="E399" s="37"/>
      <c r="F399" s="37"/>
      <c r="G399" s="37"/>
      <c r="H399" s="37"/>
      <c r="I399" s="37"/>
      <c r="J399" s="37"/>
      <c r="K399" s="37"/>
      <c r="L399" s="37"/>
      <c r="M399" s="37"/>
      <c r="N399" s="37"/>
      <c r="O399" s="37"/>
      <c r="P399" s="37"/>
    </row>
    <row r="400" spans="1:16" ht="15.75" customHeight="1">
      <c r="A400" s="36"/>
      <c r="B400" s="36"/>
      <c r="C400" s="36"/>
      <c r="D400" s="36"/>
      <c r="E400" s="36"/>
      <c r="F400" s="36"/>
      <c r="G400" s="36"/>
      <c r="H400" s="36"/>
      <c r="I400" s="36"/>
      <c r="J400" s="36"/>
      <c r="K400" s="36"/>
      <c r="L400" s="36"/>
      <c r="M400" s="36"/>
      <c r="N400" s="36"/>
      <c r="O400" s="36"/>
      <c r="P400" s="36"/>
    </row>
    <row r="401" spans="1:16" ht="15.75" customHeight="1">
      <c r="A401" s="37"/>
      <c r="B401" s="37"/>
      <c r="C401" s="37"/>
      <c r="D401" s="37"/>
      <c r="E401" s="37"/>
      <c r="F401" s="37"/>
      <c r="G401" s="37"/>
      <c r="H401" s="37"/>
      <c r="I401" s="37"/>
      <c r="J401" s="37"/>
      <c r="K401" s="37"/>
      <c r="L401" s="37"/>
      <c r="M401" s="37"/>
      <c r="N401" s="37"/>
      <c r="O401" s="37"/>
      <c r="P401" s="37"/>
    </row>
    <row r="402" spans="1:16" ht="15.75" customHeight="1">
      <c r="A402" s="36"/>
      <c r="B402" s="36"/>
      <c r="C402" s="36"/>
      <c r="D402" s="36"/>
      <c r="E402" s="36"/>
      <c r="F402" s="36"/>
      <c r="G402" s="36"/>
      <c r="H402" s="36"/>
      <c r="I402" s="36"/>
      <c r="J402" s="36"/>
      <c r="K402" s="36"/>
      <c r="L402" s="36"/>
      <c r="M402" s="36"/>
      <c r="N402" s="36"/>
      <c r="O402" s="36"/>
      <c r="P402" s="36"/>
    </row>
    <row r="403" spans="1:16" ht="15.75" customHeight="1">
      <c r="A403" s="37"/>
      <c r="B403" s="37"/>
      <c r="C403" s="37"/>
      <c r="D403" s="37"/>
      <c r="E403" s="37"/>
      <c r="F403" s="37"/>
      <c r="G403" s="37"/>
      <c r="H403" s="37"/>
      <c r="I403" s="37"/>
      <c r="J403" s="37"/>
      <c r="K403" s="37"/>
      <c r="L403" s="37"/>
      <c r="M403" s="37"/>
      <c r="N403" s="37"/>
      <c r="O403" s="37"/>
      <c r="P403" s="37"/>
    </row>
    <row r="404" spans="1:16" ht="15.75" customHeight="1">
      <c r="A404" s="36"/>
      <c r="B404" s="36"/>
      <c r="C404" s="36"/>
      <c r="D404" s="36"/>
      <c r="E404" s="36"/>
      <c r="F404" s="36"/>
      <c r="G404" s="36"/>
      <c r="H404" s="36"/>
      <c r="I404" s="36"/>
      <c r="J404" s="36"/>
      <c r="K404" s="36"/>
      <c r="L404" s="36"/>
      <c r="M404" s="36"/>
      <c r="N404" s="36"/>
      <c r="O404" s="36"/>
      <c r="P404" s="36"/>
    </row>
    <row r="405" spans="1:16" ht="15.75" customHeight="1">
      <c r="A405" s="37"/>
      <c r="B405" s="37"/>
      <c r="C405" s="37"/>
      <c r="D405" s="37"/>
      <c r="E405" s="37"/>
      <c r="F405" s="37"/>
      <c r="G405" s="37"/>
      <c r="H405" s="37"/>
      <c r="I405" s="37"/>
      <c r="J405" s="37"/>
      <c r="K405" s="37"/>
      <c r="L405" s="37"/>
      <c r="M405" s="37"/>
      <c r="N405" s="37"/>
      <c r="O405" s="37"/>
      <c r="P405" s="37"/>
    </row>
    <row r="406" spans="1:16" ht="15.75" customHeight="1">
      <c r="A406" s="36"/>
      <c r="B406" s="36"/>
      <c r="C406" s="36"/>
      <c r="D406" s="36"/>
      <c r="E406" s="36"/>
      <c r="F406" s="36"/>
      <c r="G406" s="36"/>
      <c r="H406" s="36"/>
      <c r="I406" s="36"/>
      <c r="J406" s="36"/>
      <c r="K406" s="36"/>
      <c r="L406" s="36"/>
      <c r="M406" s="36"/>
      <c r="N406" s="36"/>
      <c r="O406" s="36"/>
      <c r="P406" s="36"/>
    </row>
    <row r="407" spans="1:16" ht="15.75" customHeight="1">
      <c r="A407" s="37"/>
      <c r="B407" s="37"/>
      <c r="C407" s="37"/>
      <c r="D407" s="37"/>
      <c r="E407" s="37"/>
      <c r="F407" s="37"/>
      <c r="G407" s="37"/>
      <c r="H407" s="37"/>
      <c r="I407" s="37"/>
      <c r="J407" s="37"/>
      <c r="K407" s="37"/>
      <c r="L407" s="37"/>
      <c r="M407" s="37"/>
      <c r="N407" s="37"/>
      <c r="O407" s="37"/>
      <c r="P407" s="37"/>
    </row>
    <row r="408" spans="1:16" ht="15.75" customHeight="1">
      <c r="A408" s="36"/>
      <c r="B408" s="36"/>
      <c r="C408" s="36"/>
      <c r="D408" s="36"/>
      <c r="E408" s="36"/>
      <c r="F408" s="36"/>
      <c r="G408" s="36"/>
      <c r="H408" s="36"/>
      <c r="I408" s="36"/>
      <c r="J408" s="36"/>
      <c r="K408" s="36"/>
      <c r="L408" s="36"/>
      <c r="M408" s="36"/>
      <c r="N408" s="36"/>
      <c r="O408" s="36"/>
      <c r="P408" s="36"/>
    </row>
    <row r="409" spans="1:16" ht="15.75" customHeight="1">
      <c r="A409" s="37"/>
      <c r="B409" s="37"/>
      <c r="C409" s="37"/>
      <c r="D409" s="37"/>
      <c r="E409" s="37"/>
      <c r="F409" s="37"/>
      <c r="G409" s="37"/>
      <c r="H409" s="37"/>
      <c r="I409" s="37"/>
      <c r="J409" s="37"/>
      <c r="K409" s="37"/>
      <c r="L409" s="37"/>
      <c r="M409" s="37"/>
      <c r="N409" s="37"/>
      <c r="O409" s="37"/>
      <c r="P409" s="37"/>
    </row>
    <row r="410" spans="1:16" ht="15.75" customHeight="1">
      <c r="A410" s="36"/>
      <c r="B410" s="36"/>
      <c r="C410" s="36"/>
      <c r="D410" s="36"/>
      <c r="E410" s="36"/>
      <c r="F410" s="36"/>
      <c r="G410" s="36"/>
      <c r="H410" s="36"/>
      <c r="I410" s="36"/>
      <c r="J410" s="36"/>
      <c r="K410" s="36"/>
      <c r="L410" s="36"/>
      <c r="M410" s="36"/>
      <c r="N410" s="36"/>
      <c r="O410" s="36"/>
      <c r="P410" s="36"/>
    </row>
    <row r="411" spans="1:16" ht="15.75" customHeight="1">
      <c r="A411" s="37"/>
      <c r="B411" s="37"/>
      <c r="C411" s="37"/>
      <c r="D411" s="37"/>
      <c r="E411" s="37"/>
      <c r="F411" s="37"/>
      <c r="G411" s="37"/>
      <c r="H411" s="37"/>
      <c r="I411" s="37"/>
      <c r="J411" s="37"/>
      <c r="K411" s="37"/>
      <c r="L411" s="37"/>
      <c r="M411" s="37"/>
      <c r="N411" s="37"/>
      <c r="O411" s="37"/>
      <c r="P411" s="37"/>
    </row>
    <row r="412" spans="1:16" ht="15.75" customHeight="1">
      <c r="A412" s="36"/>
      <c r="B412" s="36"/>
      <c r="C412" s="36"/>
      <c r="D412" s="36"/>
      <c r="E412" s="36"/>
      <c r="F412" s="36"/>
      <c r="G412" s="36"/>
      <c r="H412" s="36"/>
      <c r="I412" s="36"/>
      <c r="J412" s="36"/>
      <c r="K412" s="36"/>
      <c r="L412" s="36"/>
      <c r="M412" s="36"/>
      <c r="N412" s="36"/>
      <c r="O412" s="36"/>
      <c r="P412" s="36"/>
    </row>
    <row r="413" spans="1:16" ht="15.75" customHeight="1">
      <c r="A413" s="37"/>
      <c r="B413" s="37"/>
      <c r="C413" s="37"/>
      <c r="D413" s="37"/>
      <c r="E413" s="37"/>
      <c r="F413" s="37"/>
      <c r="G413" s="37"/>
      <c r="H413" s="37"/>
      <c r="I413" s="37"/>
      <c r="J413" s="37"/>
      <c r="K413" s="37"/>
      <c r="L413" s="37"/>
      <c r="M413" s="37"/>
      <c r="N413" s="37"/>
      <c r="O413" s="37"/>
      <c r="P413" s="37"/>
    </row>
    <row r="414" spans="1:16" ht="15.75" customHeight="1">
      <c r="A414" s="36"/>
      <c r="B414" s="36"/>
      <c r="C414" s="36"/>
      <c r="D414" s="36"/>
      <c r="E414" s="36"/>
      <c r="F414" s="36"/>
      <c r="G414" s="36"/>
      <c r="H414" s="36"/>
      <c r="I414" s="36"/>
      <c r="J414" s="36"/>
      <c r="K414" s="36"/>
      <c r="L414" s="36"/>
      <c r="M414" s="36"/>
      <c r="N414" s="36"/>
      <c r="O414" s="36"/>
      <c r="P414" s="36"/>
    </row>
    <row r="415" spans="1:16" ht="15.75" customHeight="1">
      <c r="A415" s="37"/>
      <c r="B415" s="37"/>
      <c r="C415" s="37"/>
      <c r="D415" s="37"/>
      <c r="E415" s="37"/>
      <c r="F415" s="37"/>
      <c r="G415" s="37"/>
      <c r="H415" s="37"/>
      <c r="I415" s="37"/>
      <c r="J415" s="37"/>
      <c r="K415" s="37"/>
      <c r="L415" s="37"/>
      <c r="M415" s="37"/>
      <c r="N415" s="37"/>
      <c r="O415" s="37"/>
      <c r="P415" s="37"/>
    </row>
    <row r="416" spans="1:16" ht="15.75" customHeight="1">
      <c r="A416" s="36"/>
      <c r="B416" s="36"/>
      <c r="C416" s="36"/>
      <c r="D416" s="36"/>
      <c r="E416" s="36"/>
      <c r="F416" s="36"/>
      <c r="G416" s="36"/>
      <c r="H416" s="36"/>
      <c r="I416" s="36"/>
      <c r="J416" s="36"/>
      <c r="K416" s="36"/>
      <c r="L416" s="36"/>
      <c r="M416" s="36"/>
      <c r="N416" s="36"/>
      <c r="O416" s="36"/>
      <c r="P416" s="36"/>
    </row>
    <row r="417" spans="1:16" ht="15.75" customHeight="1">
      <c r="A417" s="37"/>
      <c r="B417" s="37"/>
      <c r="C417" s="37"/>
      <c r="D417" s="37"/>
      <c r="E417" s="37"/>
      <c r="F417" s="37"/>
      <c r="G417" s="37"/>
      <c r="H417" s="37"/>
      <c r="I417" s="37"/>
      <c r="J417" s="37"/>
      <c r="K417" s="37"/>
      <c r="L417" s="37"/>
      <c r="M417" s="37"/>
      <c r="N417" s="37"/>
      <c r="O417" s="37"/>
      <c r="P417" s="37"/>
    </row>
    <row r="418" spans="1:16" ht="15.75" customHeight="1">
      <c r="A418" s="36"/>
      <c r="B418" s="36"/>
      <c r="C418" s="36"/>
      <c r="D418" s="36"/>
      <c r="E418" s="36"/>
      <c r="F418" s="36"/>
      <c r="G418" s="36"/>
      <c r="H418" s="36"/>
      <c r="I418" s="36"/>
      <c r="J418" s="36"/>
      <c r="K418" s="36"/>
      <c r="L418" s="36"/>
      <c r="M418" s="36"/>
      <c r="N418" s="36"/>
      <c r="O418" s="36"/>
      <c r="P418" s="36"/>
    </row>
    <row r="419" spans="1:16" ht="15.75" customHeight="1">
      <c r="A419" s="37"/>
      <c r="B419" s="37"/>
      <c r="C419" s="37"/>
      <c r="D419" s="37"/>
      <c r="E419" s="37"/>
      <c r="F419" s="37"/>
      <c r="G419" s="37"/>
      <c r="H419" s="37"/>
      <c r="I419" s="37"/>
      <c r="J419" s="37"/>
      <c r="K419" s="37"/>
      <c r="L419" s="37"/>
      <c r="M419" s="37"/>
      <c r="N419" s="37"/>
      <c r="O419" s="37"/>
      <c r="P419" s="37"/>
    </row>
    <row r="420" spans="1:16" ht="15.75" customHeight="1">
      <c r="A420" s="36"/>
      <c r="B420" s="36"/>
      <c r="C420" s="36"/>
      <c r="D420" s="36"/>
      <c r="E420" s="36"/>
      <c r="F420" s="36"/>
      <c r="G420" s="36"/>
      <c r="H420" s="36"/>
      <c r="I420" s="36"/>
      <c r="J420" s="36"/>
      <c r="K420" s="36"/>
      <c r="L420" s="36"/>
      <c r="M420" s="36"/>
      <c r="N420" s="36"/>
      <c r="O420" s="36"/>
      <c r="P420" s="36"/>
    </row>
    <row r="421" spans="1:16" ht="15.75" customHeight="1">
      <c r="A421" s="37"/>
      <c r="B421" s="37"/>
      <c r="C421" s="37"/>
      <c r="D421" s="37"/>
      <c r="E421" s="37"/>
      <c r="F421" s="37"/>
      <c r="G421" s="37"/>
      <c r="H421" s="37"/>
      <c r="I421" s="37"/>
      <c r="J421" s="37"/>
      <c r="K421" s="37"/>
      <c r="L421" s="37"/>
      <c r="M421" s="37"/>
      <c r="N421" s="37"/>
      <c r="O421" s="37"/>
      <c r="P421" s="37"/>
    </row>
    <row r="422" spans="1:16" ht="15.75" customHeight="1">
      <c r="A422" s="36"/>
      <c r="B422" s="36"/>
      <c r="C422" s="36"/>
      <c r="D422" s="36"/>
      <c r="E422" s="36"/>
      <c r="F422" s="36"/>
      <c r="G422" s="36"/>
      <c r="H422" s="36"/>
      <c r="I422" s="36"/>
      <c r="J422" s="36"/>
      <c r="K422" s="36"/>
      <c r="L422" s="36"/>
      <c r="M422" s="36"/>
      <c r="N422" s="36"/>
      <c r="O422" s="36"/>
      <c r="P422" s="36"/>
    </row>
    <row r="423" spans="1:16" ht="15.75" customHeight="1">
      <c r="A423" s="37"/>
      <c r="B423" s="37"/>
      <c r="C423" s="37"/>
      <c r="D423" s="37"/>
      <c r="E423" s="37"/>
      <c r="F423" s="37"/>
      <c r="G423" s="37"/>
      <c r="H423" s="37"/>
      <c r="I423" s="37"/>
      <c r="J423" s="37"/>
      <c r="K423" s="37"/>
      <c r="L423" s="37"/>
      <c r="M423" s="37"/>
      <c r="N423" s="37"/>
      <c r="O423" s="37"/>
      <c r="P423" s="37"/>
    </row>
    <row r="424" spans="1:16" ht="15.75" customHeight="1">
      <c r="A424" s="36"/>
      <c r="B424" s="36"/>
      <c r="C424" s="36"/>
      <c r="D424" s="36"/>
      <c r="E424" s="36"/>
      <c r="F424" s="36"/>
      <c r="G424" s="36"/>
      <c r="H424" s="36"/>
      <c r="I424" s="36"/>
      <c r="J424" s="36"/>
      <c r="K424" s="36"/>
      <c r="L424" s="36"/>
      <c r="M424" s="36"/>
      <c r="N424" s="36"/>
      <c r="O424" s="36"/>
      <c r="P424" s="36"/>
    </row>
    <row r="425" spans="1:16" ht="15.75" customHeight="1">
      <c r="A425" s="37"/>
      <c r="B425" s="37"/>
      <c r="C425" s="37"/>
      <c r="D425" s="37"/>
      <c r="E425" s="37"/>
      <c r="F425" s="37"/>
      <c r="G425" s="37"/>
      <c r="H425" s="37"/>
      <c r="I425" s="37"/>
      <c r="J425" s="37"/>
      <c r="K425" s="37"/>
      <c r="L425" s="37"/>
      <c r="M425" s="37"/>
      <c r="N425" s="37"/>
      <c r="O425" s="37"/>
      <c r="P425" s="37"/>
    </row>
    <row r="426" spans="1:16" ht="15.75" customHeight="1">
      <c r="A426" s="36"/>
      <c r="B426" s="36"/>
      <c r="C426" s="36"/>
      <c r="D426" s="36"/>
      <c r="E426" s="36"/>
      <c r="F426" s="36"/>
      <c r="G426" s="36"/>
      <c r="H426" s="36"/>
      <c r="I426" s="36"/>
      <c r="J426" s="36"/>
      <c r="K426" s="36"/>
      <c r="L426" s="36"/>
      <c r="M426" s="36"/>
      <c r="N426" s="36"/>
      <c r="O426" s="36"/>
      <c r="P426" s="36"/>
    </row>
    <row r="427" spans="1:16" ht="15.75" customHeight="1">
      <c r="A427" s="37"/>
      <c r="B427" s="37"/>
      <c r="C427" s="37"/>
      <c r="D427" s="37"/>
      <c r="E427" s="37"/>
      <c r="F427" s="37"/>
      <c r="G427" s="37"/>
      <c r="H427" s="37"/>
      <c r="I427" s="37"/>
      <c r="J427" s="37"/>
      <c r="K427" s="37"/>
      <c r="L427" s="37"/>
      <c r="M427" s="37"/>
      <c r="N427" s="37"/>
      <c r="O427" s="37"/>
      <c r="P427" s="37"/>
    </row>
    <row r="428" spans="1:16" ht="15.75" customHeight="1">
      <c r="A428" s="36"/>
      <c r="B428" s="36"/>
      <c r="C428" s="36"/>
      <c r="D428" s="36"/>
      <c r="E428" s="36"/>
      <c r="F428" s="36"/>
      <c r="G428" s="36"/>
      <c r="H428" s="36"/>
      <c r="I428" s="36"/>
      <c r="J428" s="36"/>
      <c r="K428" s="36"/>
      <c r="L428" s="36"/>
      <c r="M428" s="36"/>
      <c r="N428" s="36"/>
      <c r="O428" s="36"/>
      <c r="P428" s="36"/>
    </row>
    <row r="429" spans="1:16" ht="15.75" customHeight="1">
      <c r="A429" s="37"/>
      <c r="B429" s="37"/>
      <c r="C429" s="37"/>
      <c r="D429" s="37"/>
      <c r="E429" s="37"/>
      <c r="F429" s="37"/>
      <c r="G429" s="37"/>
      <c r="H429" s="37"/>
      <c r="I429" s="37"/>
      <c r="J429" s="37"/>
      <c r="K429" s="37"/>
      <c r="L429" s="37"/>
      <c r="M429" s="37"/>
      <c r="N429" s="37"/>
      <c r="O429" s="37"/>
      <c r="P429" s="37"/>
    </row>
    <row r="430" spans="1:16" ht="15.75" customHeight="1">
      <c r="A430" s="36"/>
      <c r="B430" s="36"/>
      <c r="C430" s="36"/>
      <c r="D430" s="36"/>
      <c r="E430" s="36"/>
      <c r="F430" s="36"/>
      <c r="G430" s="36"/>
      <c r="H430" s="36"/>
      <c r="I430" s="36"/>
      <c r="J430" s="36"/>
      <c r="K430" s="36"/>
      <c r="L430" s="36"/>
      <c r="M430" s="36"/>
      <c r="N430" s="36"/>
      <c r="O430" s="36"/>
      <c r="P430" s="36"/>
    </row>
    <row r="431" spans="1:16" ht="15.75" customHeight="1">
      <c r="A431" s="37"/>
      <c r="B431" s="37"/>
      <c r="C431" s="37"/>
      <c r="D431" s="37"/>
      <c r="E431" s="37"/>
      <c r="F431" s="37"/>
      <c r="G431" s="37"/>
      <c r="H431" s="37"/>
      <c r="I431" s="37"/>
      <c r="J431" s="37"/>
      <c r="K431" s="37"/>
      <c r="L431" s="37"/>
      <c r="M431" s="37"/>
      <c r="N431" s="37"/>
      <c r="O431" s="37"/>
      <c r="P431" s="37"/>
    </row>
    <row r="432" spans="1:16" ht="15.75" customHeight="1">
      <c r="A432" s="36"/>
      <c r="B432" s="36"/>
      <c r="C432" s="36"/>
      <c r="D432" s="36"/>
      <c r="E432" s="36"/>
      <c r="F432" s="36"/>
      <c r="G432" s="36"/>
      <c r="H432" s="36"/>
      <c r="I432" s="36"/>
      <c r="J432" s="36"/>
      <c r="K432" s="36"/>
      <c r="L432" s="36"/>
      <c r="M432" s="36"/>
      <c r="N432" s="36"/>
      <c r="O432" s="36"/>
      <c r="P432" s="36"/>
    </row>
    <row r="433" spans="1:16" ht="15.75" customHeight="1">
      <c r="A433" s="37"/>
      <c r="B433" s="37"/>
      <c r="C433" s="37"/>
      <c r="D433" s="37"/>
      <c r="E433" s="37"/>
      <c r="F433" s="37"/>
      <c r="G433" s="37"/>
      <c r="H433" s="37"/>
      <c r="I433" s="37"/>
      <c r="J433" s="37"/>
      <c r="K433" s="37"/>
      <c r="L433" s="37"/>
      <c r="M433" s="37"/>
      <c r="N433" s="37"/>
      <c r="O433" s="37"/>
      <c r="P433" s="37"/>
    </row>
    <row r="434" spans="1:16" ht="15.75" customHeight="1">
      <c r="A434" s="36"/>
      <c r="B434" s="36"/>
      <c r="C434" s="36"/>
      <c r="D434" s="36"/>
      <c r="E434" s="36"/>
      <c r="F434" s="36"/>
      <c r="G434" s="36"/>
      <c r="H434" s="36"/>
      <c r="I434" s="36"/>
      <c r="J434" s="36"/>
      <c r="K434" s="36"/>
      <c r="L434" s="36"/>
      <c r="M434" s="36"/>
      <c r="N434" s="36"/>
      <c r="O434" s="36"/>
      <c r="P434" s="36"/>
    </row>
    <row r="435" spans="1:16" ht="15.75" customHeight="1">
      <c r="A435" s="37"/>
      <c r="B435" s="37"/>
      <c r="C435" s="37"/>
      <c r="D435" s="37"/>
      <c r="E435" s="37"/>
      <c r="F435" s="37"/>
      <c r="G435" s="37"/>
      <c r="H435" s="37"/>
      <c r="I435" s="37"/>
      <c r="J435" s="37"/>
      <c r="K435" s="37"/>
      <c r="L435" s="37"/>
      <c r="M435" s="37"/>
      <c r="N435" s="37"/>
      <c r="O435" s="37"/>
      <c r="P435" s="37"/>
    </row>
    <row r="436" spans="1:16" ht="15.75" customHeight="1">
      <c r="A436" s="36"/>
      <c r="B436" s="36"/>
      <c r="C436" s="36"/>
      <c r="D436" s="36"/>
      <c r="E436" s="36"/>
      <c r="F436" s="36"/>
      <c r="G436" s="36"/>
      <c r="H436" s="36"/>
      <c r="I436" s="36"/>
      <c r="J436" s="36"/>
      <c r="K436" s="36"/>
      <c r="L436" s="36"/>
      <c r="M436" s="36"/>
      <c r="N436" s="36"/>
      <c r="O436" s="36"/>
      <c r="P436" s="36"/>
    </row>
    <row r="437" spans="1:16" ht="15.75" customHeight="1">
      <c r="A437" s="37"/>
      <c r="B437" s="37"/>
      <c r="C437" s="37"/>
      <c r="D437" s="37"/>
      <c r="E437" s="37"/>
      <c r="F437" s="37"/>
      <c r="G437" s="37"/>
      <c r="H437" s="37"/>
      <c r="I437" s="37"/>
      <c r="J437" s="37"/>
      <c r="K437" s="37"/>
      <c r="L437" s="37"/>
      <c r="M437" s="37"/>
      <c r="N437" s="37"/>
      <c r="O437" s="37"/>
      <c r="P437" s="37"/>
    </row>
    <row r="438" spans="1:16" ht="15.75" customHeight="1">
      <c r="A438" s="36"/>
      <c r="B438" s="36"/>
      <c r="C438" s="36"/>
      <c r="D438" s="36"/>
      <c r="E438" s="36"/>
      <c r="F438" s="36"/>
      <c r="G438" s="36"/>
      <c r="H438" s="36"/>
      <c r="I438" s="36"/>
      <c r="J438" s="36"/>
      <c r="K438" s="36"/>
      <c r="L438" s="36"/>
      <c r="M438" s="36"/>
      <c r="N438" s="36"/>
      <c r="O438" s="36"/>
      <c r="P438" s="36"/>
    </row>
    <row r="439" spans="1:16" ht="15.75" customHeight="1">
      <c r="A439" s="37"/>
      <c r="B439" s="37"/>
      <c r="C439" s="37"/>
      <c r="D439" s="37"/>
      <c r="E439" s="37"/>
      <c r="F439" s="37"/>
      <c r="G439" s="37"/>
      <c r="H439" s="37"/>
      <c r="I439" s="37"/>
      <c r="J439" s="37"/>
      <c r="K439" s="37"/>
      <c r="L439" s="37"/>
      <c r="M439" s="37"/>
      <c r="N439" s="37"/>
      <c r="O439" s="37"/>
      <c r="P439" s="37"/>
    </row>
    <row r="440" spans="1:16" ht="15.75" customHeight="1">
      <c r="A440" s="36"/>
      <c r="B440" s="36"/>
      <c r="C440" s="36"/>
      <c r="D440" s="36"/>
      <c r="E440" s="36"/>
      <c r="F440" s="36"/>
      <c r="G440" s="36"/>
      <c r="H440" s="36"/>
      <c r="I440" s="36"/>
      <c r="J440" s="36"/>
      <c r="K440" s="36"/>
      <c r="L440" s="36"/>
      <c r="M440" s="36"/>
      <c r="N440" s="36"/>
      <c r="O440" s="36"/>
      <c r="P440" s="36"/>
    </row>
    <row r="441" spans="1:16" ht="15.75" customHeight="1">
      <c r="A441" s="37"/>
      <c r="B441" s="37"/>
      <c r="C441" s="37"/>
      <c r="D441" s="37"/>
      <c r="E441" s="37"/>
      <c r="F441" s="37"/>
      <c r="G441" s="37"/>
      <c r="H441" s="37"/>
      <c r="I441" s="37"/>
      <c r="J441" s="37"/>
      <c r="K441" s="37"/>
      <c r="L441" s="37"/>
      <c r="M441" s="37"/>
      <c r="N441" s="37"/>
      <c r="O441" s="37"/>
      <c r="P441" s="37"/>
    </row>
    <row r="442" spans="1:16" ht="15.75" customHeight="1">
      <c r="A442" s="36"/>
      <c r="B442" s="36"/>
      <c r="C442" s="36"/>
      <c r="D442" s="36"/>
      <c r="E442" s="36"/>
      <c r="F442" s="36"/>
      <c r="G442" s="36"/>
      <c r="H442" s="36"/>
      <c r="I442" s="36"/>
      <c r="J442" s="36"/>
      <c r="K442" s="36"/>
      <c r="L442" s="36"/>
      <c r="M442" s="36"/>
      <c r="N442" s="36"/>
      <c r="O442" s="36"/>
      <c r="P442" s="36"/>
    </row>
    <row r="443" spans="1:16" ht="15.75" customHeight="1">
      <c r="A443" s="37"/>
      <c r="B443" s="37"/>
      <c r="C443" s="37"/>
      <c r="D443" s="37"/>
      <c r="E443" s="37"/>
      <c r="F443" s="37"/>
      <c r="G443" s="37"/>
      <c r="H443" s="37"/>
      <c r="I443" s="37"/>
      <c r="J443" s="37"/>
      <c r="K443" s="37"/>
      <c r="L443" s="37"/>
      <c r="M443" s="37"/>
      <c r="N443" s="37"/>
      <c r="O443" s="37"/>
      <c r="P443" s="37"/>
    </row>
    <row r="444" spans="1:16" ht="15.75" customHeight="1">
      <c r="A444" s="36"/>
      <c r="B444" s="36"/>
      <c r="C444" s="36"/>
      <c r="D444" s="36"/>
      <c r="E444" s="36"/>
      <c r="F444" s="36"/>
      <c r="G444" s="36"/>
      <c r="H444" s="36"/>
      <c r="I444" s="36"/>
      <c r="J444" s="36"/>
      <c r="K444" s="36"/>
      <c r="L444" s="36"/>
      <c r="M444" s="36"/>
      <c r="N444" s="36"/>
      <c r="O444" s="36"/>
      <c r="P444" s="36"/>
    </row>
    <row r="445" spans="1:16" ht="15.75" customHeight="1">
      <c r="A445" s="37"/>
      <c r="B445" s="37"/>
      <c r="C445" s="37"/>
      <c r="D445" s="37"/>
      <c r="E445" s="37"/>
      <c r="F445" s="37"/>
      <c r="G445" s="37"/>
      <c r="H445" s="37"/>
      <c r="I445" s="37"/>
      <c r="J445" s="37"/>
      <c r="K445" s="37"/>
      <c r="L445" s="37"/>
      <c r="M445" s="37"/>
      <c r="N445" s="37"/>
      <c r="O445" s="37"/>
      <c r="P445" s="37"/>
    </row>
    <row r="446" spans="1:16" ht="15.75" customHeight="1">
      <c r="A446" s="36"/>
      <c r="B446" s="36"/>
      <c r="C446" s="36"/>
      <c r="D446" s="36"/>
      <c r="E446" s="36"/>
      <c r="F446" s="36"/>
      <c r="G446" s="36"/>
      <c r="H446" s="36"/>
      <c r="I446" s="36"/>
      <c r="J446" s="36"/>
      <c r="K446" s="36"/>
      <c r="L446" s="36"/>
      <c r="M446" s="36"/>
      <c r="N446" s="36"/>
      <c r="O446" s="36"/>
      <c r="P446" s="36"/>
    </row>
    <row r="447" spans="1:16" ht="15.75" customHeight="1">
      <c r="A447" s="37"/>
      <c r="B447" s="37"/>
      <c r="C447" s="37"/>
      <c r="D447" s="37"/>
      <c r="E447" s="37"/>
      <c r="F447" s="37"/>
      <c r="G447" s="37"/>
      <c r="H447" s="37"/>
      <c r="I447" s="37"/>
      <c r="J447" s="37"/>
      <c r="K447" s="37"/>
      <c r="L447" s="37"/>
      <c r="M447" s="37"/>
      <c r="N447" s="37"/>
      <c r="O447" s="37"/>
      <c r="P447" s="37"/>
    </row>
    <row r="448" spans="1:16" ht="15.75" customHeight="1">
      <c r="A448" s="36"/>
      <c r="B448" s="36"/>
      <c r="C448" s="36"/>
      <c r="D448" s="36"/>
      <c r="E448" s="36"/>
      <c r="F448" s="36"/>
      <c r="G448" s="36"/>
      <c r="H448" s="36"/>
      <c r="I448" s="36"/>
      <c r="J448" s="36"/>
      <c r="K448" s="36"/>
      <c r="L448" s="36"/>
      <c r="M448" s="36"/>
      <c r="N448" s="36"/>
      <c r="O448" s="36"/>
      <c r="P448" s="36"/>
    </row>
    <row r="449" spans="1:16" ht="15.75" customHeight="1">
      <c r="A449" s="37"/>
      <c r="B449" s="37"/>
      <c r="C449" s="37"/>
      <c r="D449" s="37"/>
      <c r="E449" s="37"/>
      <c r="F449" s="37"/>
      <c r="G449" s="37"/>
      <c r="H449" s="37"/>
      <c r="I449" s="37"/>
      <c r="J449" s="37"/>
      <c r="K449" s="37"/>
      <c r="L449" s="37"/>
      <c r="M449" s="37"/>
      <c r="N449" s="37"/>
      <c r="O449" s="37"/>
      <c r="P449" s="37"/>
    </row>
    <row r="450" spans="1:16" ht="15.75" customHeight="1">
      <c r="A450" s="36"/>
      <c r="B450" s="36"/>
      <c r="C450" s="36"/>
      <c r="D450" s="36"/>
      <c r="E450" s="36"/>
      <c r="F450" s="36"/>
      <c r="G450" s="36"/>
      <c r="H450" s="36"/>
      <c r="I450" s="36"/>
      <c r="J450" s="36"/>
      <c r="K450" s="36"/>
      <c r="L450" s="36"/>
      <c r="M450" s="36"/>
      <c r="N450" s="36"/>
      <c r="O450" s="36"/>
      <c r="P450" s="36"/>
    </row>
    <row r="451" spans="1:16" ht="15.75" customHeight="1">
      <c r="A451" s="37"/>
      <c r="B451" s="37"/>
      <c r="C451" s="37"/>
      <c r="D451" s="37"/>
      <c r="E451" s="37"/>
      <c r="F451" s="37"/>
      <c r="G451" s="37"/>
      <c r="H451" s="37"/>
      <c r="I451" s="37"/>
      <c r="J451" s="37"/>
      <c r="K451" s="37"/>
      <c r="L451" s="37"/>
      <c r="M451" s="37"/>
      <c r="N451" s="37"/>
      <c r="O451" s="37"/>
      <c r="P451" s="37"/>
    </row>
    <row r="452" spans="1:16" ht="15.75" customHeight="1">
      <c r="A452" s="36"/>
      <c r="B452" s="36"/>
      <c r="C452" s="36"/>
      <c r="D452" s="36"/>
      <c r="E452" s="36"/>
      <c r="F452" s="36"/>
      <c r="G452" s="36"/>
      <c r="H452" s="36"/>
      <c r="I452" s="36"/>
      <c r="J452" s="36"/>
      <c r="K452" s="36"/>
      <c r="L452" s="36"/>
      <c r="M452" s="36"/>
      <c r="N452" s="36"/>
      <c r="O452" s="36"/>
      <c r="P452" s="36"/>
    </row>
    <row r="453" spans="1:16" ht="15.75" customHeight="1">
      <c r="A453" s="37"/>
      <c r="B453" s="37"/>
      <c r="C453" s="37"/>
      <c r="D453" s="37"/>
      <c r="E453" s="37"/>
      <c r="F453" s="37"/>
      <c r="G453" s="37"/>
      <c r="H453" s="37"/>
      <c r="I453" s="37"/>
      <c r="J453" s="37"/>
      <c r="K453" s="37"/>
      <c r="L453" s="37"/>
      <c r="M453" s="37"/>
      <c r="N453" s="37"/>
      <c r="O453" s="37"/>
      <c r="P453" s="37"/>
    </row>
    <row r="454" spans="1:16" ht="15.75" customHeight="1">
      <c r="A454" s="36"/>
      <c r="B454" s="36"/>
      <c r="C454" s="36"/>
      <c r="D454" s="36"/>
      <c r="E454" s="36"/>
      <c r="F454" s="36"/>
      <c r="G454" s="36"/>
      <c r="H454" s="36"/>
      <c r="I454" s="36"/>
      <c r="J454" s="36"/>
      <c r="K454" s="36"/>
      <c r="L454" s="36"/>
      <c r="M454" s="36"/>
      <c r="N454" s="36"/>
      <c r="O454" s="36"/>
      <c r="P454" s="36"/>
    </row>
    <row r="455" spans="1:16" ht="15.75" customHeight="1">
      <c r="A455" s="37"/>
      <c r="B455" s="37"/>
      <c r="C455" s="37"/>
      <c r="D455" s="37"/>
      <c r="E455" s="37"/>
      <c r="F455" s="37"/>
      <c r="G455" s="37"/>
      <c r="H455" s="37"/>
      <c r="I455" s="37"/>
      <c r="J455" s="37"/>
      <c r="K455" s="37"/>
      <c r="L455" s="37"/>
      <c r="M455" s="37"/>
      <c r="N455" s="37"/>
      <c r="O455" s="37"/>
      <c r="P455" s="37"/>
    </row>
    <row r="456" spans="1:16" ht="15.75" customHeight="1">
      <c r="A456" s="36"/>
      <c r="B456" s="36"/>
      <c r="C456" s="36"/>
      <c r="D456" s="36"/>
      <c r="E456" s="36"/>
      <c r="F456" s="36"/>
      <c r="G456" s="36"/>
      <c r="H456" s="36"/>
      <c r="I456" s="36"/>
      <c r="J456" s="36"/>
      <c r="K456" s="36"/>
      <c r="L456" s="36"/>
      <c r="M456" s="36"/>
      <c r="N456" s="36"/>
      <c r="O456" s="36"/>
      <c r="P456" s="36"/>
    </row>
    <row r="457" spans="1:16" ht="15.75" customHeight="1">
      <c r="A457" s="37"/>
      <c r="B457" s="37"/>
      <c r="C457" s="37"/>
      <c r="D457" s="37"/>
      <c r="E457" s="37"/>
      <c r="F457" s="37"/>
      <c r="G457" s="37"/>
      <c r="H457" s="37"/>
      <c r="I457" s="37"/>
      <c r="J457" s="37"/>
      <c r="K457" s="37"/>
      <c r="L457" s="37"/>
      <c r="M457" s="37"/>
      <c r="N457" s="37"/>
      <c r="O457" s="37"/>
      <c r="P457" s="37"/>
    </row>
    <row r="458" spans="1:16" ht="15.75" customHeight="1">
      <c r="A458" s="36"/>
      <c r="B458" s="36"/>
      <c r="C458" s="36"/>
      <c r="D458" s="36"/>
      <c r="E458" s="36"/>
      <c r="F458" s="36"/>
      <c r="G458" s="36"/>
      <c r="H458" s="36"/>
      <c r="I458" s="36"/>
      <c r="J458" s="36"/>
      <c r="K458" s="36"/>
      <c r="L458" s="36"/>
      <c r="M458" s="36"/>
      <c r="N458" s="36"/>
      <c r="O458" s="36"/>
      <c r="P458" s="36"/>
    </row>
    <row r="459" spans="1:16" ht="15.75" customHeight="1">
      <c r="A459" s="37"/>
      <c r="B459" s="37"/>
      <c r="C459" s="37"/>
      <c r="D459" s="37"/>
      <c r="E459" s="37"/>
      <c r="F459" s="37"/>
      <c r="G459" s="37"/>
      <c r="H459" s="37"/>
      <c r="I459" s="37"/>
      <c r="J459" s="37"/>
      <c r="K459" s="37"/>
      <c r="L459" s="37"/>
      <c r="M459" s="37"/>
      <c r="N459" s="37"/>
      <c r="O459" s="37"/>
      <c r="P459" s="37"/>
    </row>
    <row r="460" spans="1:16" ht="15.75" customHeight="1">
      <c r="A460" s="36"/>
      <c r="B460" s="36"/>
      <c r="C460" s="36"/>
      <c r="D460" s="36"/>
      <c r="E460" s="36"/>
      <c r="F460" s="36"/>
      <c r="G460" s="36"/>
      <c r="H460" s="36"/>
      <c r="I460" s="36"/>
      <c r="J460" s="36"/>
      <c r="K460" s="36"/>
      <c r="L460" s="36"/>
      <c r="M460" s="36"/>
      <c r="N460" s="36"/>
      <c r="O460" s="36"/>
      <c r="P460" s="36"/>
    </row>
    <row r="461" spans="1:16" ht="15.75" customHeight="1">
      <c r="A461" s="37"/>
      <c r="B461" s="37"/>
      <c r="C461" s="37"/>
      <c r="D461" s="37"/>
      <c r="E461" s="37"/>
      <c r="F461" s="37"/>
      <c r="G461" s="37"/>
      <c r="H461" s="37"/>
      <c r="I461" s="37"/>
      <c r="J461" s="37"/>
      <c r="K461" s="37"/>
      <c r="L461" s="37"/>
      <c r="M461" s="37"/>
      <c r="N461" s="37"/>
      <c r="O461" s="37"/>
      <c r="P461" s="37"/>
    </row>
    <row r="462" spans="1:16" ht="15.75" customHeight="1">
      <c r="A462" s="36"/>
      <c r="B462" s="36"/>
      <c r="C462" s="36"/>
      <c r="D462" s="36"/>
      <c r="E462" s="36"/>
      <c r="F462" s="36"/>
      <c r="G462" s="36"/>
      <c r="H462" s="36"/>
      <c r="I462" s="36"/>
      <c r="J462" s="36"/>
      <c r="K462" s="36"/>
      <c r="L462" s="36"/>
      <c r="M462" s="36"/>
      <c r="N462" s="36"/>
      <c r="O462" s="36"/>
      <c r="P462" s="36"/>
    </row>
    <row r="463" spans="1:16" ht="15.75" customHeight="1">
      <c r="A463" s="37"/>
      <c r="B463" s="37"/>
      <c r="C463" s="37"/>
      <c r="D463" s="37"/>
      <c r="E463" s="37"/>
      <c r="F463" s="37"/>
      <c r="G463" s="37"/>
      <c r="H463" s="37"/>
      <c r="I463" s="37"/>
      <c r="J463" s="37"/>
      <c r="K463" s="37"/>
      <c r="L463" s="37"/>
      <c r="M463" s="37"/>
      <c r="N463" s="37"/>
      <c r="O463" s="37"/>
      <c r="P463" s="37"/>
    </row>
    <row r="464" spans="1:16" ht="15.75" customHeight="1">
      <c r="A464" s="36"/>
      <c r="B464" s="36"/>
      <c r="C464" s="36"/>
      <c r="D464" s="36"/>
      <c r="E464" s="36"/>
      <c r="F464" s="36"/>
      <c r="G464" s="36"/>
      <c r="H464" s="36"/>
      <c r="I464" s="36"/>
      <c r="J464" s="36"/>
      <c r="K464" s="36"/>
      <c r="L464" s="36"/>
      <c r="M464" s="36"/>
      <c r="N464" s="36"/>
      <c r="O464" s="36"/>
      <c r="P464" s="36"/>
    </row>
    <row r="465" spans="1:16" ht="15.75" customHeight="1">
      <c r="A465" s="37"/>
      <c r="B465" s="37"/>
      <c r="C465" s="37"/>
      <c r="D465" s="37"/>
      <c r="E465" s="37"/>
      <c r="F465" s="37"/>
      <c r="G465" s="37"/>
      <c r="H465" s="37"/>
      <c r="I465" s="37"/>
      <c r="J465" s="37"/>
      <c r="K465" s="37"/>
      <c r="L465" s="37"/>
      <c r="M465" s="37"/>
      <c r="N465" s="37"/>
      <c r="O465" s="37"/>
      <c r="P465" s="37"/>
    </row>
    <row r="466" spans="1:16" ht="15.75" customHeight="1">
      <c r="A466" s="36"/>
      <c r="B466" s="36"/>
      <c r="C466" s="36"/>
      <c r="D466" s="36"/>
      <c r="E466" s="36"/>
      <c r="F466" s="36"/>
      <c r="G466" s="36"/>
      <c r="H466" s="36"/>
      <c r="I466" s="36"/>
      <c r="J466" s="36"/>
      <c r="K466" s="36"/>
      <c r="L466" s="36"/>
      <c r="M466" s="36"/>
      <c r="N466" s="36"/>
      <c r="O466" s="36"/>
      <c r="P466" s="36"/>
    </row>
    <row r="467" spans="1:16" ht="15.75" customHeight="1">
      <c r="A467" s="37"/>
      <c r="B467" s="37"/>
      <c r="C467" s="37"/>
      <c r="D467" s="37"/>
      <c r="E467" s="37"/>
      <c r="F467" s="37"/>
      <c r="G467" s="37"/>
      <c r="H467" s="37"/>
      <c r="I467" s="37"/>
      <c r="J467" s="37"/>
      <c r="K467" s="37"/>
      <c r="L467" s="37"/>
      <c r="M467" s="37"/>
      <c r="N467" s="37"/>
      <c r="O467" s="37"/>
      <c r="P467" s="37"/>
    </row>
    <row r="468" spans="1:16" ht="15.75" customHeight="1">
      <c r="A468" s="36"/>
      <c r="B468" s="36"/>
      <c r="C468" s="36"/>
      <c r="D468" s="36"/>
      <c r="E468" s="36"/>
      <c r="F468" s="36"/>
      <c r="G468" s="36"/>
      <c r="H468" s="36"/>
      <c r="I468" s="36"/>
      <c r="J468" s="36"/>
      <c r="K468" s="36"/>
      <c r="L468" s="36"/>
      <c r="M468" s="36"/>
      <c r="N468" s="36"/>
      <c r="O468" s="36"/>
      <c r="P468" s="36"/>
    </row>
    <row r="469" spans="1:16" ht="15.75" customHeight="1">
      <c r="A469" s="37"/>
      <c r="B469" s="37"/>
      <c r="C469" s="37"/>
      <c r="D469" s="37"/>
      <c r="E469" s="37"/>
      <c r="F469" s="37"/>
      <c r="G469" s="37"/>
      <c r="H469" s="37"/>
      <c r="I469" s="37"/>
      <c r="J469" s="37"/>
      <c r="K469" s="37"/>
      <c r="L469" s="37"/>
      <c r="M469" s="37"/>
      <c r="N469" s="37"/>
      <c r="O469" s="37"/>
      <c r="P469" s="37"/>
    </row>
    <row r="470" spans="1:16" ht="15.75" customHeight="1">
      <c r="A470" s="36"/>
      <c r="B470" s="36"/>
      <c r="C470" s="36"/>
      <c r="D470" s="36"/>
      <c r="E470" s="36"/>
      <c r="F470" s="36"/>
      <c r="G470" s="36"/>
      <c r="H470" s="36"/>
      <c r="I470" s="36"/>
      <c r="J470" s="36"/>
      <c r="K470" s="36"/>
      <c r="L470" s="36"/>
      <c r="M470" s="36"/>
      <c r="N470" s="36"/>
      <c r="O470" s="36"/>
      <c r="P470" s="36"/>
    </row>
    <row r="471" spans="1:16" ht="15.75" customHeight="1">
      <c r="A471" s="37"/>
      <c r="B471" s="37"/>
      <c r="C471" s="37"/>
      <c r="D471" s="37"/>
      <c r="E471" s="37"/>
      <c r="F471" s="37"/>
      <c r="G471" s="37"/>
      <c r="H471" s="37"/>
      <c r="I471" s="37"/>
      <c r="J471" s="37"/>
      <c r="K471" s="37"/>
      <c r="L471" s="37"/>
      <c r="M471" s="37"/>
      <c r="N471" s="37"/>
      <c r="O471" s="37"/>
      <c r="P471" s="37"/>
    </row>
    <row r="472" spans="1:16" ht="15.75" customHeight="1">
      <c r="A472" s="36"/>
      <c r="B472" s="36"/>
      <c r="C472" s="36"/>
      <c r="D472" s="36"/>
      <c r="E472" s="36"/>
      <c r="F472" s="36"/>
      <c r="G472" s="36"/>
      <c r="H472" s="36"/>
      <c r="I472" s="36"/>
      <c r="J472" s="36"/>
      <c r="K472" s="36"/>
      <c r="L472" s="36"/>
      <c r="M472" s="36"/>
      <c r="N472" s="36"/>
      <c r="O472" s="36"/>
      <c r="P472" s="36"/>
    </row>
    <row r="473" spans="1:16" ht="15.75" customHeight="1">
      <c r="A473" s="37"/>
      <c r="B473" s="37"/>
      <c r="C473" s="37"/>
      <c r="D473" s="37"/>
      <c r="E473" s="37"/>
      <c r="F473" s="37"/>
      <c r="G473" s="37"/>
      <c r="H473" s="37"/>
      <c r="I473" s="37"/>
      <c r="J473" s="37"/>
      <c r="K473" s="37"/>
      <c r="L473" s="37"/>
      <c r="M473" s="37"/>
      <c r="N473" s="37"/>
      <c r="O473" s="37"/>
      <c r="P473" s="37"/>
    </row>
    <row r="474" spans="1:16" ht="15.75" customHeight="1">
      <c r="A474" s="36"/>
      <c r="B474" s="36"/>
      <c r="C474" s="36"/>
      <c r="D474" s="36"/>
      <c r="E474" s="36"/>
      <c r="F474" s="36"/>
      <c r="G474" s="36"/>
      <c r="H474" s="36"/>
      <c r="I474" s="36"/>
      <c r="J474" s="36"/>
      <c r="K474" s="36"/>
      <c r="L474" s="36"/>
      <c r="M474" s="36"/>
      <c r="N474" s="36"/>
      <c r="O474" s="36"/>
      <c r="P474" s="36"/>
    </row>
    <row r="475" spans="1:16" ht="15.75" customHeight="1">
      <c r="A475" s="37"/>
      <c r="B475" s="37"/>
      <c r="C475" s="37"/>
      <c r="D475" s="37"/>
      <c r="E475" s="37"/>
      <c r="F475" s="37"/>
      <c r="G475" s="37"/>
      <c r="H475" s="37"/>
      <c r="I475" s="37"/>
      <c r="J475" s="37"/>
      <c r="K475" s="37"/>
      <c r="L475" s="37"/>
      <c r="M475" s="37"/>
      <c r="N475" s="37"/>
      <c r="O475" s="37"/>
      <c r="P475" s="37"/>
    </row>
    <row r="476" spans="1:16" ht="15.75" customHeight="1">
      <c r="A476" s="36"/>
      <c r="B476" s="36"/>
      <c r="C476" s="36"/>
      <c r="D476" s="36"/>
      <c r="E476" s="36"/>
      <c r="F476" s="36"/>
      <c r="G476" s="36"/>
      <c r="H476" s="36"/>
      <c r="I476" s="36"/>
      <c r="J476" s="36"/>
      <c r="K476" s="36"/>
      <c r="L476" s="36"/>
      <c r="M476" s="36"/>
      <c r="N476" s="36"/>
      <c r="O476" s="36"/>
      <c r="P476" s="36"/>
    </row>
    <row r="477" spans="1:16" ht="15.75" customHeight="1">
      <c r="A477" s="37"/>
      <c r="B477" s="37"/>
      <c r="C477" s="37"/>
      <c r="D477" s="37"/>
      <c r="E477" s="37"/>
      <c r="F477" s="37"/>
      <c r="G477" s="37"/>
      <c r="H477" s="37"/>
      <c r="I477" s="37"/>
      <c r="J477" s="37"/>
      <c r="K477" s="37"/>
      <c r="L477" s="37"/>
      <c r="M477" s="37"/>
      <c r="N477" s="37"/>
      <c r="O477" s="37"/>
      <c r="P477" s="37"/>
    </row>
    <row r="478" spans="1:16" ht="15.75" customHeight="1">
      <c r="A478" s="36"/>
      <c r="B478" s="36"/>
      <c r="C478" s="36"/>
      <c r="D478" s="36"/>
      <c r="E478" s="36"/>
      <c r="F478" s="36"/>
      <c r="G478" s="36"/>
      <c r="H478" s="36"/>
      <c r="I478" s="36"/>
      <c r="J478" s="36"/>
      <c r="K478" s="36"/>
      <c r="L478" s="36"/>
      <c r="M478" s="36"/>
      <c r="N478" s="36"/>
      <c r="O478" s="36"/>
      <c r="P478" s="36"/>
    </row>
    <row r="479" spans="1:16" ht="15.75" customHeight="1">
      <c r="A479" s="37"/>
      <c r="B479" s="37"/>
      <c r="C479" s="37"/>
      <c r="D479" s="37"/>
      <c r="E479" s="37"/>
      <c r="F479" s="37"/>
      <c r="G479" s="37"/>
      <c r="H479" s="37"/>
      <c r="I479" s="37"/>
      <c r="J479" s="37"/>
      <c r="K479" s="37"/>
      <c r="L479" s="37"/>
      <c r="M479" s="37"/>
      <c r="N479" s="37"/>
      <c r="O479" s="37"/>
      <c r="P479" s="37"/>
    </row>
    <row r="480" spans="1:16" ht="15.75" customHeight="1">
      <c r="A480" s="36"/>
      <c r="B480" s="36"/>
      <c r="C480" s="36"/>
      <c r="D480" s="36"/>
      <c r="E480" s="36"/>
      <c r="F480" s="36"/>
      <c r="G480" s="36"/>
      <c r="H480" s="36"/>
      <c r="I480" s="36"/>
      <c r="J480" s="36"/>
      <c r="K480" s="36"/>
      <c r="L480" s="36"/>
      <c r="M480" s="36"/>
      <c r="N480" s="36"/>
      <c r="O480" s="36"/>
      <c r="P480" s="36"/>
    </row>
    <row r="481" spans="1:16" ht="15.75" customHeight="1">
      <c r="A481" s="37"/>
      <c r="B481" s="37"/>
      <c r="C481" s="37"/>
      <c r="D481" s="37"/>
      <c r="E481" s="37"/>
      <c r="F481" s="37"/>
      <c r="G481" s="37"/>
      <c r="H481" s="37"/>
      <c r="I481" s="37"/>
      <c r="J481" s="37"/>
      <c r="K481" s="37"/>
      <c r="L481" s="37"/>
      <c r="M481" s="37"/>
      <c r="N481" s="37"/>
      <c r="O481" s="37"/>
      <c r="P481" s="37"/>
    </row>
    <row r="482" spans="1:16" ht="15.75" customHeight="1">
      <c r="A482" s="36"/>
      <c r="B482" s="36"/>
      <c r="C482" s="36"/>
      <c r="D482" s="36"/>
      <c r="E482" s="36"/>
      <c r="F482" s="36"/>
      <c r="G482" s="36"/>
      <c r="H482" s="36"/>
      <c r="I482" s="36"/>
      <c r="J482" s="36"/>
      <c r="K482" s="36"/>
      <c r="L482" s="36"/>
      <c r="M482" s="36"/>
      <c r="N482" s="36"/>
      <c r="O482" s="36"/>
      <c r="P482" s="36"/>
    </row>
    <row r="483" spans="1:16" ht="15.75" customHeight="1">
      <c r="A483" s="37"/>
      <c r="B483" s="37"/>
      <c r="C483" s="37"/>
      <c r="D483" s="37"/>
      <c r="E483" s="37"/>
      <c r="F483" s="37"/>
      <c r="G483" s="37"/>
      <c r="H483" s="37"/>
      <c r="I483" s="37"/>
      <c r="J483" s="37"/>
      <c r="K483" s="37"/>
      <c r="L483" s="37"/>
      <c r="M483" s="37"/>
      <c r="N483" s="37"/>
      <c r="O483" s="37"/>
      <c r="P483" s="37"/>
    </row>
    <row r="484" spans="1:16" ht="15.75" customHeight="1">
      <c r="A484" s="36"/>
      <c r="B484" s="36"/>
      <c r="C484" s="36"/>
      <c r="D484" s="36"/>
      <c r="E484" s="36"/>
      <c r="F484" s="36"/>
      <c r="G484" s="36"/>
      <c r="H484" s="36"/>
      <c r="I484" s="36"/>
      <c r="J484" s="36"/>
      <c r="K484" s="36"/>
      <c r="L484" s="36"/>
      <c r="M484" s="36"/>
      <c r="N484" s="36"/>
      <c r="O484" s="36"/>
      <c r="P484" s="36"/>
    </row>
    <row r="485" spans="1:16" ht="15.75" customHeight="1">
      <c r="A485" s="37"/>
      <c r="B485" s="37"/>
      <c r="C485" s="37"/>
      <c r="D485" s="37"/>
      <c r="E485" s="37"/>
      <c r="F485" s="37"/>
      <c r="G485" s="37"/>
      <c r="H485" s="37"/>
      <c r="I485" s="37"/>
      <c r="J485" s="37"/>
      <c r="K485" s="37"/>
      <c r="L485" s="37"/>
      <c r="M485" s="37"/>
      <c r="N485" s="37"/>
      <c r="O485" s="37"/>
      <c r="P485" s="37"/>
    </row>
    <row r="486" spans="1:16" ht="15.75" customHeight="1">
      <c r="A486" s="36"/>
      <c r="B486" s="36"/>
      <c r="C486" s="36"/>
      <c r="D486" s="36"/>
      <c r="E486" s="36"/>
      <c r="F486" s="36"/>
      <c r="G486" s="36"/>
      <c r="H486" s="36"/>
      <c r="I486" s="36"/>
      <c r="J486" s="36"/>
      <c r="K486" s="36"/>
      <c r="L486" s="36"/>
      <c r="M486" s="36"/>
      <c r="N486" s="36"/>
      <c r="O486" s="36"/>
      <c r="P486" s="36"/>
    </row>
    <row r="487" spans="1:16" ht="15.75" customHeight="1">
      <c r="A487" s="37"/>
      <c r="B487" s="37"/>
      <c r="C487" s="37"/>
      <c r="D487" s="37"/>
      <c r="E487" s="37"/>
      <c r="F487" s="37"/>
      <c r="G487" s="37"/>
      <c r="H487" s="37"/>
      <c r="I487" s="37"/>
      <c r="J487" s="37"/>
      <c r="K487" s="37"/>
      <c r="L487" s="37"/>
      <c r="M487" s="37"/>
      <c r="N487" s="37"/>
      <c r="O487" s="37"/>
      <c r="P487" s="37"/>
    </row>
    <row r="488" spans="1:16" ht="15.75" customHeight="1">
      <c r="A488" s="36"/>
      <c r="B488" s="36"/>
      <c r="C488" s="36"/>
      <c r="D488" s="36"/>
      <c r="E488" s="36"/>
      <c r="F488" s="36"/>
      <c r="G488" s="36"/>
      <c r="H488" s="36"/>
      <c r="I488" s="36"/>
      <c r="J488" s="36"/>
      <c r="K488" s="36"/>
      <c r="L488" s="36"/>
      <c r="M488" s="36"/>
      <c r="N488" s="36"/>
      <c r="O488" s="36"/>
      <c r="P488" s="36"/>
    </row>
    <row r="489" spans="1:16" ht="15.75" customHeight="1">
      <c r="A489" s="37"/>
      <c r="B489" s="37"/>
      <c r="C489" s="37"/>
      <c r="D489" s="37"/>
      <c r="E489" s="37"/>
      <c r="F489" s="37"/>
      <c r="G489" s="37"/>
      <c r="H489" s="37"/>
      <c r="I489" s="37"/>
      <c r="J489" s="37"/>
      <c r="K489" s="37"/>
      <c r="L489" s="37"/>
      <c r="M489" s="37"/>
      <c r="N489" s="37"/>
      <c r="O489" s="37"/>
      <c r="P489" s="37"/>
    </row>
    <row r="490" spans="1:16" ht="15.75" customHeight="1">
      <c r="A490" s="36"/>
      <c r="B490" s="36"/>
      <c r="C490" s="36"/>
      <c r="D490" s="36"/>
      <c r="E490" s="36"/>
      <c r="F490" s="36"/>
      <c r="G490" s="36"/>
      <c r="H490" s="36"/>
      <c r="I490" s="36"/>
      <c r="J490" s="36"/>
      <c r="K490" s="36"/>
      <c r="L490" s="36"/>
      <c r="M490" s="36"/>
      <c r="N490" s="36"/>
      <c r="O490" s="36"/>
      <c r="P490" s="36"/>
    </row>
    <row r="491" spans="1:16" ht="15.75" customHeight="1">
      <c r="A491" s="37"/>
      <c r="B491" s="37"/>
      <c r="C491" s="37"/>
      <c r="D491" s="37"/>
      <c r="E491" s="37"/>
      <c r="F491" s="37"/>
      <c r="G491" s="37"/>
      <c r="H491" s="37"/>
      <c r="I491" s="37"/>
      <c r="J491" s="37"/>
      <c r="K491" s="37"/>
      <c r="L491" s="37"/>
      <c r="M491" s="37"/>
      <c r="N491" s="37"/>
      <c r="O491" s="37"/>
      <c r="P491" s="37"/>
    </row>
    <row r="492" spans="1:16" ht="15.75" customHeight="1">
      <c r="A492" s="36"/>
      <c r="B492" s="36"/>
      <c r="C492" s="36"/>
      <c r="D492" s="36"/>
      <c r="E492" s="36"/>
      <c r="F492" s="36"/>
      <c r="G492" s="36"/>
      <c r="H492" s="36"/>
      <c r="I492" s="36"/>
      <c r="J492" s="36"/>
      <c r="K492" s="36"/>
      <c r="L492" s="36"/>
      <c r="M492" s="36"/>
      <c r="N492" s="36"/>
      <c r="O492" s="36"/>
      <c r="P492" s="36"/>
    </row>
    <row r="493" spans="1:16" ht="15.75" customHeight="1">
      <c r="A493" s="37"/>
      <c r="B493" s="37"/>
      <c r="C493" s="37"/>
      <c r="D493" s="37"/>
      <c r="E493" s="37"/>
      <c r="F493" s="37"/>
      <c r="G493" s="37"/>
      <c r="H493" s="37"/>
      <c r="I493" s="37"/>
      <c r="J493" s="37"/>
      <c r="K493" s="37"/>
      <c r="L493" s="37"/>
      <c r="M493" s="37"/>
      <c r="N493" s="37"/>
      <c r="O493" s="37"/>
      <c r="P493" s="37"/>
    </row>
    <row r="494" spans="1:16" ht="15.75" customHeight="1">
      <c r="A494" s="36"/>
      <c r="B494" s="36"/>
      <c r="C494" s="36"/>
      <c r="D494" s="36"/>
      <c r="E494" s="36"/>
      <c r="F494" s="36"/>
      <c r="G494" s="36"/>
      <c r="H494" s="36"/>
      <c r="I494" s="36"/>
      <c r="J494" s="36"/>
      <c r="K494" s="36"/>
      <c r="L494" s="36"/>
      <c r="M494" s="36"/>
      <c r="N494" s="36"/>
      <c r="O494" s="36"/>
      <c r="P494" s="36"/>
    </row>
    <row r="495" spans="1:16" ht="15.75" customHeight="1">
      <c r="A495" s="37"/>
      <c r="B495" s="37"/>
      <c r="C495" s="37"/>
      <c r="D495" s="37"/>
      <c r="E495" s="37"/>
      <c r="F495" s="37"/>
      <c r="G495" s="37"/>
      <c r="H495" s="37"/>
      <c r="I495" s="37"/>
      <c r="J495" s="37"/>
      <c r="K495" s="37"/>
      <c r="L495" s="37"/>
      <c r="M495" s="37"/>
      <c r="N495" s="37"/>
      <c r="O495" s="37"/>
      <c r="P495" s="37"/>
    </row>
    <row r="496" spans="1:16" ht="15.75" customHeight="1">
      <c r="A496" s="36"/>
      <c r="B496" s="36"/>
      <c r="C496" s="36"/>
      <c r="D496" s="36"/>
      <c r="E496" s="36"/>
      <c r="F496" s="36"/>
      <c r="G496" s="36"/>
      <c r="H496" s="36"/>
      <c r="I496" s="36"/>
      <c r="J496" s="36"/>
      <c r="K496" s="36"/>
      <c r="L496" s="36"/>
      <c r="M496" s="36"/>
      <c r="N496" s="36"/>
      <c r="O496" s="36"/>
      <c r="P496" s="36"/>
    </row>
    <row r="497" spans="1:16" ht="15.75" customHeight="1">
      <c r="A497" s="37"/>
      <c r="B497" s="37"/>
      <c r="C497" s="37"/>
      <c r="D497" s="37"/>
      <c r="E497" s="37"/>
      <c r="F497" s="37"/>
      <c r="G497" s="37"/>
      <c r="H497" s="37"/>
      <c r="I497" s="37"/>
      <c r="J497" s="37"/>
      <c r="K497" s="37"/>
      <c r="L497" s="37"/>
      <c r="M497" s="37"/>
      <c r="N497" s="37"/>
      <c r="O497" s="37"/>
      <c r="P497" s="37"/>
    </row>
    <row r="498" spans="1:16" ht="15.75" customHeight="1">
      <c r="A498" s="36"/>
      <c r="B498" s="36"/>
      <c r="C498" s="36"/>
      <c r="D498" s="36"/>
      <c r="E498" s="36"/>
      <c r="F498" s="36"/>
      <c r="G498" s="36"/>
      <c r="H498" s="36"/>
      <c r="I498" s="36"/>
      <c r="J498" s="36"/>
      <c r="K498" s="36"/>
      <c r="L498" s="36"/>
      <c r="M498" s="36"/>
      <c r="N498" s="36"/>
      <c r="O498" s="36"/>
      <c r="P498" s="36"/>
    </row>
    <row r="499" spans="1:16" ht="15.75" customHeight="1">
      <c r="A499" s="37"/>
      <c r="B499" s="37"/>
      <c r="C499" s="37"/>
      <c r="D499" s="37"/>
      <c r="E499" s="37"/>
      <c r="F499" s="37"/>
      <c r="G499" s="37"/>
      <c r="H499" s="37"/>
      <c r="I499" s="37"/>
      <c r="J499" s="37"/>
      <c r="K499" s="37"/>
      <c r="L499" s="37"/>
      <c r="M499" s="37"/>
      <c r="N499" s="37"/>
      <c r="O499" s="37"/>
      <c r="P499" s="37"/>
    </row>
    <row r="500" spans="1:16" ht="15.75" customHeight="1">
      <c r="A500" s="36"/>
      <c r="B500" s="36"/>
      <c r="C500" s="36"/>
      <c r="D500" s="36"/>
      <c r="E500" s="36"/>
      <c r="F500" s="36"/>
      <c r="G500" s="36"/>
      <c r="H500" s="36"/>
      <c r="I500" s="36"/>
      <c r="J500" s="36"/>
      <c r="K500" s="36"/>
      <c r="L500" s="36"/>
      <c r="M500" s="36"/>
      <c r="N500" s="36"/>
      <c r="O500" s="36"/>
      <c r="P500" s="36"/>
    </row>
    <row r="501" spans="1:16" ht="15.75" customHeight="1">
      <c r="A501" s="37"/>
      <c r="B501" s="37"/>
      <c r="C501" s="37"/>
      <c r="D501" s="37"/>
      <c r="E501" s="37"/>
      <c r="F501" s="37"/>
      <c r="G501" s="37"/>
      <c r="H501" s="37"/>
      <c r="I501" s="37"/>
      <c r="J501" s="37"/>
      <c r="K501" s="37"/>
      <c r="L501" s="37"/>
      <c r="M501" s="37"/>
      <c r="N501" s="37"/>
      <c r="O501" s="37"/>
      <c r="P501" s="37"/>
    </row>
    <row r="502" spans="1:16" ht="15.75" customHeight="1">
      <c r="A502" s="36"/>
      <c r="B502" s="36"/>
      <c r="C502" s="36"/>
      <c r="D502" s="36"/>
      <c r="E502" s="36"/>
      <c r="F502" s="36"/>
      <c r="G502" s="36"/>
      <c r="H502" s="36"/>
      <c r="I502" s="36"/>
      <c r="J502" s="36"/>
      <c r="K502" s="36"/>
      <c r="L502" s="36"/>
      <c r="M502" s="36"/>
      <c r="N502" s="36"/>
      <c r="O502" s="36"/>
      <c r="P502" s="36"/>
    </row>
    <row r="503" spans="1:16" ht="15.75" customHeight="1">
      <c r="A503" s="37"/>
      <c r="B503" s="37"/>
      <c r="C503" s="37"/>
      <c r="D503" s="37"/>
      <c r="E503" s="37"/>
      <c r="F503" s="37"/>
      <c r="G503" s="37"/>
      <c r="H503" s="37"/>
      <c r="I503" s="37"/>
      <c r="J503" s="37"/>
      <c r="K503" s="37"/>
      <c r="L503" s="37"/>
      <c r="M503" s="37"/>
      <c r="N503" s="37"/>
      <c r="O503" s="37"/>
      <c r="P503" s="37"/>
    </row>
    <row r="504" spans="1:16" ht="15.75" customHeight="1">
      <c r="A504" s="36"/>
      <c r="B504" s="36"/>
      <c r="C504" s="36"/>
      <c r="D504" s="36"/>
      <c r="E504" s="36"/>
      <c r="F504" s="36"/>
      <c r="G504" s="36"/>
      <c r="H504" s="36"/>
      <c r="I504" s="36"/>
      <c r="J504" s="36"/>
      <c r="K504" s="36"/>
      <c r="L504" s="36"/>
      <c r="M504" s="36"/>
      <c r="N504" s="36"/>
      <c r="O504" s="36"/>
      <c r="P504" s="36"/>
    </row>
    <row r="505" spans="1:16" ht="15.75" customHeight="1">
      <c r="A505" s="37"/>
      <c r="B505" s="37"/>
      <c r="C505" s="37"/>
      <c r="D505" s="37"/>
      <c r="E505" s="37"/>
      <c r="F505" s="37"/>
      <c r="G505" s="37"/>
      <c r="H505" s="37"/>
      <c r="I505" s="37"/>
      <c r="J505" s="37"/>
      <c r="K505" s="37"/>
      <c r="L505" s="37"/>
      <c r="M505" s="37"/>
      <c r="N505" s="37"/>
      <c r="O505" s="37"/>
      <c r="P505" s="37"/>
    </row>
    <row r="506" spans="1:16" ht="15.75" customHeight="1">
      <c r="A506" s="36"/>
      <c r="B506" s="36"/>
      <c r="C506" s="36"/>
      <c r="D506" s="36"/>
      <c r="E506" s="36"/>
      <c r="F506" s="36"/>
      <c r="G506" s="36"/>
      <c r="H506" s="36"/>
      <c r="I506" s="36"/>
      <c r="J506" s="36"/>
      <c r="K506" s="36"/>
      <c r="L506" s="36"/>
      <c r="M506" s="36"/>
      <c r="N506" s="36"/>
      <c r="O506" s="36"/>
      <c r="P506" s="36"/>
    </row>
    <row r="507" spans="1:16" ht="15.75" customHeight="1">
      <c r="A507" s="37"/>
      <c r="B507" s="37"/>
      <c r="C507" s="37"/>
      <c r="D507" s="37"/>
      <c r="E507" s="37"/>
      <c r="F507" s="37"/>
      <c r="G507" s="37"/>
      <c r="H507" s="37"/>
      <c r="I507" s="37"/>
      <c r="J507" s="37"/>
      <c r="K507" s="37"/>
      <c r="L507" s="37"/>
      <c r="M507" s="37"/>
      <c r="N507" s="37"/>
      <c r="O507" s="37"/>
      <c r="P507" s="37"/>
    </row>
    <row r="508" spans="1:16" ht="15.75" customHeight="1">
      <c r="A508" s="36"/>
      <c r="B508" s="36"/>
      <c r="C508" s="36"/>
      <c r="D508" s="36"/>
      <c r="E508" s="36"/>
      <c r="F508" s="36"/>
      <c r="G508" s="36"/>
      <c r="H508" s="36"/>
      <c r="I508" s="36"/>
      <c r="J508" s="36"/>
      <c r="K508" s="36"/>
      <c r="L508" s="36"/>
      <c r="M508" s="36"/>
      <c r="N508" s="36"/>
      <c r="O508" s="36"/>
      <c r="P508" s="36"/>
    </row>
    <row r="509" spans="1:16" ht="15.75" customHeight="1">
      <c r="A509" s="37"/>
      <c r="B509" s="37"/>
      <c r="C509" s="37"/>
      <c r="D509" s="37"/>
      <c r="E509" s="37"/>
      <c r="F509" s="37"/>
      <c r="G509" s="37"/>
      <c r="H509" s="37"/>
      <c r="I509" s="37"/>
      <c r="J509" s="37"/>
      <c r="K509" s="37"/>
      <c r="L509" s="37"/>
      <c r="M509" s="37"/>
      <c r="N509" s="37"/>
      <c r="O509" s="37"/>
      <c r="P509" s="37"/>
    </row>
    <row r="510" spans="1:16" ht="15.75" customHeight="1">
      <c r="A510" s="36"/>
      <c r="B510" s="36"/>
      <c r="C510" s="36"/>
      <c r="D510" s="36"/>
      <c r="E510" s="36"/>
      <c r="F510" s="36"/>
      <c r="G510" s="36"/>
      <c r="H510" s="36"/>
      <c r="I510" s="36"/>
      <c r="J510" s="36"/>
      <c r="K510" s="36"/>
      <c r="L510" s="36"/>
      <c r="M510" s="36"/>
      <c r="N510" s="36"/>
      <c r="O510" s="36"/>
      <c r="P510" s="36"/>
    </row>
    <row r="511" spans="1:16" ht="15.75" customHeight="1">
      <c r="A511" s="37"/>
      <c r="B511" s="37"/>
      <c r="C511" s="37"/>
      <c r="D511" s="37"/>
      <c r="E511" s="37"/>
      <c r="F511" s="37"/>
      <c r="G511" s="37"/>
      <c r="H511" s="37"/>
      <c r="I511" s="37"/>
      <c r="J511" s="37"/>
      <c r="K511" s="37"/>
      <c r="L511" s="37"/>
      <c r="M511" s="37"/>
      <c r="N511" s="37"/>
      <c r="O511" s="37"/>
      <c r="P511" s="37"/>
    </row>
    <row r="512" spans="1:16" ht="15.75" customHeight="1">
      <c r="A512" s="36"/>
      <c r="B512" s="36"/>
      <c r="C512" s="36"/>
      <c r="D512" s="36"/>
      <c r="E512" s="36"/>
      <c r="F512" s="36"/>
      <c r="G512" s="36"/>
      <c r="H512" s="36"/>
      <c r="I512" s="36"/>
      <c r="J512" s="36"/>
      <c r="K512" s="36"/>
      <c r="L512" s="36"/>
      <c r="M512" s="36"/>
      <c r="N512" s="36"/>
      <c r="O512" s="36"/>
      <c r="P512" s="36"/>
    </row>
    <row r="513" spans="1:16" ht="15.75" customHeight="1">
      <c r="A513" s="37"/>
      <c r="B513" s="37"/>
      <c r="C513" s="37"/>
      <c r="D513" s="37"/>
      <c r="E513" s="37"/>
      <c r="F513" s="37"/>
      <c r="G513" s="37"/>
      <c r="H513" s="37"/>
      <c r="I513" s="37"/>
      <c r="J513" s="37"/>
      <c r="K513" s="37"/>
      <c r="L513" s="37"/>
      <c r="M513" s="37"/>
      <c r="N513" s="37"/>
      <c r="O513" s="37"/>
      <c r="P513" s="37"/>
    </row>
    <row r="514" spans="1:16" ht="15.75" customHeight="1">
      <c r="A514" s="36"/>
      <c r="B514" s="36"/>
      <c r="C514" s="36"/>
      <c r="D514" s="36"/>
      <c r="E514" s="36"/>
      <c r="F514" s="36"/>
      <c r="G514" s="36"/>
      <c r="H514" s="36"/>
      <c r="I514" s="36"/>
      <c r="J514" s="36"/>
      <c r="K514" s="36"/>
      <c r="L514" s="36"/>
      <c r="M514" s="36"/>
      <c r="N514" s="36"/>
      <c r="O514" s="36"/>
      <c r="P514" s="36"/>
    </row>
    <row r="515" spans="1:16" ht="15.75" customHeight="1">
      <c r="A515" s="37"/>
      <c r="B515" s="37"/>
      <c r="C515" s="37"/>
      <c r="D515" s="37"/>
      <c r="E515" s="37"/>
      <c r="F515" s="37"/>
      <c r="G515" s="37"/>
      <c r="H515" s="37"/>
      <c r="I515" s="37"/>
      <c r="J515" s="37"/>
      <c r="K515" s="37"/>
      <c r="L515" s="37"/>
      <c r="M515" s="37"/>
      <c r="N515" s="37"/>
      <c r="O515" s="37"/>
      <c r="P515" s="37"/>
    </row>
    <row r="516" spans="1:16" ht="15.75" customHeight="1">
      <c r="A516" s="36"/>
      <c r="B516" s="36"/>
      <c r="C516" s="36"/>
      <c r="D516" s="36"/>
      <c r="E516" s="36"/>
      <c r="F516" s="36"/>
      <c r="G516" s="36"/>
      <c r="H516" s="36"/>
      <c r="I516" s="36"/>
      <c r="J516" s="36"/>
      <c r="K516" s="36"/>
      <c r="L516" s="36"/>
      <c r="M516" s="36"/>
      <c r="N516" s="36"/>
      <c r="O516" s="36"/>
      <c r="P516" s="36"/>
    </row>
    <row r="517" spans="1:16" ht="15.75" customHeight="1">
      <c r="A517" s="37"/>
      <c r="B517" s="37"/>
      <c r="C517" s="37"/>
      <c r="D517" s="37"/>
      <c r="E517" s="37"/>
      <c r="F517" s="37"/>
      <c r="G517" s="37"/>
      <c r="H517" s="37"/>
      <c r="I517" s="37"/>
      <c r="J517" s="37"/>
      <c r="K517" s="37"/>
      <c r="L517" s="37"/>
      <c r="M517" s="37"/>
      <c r="N517" s="37"/>
      <c r="O517" s="37"/>
      <c r="P517" s="37"/>
    </row>
    <row r="518" spans="1:16" ht="15.75" customHeight="1">
      <c r="A518" s="36"/>
      <c r="B518" s="36"/>
      <c r="C518" s="36"/>
      <c r="D518" s="36"/>
      <c r="E518" s="36"/>
      <c r="F518" s="36"/>
      <c r="G518" s="36"/>
      <c r="H518" s="36"/>
      <c r="I518" s="36"/>
      <c r="J518" s="36"/>
      <c r="K518" s="36"/>
      <c r="L518" s="36"/>
      <c r="M518" s="36"/>
      <c r="N518" s="36"/>
      <c r="O518" s="36"/>
      <c r="P518" s="36"/>
    </row>
    <row r="519" spans="1:16" ht="15.75" customHeight="1">
      <c r="A519" s="37"/>
      <c r="B519" s="37"/>
      <c r="C519" s="37"/>
      <c r="D519" s="37"/>
      <c r="E519" s="37"/>
      <c r="F519" s="37"/>
      <c r="G519" s="37"/>
      <c r="H519" s="37"/>
      <c r="I519" s="37"/>
      <c r="J519" s="37"/>
      <c r="K519" s="37"/>
      <c r="L519" s="37"/>
      <c r="M519" s="37"/>
      <c r="N519" s="37"/>
      <c r="O519" s="37"/>
      <c r="P519" s="37"/>
    </row>
    <row r="520" spans="1:16" ht="15.75" customHeight="1">
      <c r="A520" s="36"/>
      <c r="B520" s="36"/>
      <c r="C520" s="36"/>
      <c r="D520" s="36"/>
      <c r="E520" s="36"/>
      <c r="F520" s="36"/>
      <c r="G520" s="36"/>
      <c r="H520" s="36"/>
      <c r="I520" s="36"/>
      <c r="J520" s="36"/>
      <c r="K520" s="36"/>
      <c r="L520" s="36"/>
      <c r="M520" s="36"/>
      <c r="N520" s="36"/>
      <c r="O520" s="36"/>
      <c r="P520" s="36"/>
    </row>
    <row r="521" spans="1:16" ht="15.75" customHeight="1">
      <c r="A521" s="37"/>
      <c r="B521" s="37"/>
      <c r="C521" s="37"/>
      <c r="D521" s="37"/>
      <c r="E521" s="37"/>
      <c r="F521" s="37"/>
      <c r="G521" s="37"/>
      <c r="H521" s="37"/>
      <c r="I521" s="37"/>
      <c r="J521" s="37"/>
      <c r="K521" s="37"/>
      <c r="L521" s="37"/>
      <c r="M521" s="37"/>
      <c r="N521" s="37"/>
      <c r="O521" s="37"/>
      <c r="P521" s="37"/>
    </row>
    <row r="522" spans="1:16" ht="15.75" customHeight="1">
      <c r="A522" s="36"/>
      <c r="B522" s="36"/>
      <c r="C522" s="36"/>
      <c r="D522" s="36"/>
      <c r="E522" s="36"/>
      <c r="F522" s="36"/>
      <c r="G522" s="36"/>
      <c r="H522" s="36"/>
      <c r="I522" s="36"/>
      <c r="J522" s="36"/>
      <c r="K522" s="36"/>
      <c r="L522" s="36"/>
      <c r="M522" s="36"/>
      <c r="N522" s="36"/>
      <c r="O522" s="36"/>
      <c r="P522" s="36"/>
    </row>
    <row r="523" spans="1:16" ht="15.75" customHeight="1">
      <c r="A523" s="37"/>
      <c r="B523" s="37"/>
      <c r="C523" s="37"/>
      <c r="D523" s="37"/>
      <c r="E523" s="37"/>
      <c r="F523" s="37"/>
      <c r="G523" s="37"/>
      <c r="H523" s="37"/>
      <c r="I523" s="37"/>
      <c r="J523" s="37"/>
      <c r="K523" s="37"/>
      <c r="L523" s="37"/>
      <c r="M523" s="37"/>
      <c r="N523" s="37"/>
      <c r="O523" s="37"/>
      <c r="P523" s="37"/>
    </row>
    <row r="524" spans="1:16" ht="15.75" customHeight="1">
      <c r="A524" s="36"/>
      <c r="B524" s="36"/>
      <c r="C524" s="36"/>
      <c r="D524" s="36"/>
      <c r="E524" s="36"/>
      <c r="F524" s="36"/>
      <c r="G524" s="36"/>
      <c r="H524" s="36"/>
      <c r="I524" s="36"/>
      <c r="J524" s="36"/>
      <c r="K524" s="36"/>
      <c r="L524" s="36"/>
      <c r="M524" s="36"/>
      <c r="N524" s="36"/>
      <c r="O524" s="36"/>
      <c r="P524" s="36"/>
    </row>
    <row r="525" spans="1:16" ht="15.75" customHeight="1">
      <c r="A525" s="37"/>
      <c r="B525" s="37"/>
      <c r="C525" s="37"/>
      <c r="D525" s="37"/>
      <c r="E525" s="37"/>
      <c r="F525" s="37"/>
      <c r="G525" s="37"/>
      <c r="H525" s="37"/>
      <c r="I525" s="37"/>
      <c r="J525" s="37"/>
      <c r="K525" s="37"/>
      <c r="L525" s="37"/>
      <c r="M525" s="37"/>
      <c r="N525" s="37"/>
      <c r="O525" s="37"/>
      <c r="P525" s="37"/>
    </row>
    <row r="526" spans="1:16" ht="15.75" customHeight="1">
      <c r="A526" s="36"/>
      <c r="B526" s="36"/>
      <c r="C526" s="36"/>
      <c r="D526" s="36"/>
      <c r="E526" s="36"/>
      <c r="F526" s="36"/>
      <c r="G526" s="36"/>
      <c r="H526" s="36"/>
      <c r="I526" s="36"/>
      <c r="J526" s="36"/>
      <c r="K526" s="36"/>
      <c r="L526" s="36"/>
      <c r="M526" s="36"/>
      <c r="N526" s="36"/>
      <c r="O526" s="36"/>
      <c r="P526" s="36"/>
    </row>
    <row r="527" spans="1:16" ht="15.75" customHeight="1">
      <c r="A527" s="37"/>
      <c r="B527" s="37"/>
      <c r="C527" s="37"/>
      <c r="D527" s="37"/>
      <c r="E527" s="37"/>
      <c r="F527" s="37"/>
      <c r="G527" s="37"/>
      <c r="H527" s="37"/>
      <c r="I527" s="37"/>
      <c r="J527" s="37"/>
      <c r="K527" s="37"/>
      <c r="L527" s="37"/>
      <c r="M527" s="37"/>
      <c r="N527" s="37"/>
      <c r="O527" s="37"/>
      <c r="P527" s="37"/>
    </row>
    <row r="528" spans="1:16" ht="15.75" customHeight="1">
      <c r="A528" s="36"/>
      <c r="B528" s="36"/>
      <c r="C528" s="36"/>
      <c r="D528" s="36"/>
      <c r="E528" s="36"/>
      <c r="F528" s="36"/>
      <c r="G528" s="36"/>
      <c r="H528" s="36"/>
      <c r="I528" s="36"/>
      <c r="J528" s="36"/>
      <c r="K528" s="36"/>
      <c r="L528" s="36"/>
      <c r="M528" s="36"/>
      <c r="N528" s="36"/>
      <c r="O528" s="36"/>
      <c r="P528" s="36"/>
    </row>
    <row r="529" spans="1:16" ht="15.75" customHeight="1">
      <c r="A529" s="37"/>
      <c r="B529" s="37"/>
      <c r="C529" s="37"/>
      <c r="D529" s="37"/>
      <c r="E529" s="37"/>
      <c r="F529" s="37"/>
      <c r="G529" s="37"/>
      <c r="H529" s="37"/>
      <c r="I529" s="37"/>
      <c r="J529" s="37"/>
      <c r="K529" s="37"/>
      <c r="L529" s="37"/>
      <c r="M529" s="37"/>
      <c r="N529" s="37"/>
      <c r="O529" s="37"/>
      <c r="P529" s="37"/>
    </row>
    <row r="530" spans="1:16" ht="15.75" customHeight="1">
      <c r="A530" s="36"/>
      <c r="B530" s="36"/>
      <c r="C530" s="36"/>
      <c r="D530" s="36"/>
      <c r="E530" s="36"/>
      <c r="F530" s="36"/>
      <c r="G530" s="36"/>
      <c r="H530" s="36"/>
      <c r="I530" s="36"/>
      <c r="J530" s="36"/>
      <c r="K530" s="36"/>
      <c r="L530" s="36"/>
      <c r="M530" s="36"/>
      <c r="N530" s="36"/>
      <c r="O530" s="36"/>
      <c r="P530" s="36"/>
    </row>
    <row r="531" spans="1:16" ht="15.75" customHeight="1">
      <c r="A531" s="37"/>
      <c r="B531" s="37"/>
      <c r="C531" s="37"/>
      <c r="D531" s="37"/>
      <c r="E531" s="37"/>
      <c r="F531" s="37"/>
      <c r="G531" s="37"/>
      <c r="H531" s="37"/>
      <c r="I531" s="37"/>
      <c r="J531" s="37"/>
      <c r="K531" s="37"/>
      <c r="L531" s="37"/>
      <c r="M531" s="37"/>
      <c r="N531" s="37"/>
      <c r="O531" s="37"/>
      <c r="P531" s="37"/>
    </row>
    <row r="532" spans="1:16" ht="15.75" customHeight="1">
      <c r="A532" s="36"/>
      <c r="B532" s="36"/>
      <c r="C532" s="36"/>
      <c r="D532" s="36"/>
      <c r="E532" s="36"/>
      <c r="F532" s="36"/>
      <c r="G532" s="36"/>
      <c r="H532" s="36"/>
      <c r="I532" s="36"/>
      <c r="J532" s="36"/>
      <c r="K532" s="36"/>
      <c r="L532" s="36"/>
      <c r="M532" s="36"/>
      <c r="N532" s="36"/>
      <c r="O532" s="36"/>
      <c r="P532" s="36"/>
    </row>
    <row r="533" spans="1:16" ht="15.75" customHeight="1">
      <c r="A533" s="37"/>
      <c r="B533" s="37"/>
      <c r="C533" s="37"/>
      <c r="D533" s="37"/>
      <c r="E533" s="37"/>
      <c r="F533" s="37"/>
      <c r="G533" s="37"/>
      <c r="H533" s="37"/>
      <c r="I533" s="37"/>
      <c r="J533" s="37"/>
      <c r="K533" s="37"/>
      <c r="L533" s="37"/>
      <c r="M533" s="37"/>
      <c r="N533" s="37"/>
      <c r="O533" s="37"/>
      <c r="P533" s="37"/>
    </row>
    <row r="534" spans="1:16" ht="15.75" customHeight="1">
      <c r="A534" s="36"/>
      <c r="B534" s="36"/>
      <c r="C534" s="36"/>
      <c r="D534" s="36"/>
      <c r="E534" s="36"/>
      <c r="F534" s="36"/>
      <c r="G534" s="36"/>
      <c r="H534" s="36"/>
      <c r="I534" s="36"/>
      <c r="J534" s="36"/>
      <c r="K534" s="36"/>
      <c r="L534" s="36"/>
      <c r="M534" s="36"/>
      <c r="N534" s="36"/>
      <c r="O534" s="36"/>
      <c r="P534" s="36"/>
    </row>
    <row r="535" spans="1:16" ht="15.75" customHeight="1">
      <c r="A535" s="37"/>
      <c r="B535" s="37"/>
      <c r="C535" s="37"/>
      <c r="D535" s="37"/>
      <c r="E535" s="37"/>
      <c r="F535" s="37"/>
      <c r="G535" s="37"/>
      <c r="H535" s="37"/>
      <c r="I535" s="37"/>
      <c r="J535" s="37"/>
      <c r="K535" s="37"/>
      <c r="L535" s="37"/>
      <c r="M535" s="37"/>
      <c r="N535" s="37"/>
      <c r="O535" s="37"/>
      <c r="P535" s="37"/>
    </row>
    <row r="536" spans="1:16" ht="15.75" customHeight="1">
      <c r="A536" s="36"/>
      <c r="B536" s="36"/>
      <c r="C536" s="36"/>
      <c r="D536" s="36"/>
      <c r="E536" s="36"/>
      <c r="F536" s="36"/>
      <c r="G536" s="36"/>
      <c r="H536" s="36"/>
      <c r="I536" s="36"/>
      <c r="J536" s="36"/>
      <c r="K536" s="36"/>
      <c r="L536" s="36"/>
      <c r="M536" s="36"/>
      <c r="N536" s="36"/>
      <c r="O536" s="36"/>
      <c r="P536" s="36"/>
    </row>
    <row r="537" spans="1:16" ht="15.75" customHeight="1">
      <c r="A537" s="37"/>
      <c r="B537" s="37"/>
      <c r="C537" s="37"/>
      <c r="D537" s="37"/>
      <c r="E537" s="37"/>
      <c r="F537" s="37"/>
      <c r="G537" s="37"/>
      <c r="H537" s="37"/>
      <c r="I537" s="37"/>
      <c r="J537" s="37"/>
      <c r="K537" s="37"/>
      <c r="L537" s="37"/>
      <c r="M537" s="37"/>
      <c r="N537" s="37"/>
      <c r="O537" s="37"/>
      <c r="P537" s="37"/>
    </row>
    <row r="538" spans="1:16" ht="15.75" customHeight="1">
      <c r="A538" s="36"/>
      <c r="B538" s="36"/>
      <c r="C538" s="36"/>
      <c r="D538" s="36"/>
      <c r="E538" s="36"/>
      <c r="F538" s="36"/>
      <c r="G538" s="36"/>
      <c r="H538" s="36"/>
      <c r="I538" s="36"/>
      <c r="J538" s="36"/>
      <c r="K538" s="36"/>
      <c r="L538" s="36"/>
      <c r="M538" s="36"/>
      <c r="N538" s="36"/>
      <c r="O538" s="36"/>
      <c r="P538" s="36"/>
    </row>
    <row r="539" spans="1:16" ht="15.75" customHeight="1">
      <c r="A539" s="37"/>
      <c r="B539" s="37"/>
      <c r="C539" s="37"/>
      <c r="D539" s="37"/>
      <c r="E539" s="37"/>
      <c r="F539" s="37"/>
      <c r="G539" s="37"/>
      <c r="H539" s="37"/>
      <c r="I539" s="37"/>
      <c r="J539" s="37"/>
      <c r="K539" s="37"/>
      <c r="L539" s="37"/>
      <c r="M539" s="37"/>
      <c r="N539" s="37"/>
      <c r="O539" s="37"/>
      <c r="P539" s="37"/>
    </row>
    <row r="540" spans="1:16" ht="15.75" customHeight="1">
      <c r="A540" s="36"/>
      <c r="B540" s="36"/>
      <c r="C540" s="36"/>
      <c r="D540" s="36"/>
      <c r="E540" s="36"/>
      <c r="F540" s="36"/>
      <c r="G540" s="36"/>
      <c r="H540" s="36"/>
      <c r="I540" s="36"/>
      <c r="J540" s="36"/>
      <c r="K540" s="36"/>
      <c r="L540" s="36"/>
      <c r="M540" s="36"/>
      <c r="N540" s="36"/>
      <c r="O540" s="36"/>
      <c r="P540" s="36"/>
    </row>
    <row r="541" spans="1:16" ht="15.75" customHeight="1">
      <c r="A541" s="37"/>
      <c r="B541" s="37"/>
      <c r="C541" s="37"/>
      <c r="D541" s="37"/>
      <c r="E541" s="37"/>
      <c r="F541" s="37"/>
      <c r="G541" s="37"/>
      <c r="H541" s="37"/>
      <c r="I541" s="37"/>
      <c r="J541" s="37"/>
      <c r="K541" s="37"/>
      <c r="L541" s="37"/>
      <c r="M541" s="37"/>
      <c r="N541" s="37"/>
      <c r="O541" s="37"/>
      <c r="P541" s="37"/>
    </row>
    <row r="542" spans="1:16" ht="15.75" customHeight="1">
      <c r="A542" s="36"/>
      <c r="B542" s="36"/>
      <c r="C542" s="36"/>
      <c r="D542" s="36"/>
      <c r="E542" s="36"/>
      <c r="F542" s="36"/>
      <c r="G542" s="36"/>
      <c r="H542" s="36"/>
      <c r="I542" s="36"/>
      <c r="J542" s="36"/>
      <c r="K542" s="36"/>
      <c r="L542" s="36"/>
      <c r="M542" s="36"/>
      <c r="N542" s="36"/>
      <c r="O542" s="36"/>
      <c r="P542" s="36"/>
    </row>
    <row r="543" spans="1:16" ht="15.75" customHeight="1">
      <c r="A543" s="37"/>
      <c r="B543" s="37"/>
      <c r="C543" s="37"/>
      <c r="D543" s="37"/>
      <c r="E543" s="37"/>
      <c r="F543" s="37"/>
      <c r="G543" s="37"/>
      <c r="H543" s="37"/>
      <c r="I543" s="37"/>
      <c r="J543" s="37"/>
      <c r="K543" s="37"/>
      <c r="L543" s="37"/>
      <c r="M543" s="37"/>
      <c r="N543" s="37"/>
      <c r="O543" s="37"/>
      <c r="P543" s="37"/>
    </row>
    <row r="544" spans="1:16" ht="15.75" customHeight="1">
      <c r="A544" s="36"/>
      <c r="B544" s="36"/>
      <c r="C544" s="36"/>
      <c r="D544" s="36"/>
      <c r="E544" s="36"/>
      <c r="F544" s="36"/>
      <c r="G544" s="36"/>
      <c r="H544" s="36"/>
      <c r="I544" s="36"/>
      <c r="J544" s="36"/>
      <c r="K544" s="36"/>
      <c r="L544" s="36"/>
      <c r="M544" s="36"/>
      <c r="N544" s="36"/>
      <c r="O544" s="36"/>
      <c r="P544" s="36"/>
    </row>
    <row r="545" spans="1:16" ht="15.75" customHeight="1">
      <c r="A545" s="37"/>
      <c r="B545" s="37"/>
      <c r="C545" s="37"/>
      <c r="D545" s="37"/>
      <c r="E545" s="37"/>
      <c r="F545" s="37"/>
      <c r="G545" s="37"/>
      <c r="H545" s="37"/>
      <c r="I545" s="37"/>
      <c r="J545" s="37"/>
      <c r="K545" s="37"/>
      <c r="L545" s="37"/>
      <c r="M545" s="37"/>
      <c r="N545" s="37"/>
      <c r="O545" s="37"/>
      <c r="P545" s="37"/>
    </row>
    <row r="546" spans="1:16" ht="15.75" customHeight="1">
      <c r="A546" s="36"/>
      <c r="B546" s="36"/>
      <c r="C546" s="36"/>
      <c r="D546" s="36"/>
      <c r="E546" s="36"/>
      <c r="F546" s="36"/>
      <c r="G546" s="36"/>
      <c r="H546" s="36"/>
      <c r="I546" s="36"/>
      <c r="J546" s="36"/>
      <c r="K546" s="36"/>
      <c r="L546" s="36"/>
      <c r="M546" s="36"/>
      <c r="N546" s="36"/>
      <c r="O546" s="36"/>
      <c r="P546" s="36"/>
    </row>
    <row r="547" spans="1:16" ht="15.75" customHeight="1">
      <c r="A547" s="37"/>
      <c r="B547" s="37"/>
      <c r="C547" s="37"/>
      <c r="D547" s="37"/>
      <c r="E547" s="37"/>
      <c r="F547" s="37"/>
      <c r="G547" s="37"/>
      <c r="H547" s="37"/>
      <c r="I547" s="37"/>
      <c r="J547" s="37"/>
      <c r="K547" s="37"/>
      <c r="L547" s="37"/>
      <c r="M547" s="37"/>
      <c r="N547" s="37"/>
      <c r="O547" s="37"/>
      <c r="P547" s="37"/>
    </row>
    <row r="548" spans="1:16" ht="15.75" customHeight="1">
      <c r="A548" s="36"/>
      <c r="B548" s="36"/>
      <c r="C548" s="36"/>
      <c r="D548" s="36"/>
      <c r="E548" s="36"/>
      <c r="F548" s="36"/>
      <c r="G548" s="36"/>
      <c r="H548" s="36"/>
      <c r="I548" s="36"/>
      <c r="J548" s="36"/>
      <c r="K548" s="36"/>
      <c r="L548" s="36"/>
      <c r="M548" s="36"/>
      <c r="N548" s="36"/>
      <c r="O548" s="36"/>
      <c r="P548" s="36"/>
    </row>
    <row r="549" spans="1:16" ht="15.75" customHeight="1">
      <c r="A549" s="37"/>
      <c r="B549" s="37"/>
      <c r="C549" s="37"/>
      <c r="D549" s="37"/>
      <c r="E549" s="37"/>
      <c r="F549" s="37"/>
      <c r="G549" s="37"/>
      <c r="H549" s="37"/>
      <c r="I549" s="37"/>
      <c r="J549" s="37"/>
      <c r="K549" s="37"/>
      <c r="L549" s="37"/>
      <c r="M549" s="37"/>
      <c r="N549" s="37"/>
      <c r="O549" s="37"/>
      <c r="P549" s="37"/>
    </row>
    <row r="550" spans="1:16" ht="15.75" customHeight="1">
      <c r="A550" s="36"/>
      <c r="B550" s="36"/>
      <c r="C550" s="36"/>
      <c r="D550" s="36"/>
      <c r="E550" s="36"/>
      <c r="F550" s="36"/>
      <c r="G550" s="36"/>
      <c r="H550" s="36"/>
      <c r="I550" s="36"/>
      <c r="J550" s="36"/>
      <c r="K550" s="36"/>
      <c r="L550" s="36"/>
      <c r="M550" s="36"/>
      <c r="N550" s="36"/>
      <c r="O550" s="36"/>
      <c r="P550" s="36"/>
    </row>
    <row r="551" spans="1:16" ht="15.75" customHeight="1">
      <c r="A551" s="37"/>
      <c r="B551" s="37"/>
      <c r="C551" s="37"/>
      <c r="D551" s="37"/>
      <c r="E551" s="37"/>
      <c r="F551" s="37"/>
      <c r="G551" s="37"/>
      <c r="H551" s="37"/>
      <c r="I551" s="37"/>
      <c r="J551" s="37"/>
      <c r="K551" s="37"/>
      <c r="L551" s="37"/>
      <c r="M551" s="37"/>
      <c r="N551" s="37"/>
      <c r="O551" s="37"/>
      <c r="P551" s="37"/>
    </row>
    <row r="552" spans="1:16" ht="15.75" customHeight="1">
      <c r="A552" s="36"/>
      <c r="B552" s="36"/>
      <c r="C552" s="36"/>
      <c r="D552" s="36"/>
      <c r="E552" s="36"/>
      <c r="F552" s="36"/>
      <c r="G552" s="36"/>
      <c r="H552" s="36"/>
      <c r="I552" s="36"/>
      <c r="J552" s="36"/>
      <c r="K552" s="36"/>
      <c r="L552" s="36"/>
      <c r="M552" s="36"/>
      <c r="N552" s="36"/>
      <c r="O552" s="36"/>
      <c r="P552" s="36"/>
    </row>
    <row r="553" spans="1:16" ht="15.75" customHeight="1">
      <c r="A553" s="37"/>
      <c r="B553" s="37"/>
      <c r="C553" s="37"/>
      <c r="D553" s="37"/>
      <c r="E553" s="37"/>
      <c r="F553" s="37"/>
      <c r="G553" s="37"/>
      <c r="H553" s="37"/>
      <c r="I553" s="37"/>
      <c r="J553" s="37"/>
      <c r="K553" s="37"/>
      <c r="L553" s="37"/>
      <c r="M553" s="37"/>
      <c r="N553" s="37"/>
      <c r="O553" s="37"/>
      <c r="P553" s="37"/>
    </row>
    <row r="554" spans="1:16" ht="15.75" customHeight="1">
      <c r="A554" s="36"/>
      <c r="B554" s="36"/>
      <c r="C554" s="36"/>
      <c r="D554" s="36"/>
      <c r="E554" s="36"/>
      <c r="F554" s="36"/>
      <c r="G554" s="36"/>
      <c r="H554" s="36"/>
      <c r="I554" s="36"/>
      <c r="J554" s="36"/>
      <c r="K554" s="36"/>
      <c r="L554" s="36"/>
      <c r="M554" s="36"/>
      <c r="N554" s="36"/>
      <c r="O554" s="36"/>
      <c r="P554" s="36"/>
    </row>
    <row r="555" spans="1:16" ht="15.75" customHeight="1">
      <c r="A555" s="37"/>
      <c r="B555" s="37"/>
      <c r="C555" s="37"/>
      <c r="D555" s="37"/>
      <c r="E555" s="37"/>
      <c r="F555" s="37"/>
      <c r="G555" s="37"/>
      <c r="H555" s="37"/>
      <c r="I555" s="37"/>
      <c r="J555" s="37"/>
      <c r="K555" s="37"/>
      <c r="L555" s="37"/>
      <c r="M555" s="37"/>
      <c r="N555" s="37"/>
      <c r="O555" s="37"/>
      <c r="P555" s="37"/>
    </row>
    <row r="556" spans="1:16" ht="15.75" customHeight="1">
      <c r="A556" s="36"/>
      <c r="B556" s="36"/>
      <c r="C556" s="36"/>
      <c r="D556" s="36"/>
      <c r="E556" s="36"/>
      <c r="F556" s="36"/>
      <c r="G556" s="36"/>
      <c r="H556" s="36"/>
      <c r="I556" s="36"/>
      <c r="J556" s="36"/>
      <c r="K556" s="36"/>
      <c r="L556" s="36"/>
      <c r="M556" s="36"/>
      <c r="N556" s="36"/>
      <c r="O556" s="36"/>
      <c r="P556" s="36"/>
    </row>
    <row r="557" spans="1:16" ht="15.75" customHeight="1">
      <c r="A557" s="37"/>
      <c r="B557" s="37"/>
      <c r="C557" s="37"/>
      <c r="D557" s="37"/>
      <c r="E557" s="37"/>
      <c r="F557" s="37"/>
      <c r="G557" s="37"/>
      <c r="H557" s="37"/>
      <c r="I557" s="37"/>
      <c r="J557" s="37"/>
      <c r="K557" s="37"/>
      <c r="L557" s="37"/>
      <c r="M557" s="37"/>
      <c r="N557" s="37"/>
      <c r="O557" s="37"/>
      <c r="P557" s="37"/>
    </row>
    <row r="558" spans="1:16" ht="15.75" customHeight="1">
      <c r="A558" s="36"/>
      <c r="B558" s="36"/>
      <c r="C558" s="36"/>
      <c r="D558" s="36"/>
      <c r="E558" s="36"/>
      <c r="F558" s="36"/>
      <c r="G558" s="36"/>
      <c r="H558" s="36"/>
      <c r="I558" s="36"/>
      <c r="J558" s="36"/>
      <c r="K558" s="36"/>
      <c r="L558" s="36"/>
      <c r="M558" s="36"/>
      <c r="N558" s="36"/>
      <c r="O558" s="36"/>
      <c r="P558" s="36"/>
    </row>
    <row r="559" spans="1:16" ht="15.75" customHeight="1">
      <c r="A559" s="37"/>
      <c r="B559" s="37"/>
      <c r="C559" s="37"/>
      <c r="D559" s="37"/>
      <c r="E559" s="37"/>
      <c r="F559" s="37"/>
      <c r="G559" s="37"/>
      <c r="H559" s="37"/>
      <c r="I559" s="37"/>
      <c r="J559" s="37"/>
      <c r="K559" s="37"/>
      <c r="L559" s="37"/>
      <c r="M559" s="37"/>
      <c r="N559" s="37"/>
      <c r="O559" s="37"/>
      <c r="P559" s="37"/>
    </row>
    <row r="560" spans="1:16" ht="15.75" customHeight="1">
      <c r="A560" s="36"/>
      <c r="B560" s="36"/>
      <c r="C560" s="36"/>
      <c r="D560" s="36"/>
      <c r="E560" s="36"/>
      <c r="F560" s="36"/>
      <c r="G560" s="36"/>
      <c r="H560" s="36"/>
      <c r="I560" s="36"/>
      <c r="J560" s="36"/>
      <c r="K560" s="36"/>
      <c r="L560" s="36"/>
      <c r="M560" s="36"/>
      <c r="N560" s="36"/>
      <c r="O560" s="36"/>
      <c r="P560" s="36"/>
    </row>
    <row r="561" spans="1:16" ht="15.75" customHeight="1">
      <c r="A561" s="37"/>
      <c r="B561" s="37"/>
      <c r="C561" s="37"/>
      <c r="D561" s="37"/>
      <c r="E561" s="37"/>
      <c r="F561" s="37"/>
      <c r="G561" s="37"/>
      <c r="H561" s="37"/>
      <c r="I561" s="37"/>
      <c r="J561" s="37"/>
      <c r="K561" s="37"/>
      <c r="L561" s="37"/>
      <c r="M561" s="37"/>
      <c r="N561" s="37"/>
      <c r="O561" s="37"/>
      <c r="P561" s="37"/>
    </row>
    <row r="562" spans="1:16" ht="15.75" customHeight="1">
      <c r="A562" s="36"/>
      <c r="B562" s="36"/>
      <c r="C562" s="36"/>
      <c r="D562" s="36"/>
      <c r="E562" s="36"/>
      <c r="F562" s="36"/>
      <c r="G562" s="36"/>
      <c r="H562" s="36"/>
      <c r="I562" s="36"/>
      <c r="J562" s="36"/>
      <c r="K562" s="36"/>
      <c r="L562" s="36"/>
      <c r="M562" s="36"/>
      <c r="N562" s="36"/>
      <c r="O562" s="36"/>
      <c r="P562" s="36"/>
    </row>
    <row r="563" spans="1:16" ht="15.75" customHeight="1">
      <c r="A563" s="37"/>
      <c r="B563" s="37"/>
      <c r="C563" s="37"/>
      <c r="D563" s="37"/>
      <c r="E563" s="37"/>
      <c r="F563" s="37"/>
      <c r="G563" s="37"/>
      <c r="H563" s="37"/>
      <c r="I563" s="37"/>
      <c r="J563" s="37"/>
      <c r="K563" s="37"/>
      <c r="L563" s="37"/>
      <c r="M563" s="37"/>
      <c r="N563" s="37"/>
      <c r="O563" s="37"/>
      <c r="P563" s="37"/>
    </row>
    <row r="564" spans="1:16" ht="15.75" customHeight="1">
      <c r="A564" s="36"/>
      <c r="B564" s="36"/>
      <c r="C564" s="36"/>
      <c r="D564" s="36"/>
      <c r="E564" s="36"/>
      <c r="F564" s="36"/>
      <c r="G564" s="36"/>
      <c r="H564" s="36"/>
      <c r="I564" s="36"/>
      <c r="J564" s="36"/>
      <c r="K564" s="36"/>
      <c r="L564" s="36"/>
      <c r="M564" s="36"/>
      <c r="N564" s="36"/>
      <c r="O564" s="36"/>
      <c r="P564" s="36"/>
    </row>
    <row r="565" spans="1:16" ht="15.75" customHeight="1">
      <c r="A565" s="37"/>
      <c r="B565" s="37"/>
      <c r="C565" s="37"/>
      <c r="D565" s="37"/>
      <c r="E565" s="37"/>
      <c r="F565" s="37"/>
      <c r="G565" s="37"/>
      <c r="H565" s="37"/>
      <c r="I565" s="37"/>
      <c r="J565" s="37"/>
      <c r="K565" s="37"/>
      <c r="L565" s="37"/>
      <c r="M565" s="37"/>
      <c r="N565" s="37"/>
      <c r="O565" s="37"/>
      <c r="P565" s="37"/>
    </row>
    <row r="566" spans="1:16" ht="15.75" customHeight="1">
      <c r="A566" s="36"/>
      <c r="B566" s="36"/>
      <c r="C566" s="36"/>
      <c r="D566" s="36"/>
      <c r="E566" s="36"/>
      <c r="F566" s="36"/>
      <c r="G566" s="36"/>
      <c r="H566" s="36"/>
      <c r="I566" s="36"/>
      <c r="J566" s="36"/>
      <c r="K566" s="36"/>
      <c r="L566" s="36"/>
      <c r="M566" s="36"/>
      <c r="N566" s="36"/>
      <c r="O566" s="36"/>
      <c r="P566" s="36"/>
    </row>
    <row r="567" spans="1:16" ht="15.75" customHeight="1">
      <c r="A567" s="37"/>
      <c r="B567" s="37"/>
      <c r="C567" s="37"/>
      <c r="D567" s="37"/>
      <c r="E567" s="37"/>
      <c r="F567" s="37"/>
      <c r="G567" s="37"/>
      <c r="H567" s="37"/>
      <c r="I567" s="37"/>
      <c r="J567" s="37"/>
      <c r="K567" s="37"/>
      <c r="L567" s="37"/>
      <c r="M567" s="37"/>
      <c r="N567" s="37"/>
      <c r="O567" s="37"/>
      <c r="P567" s="37"/>
    </row>
    <row r="568" spans="1:16" ht="15.75" customHeight="1">
      <c r="A568" s="36"/>
      <c r="B568" s="36"/>
      <c r="C568" s="36"/>
      <c r="D568" s="36"/>
      <c r="E568" s="36"/>
      <c r="F568" s="36"/>
      <c r="G568" s="36"/>
      <c r="H568" s="36"/>
      <c r="I568" s="36"/>
      <c r="J568" s="36"/>
      <c r="K568" s="36"/>
      <c r="L568" s="36"/>
      <c r="M568" s="36"/>
      <c r="N568" s="36"/>
      <c r="O568" s="36"/>
      <c r="P568" s="36"/>
    </row>
    <row r="569" spans="1:16" ht="15.75" customHeight="1">
      <c r="A569" s="37"/>
      <c r="B569" s="37"/>
      <c r="C569" s="37"/>
      <c r="D569" s="37"/>
      <c r="E569" s="37"/>
      <c r="F569" s="37"/>
      <c r="G569" s="37"/>
      <c r="H569" s="37"/>
      <c r="I569" s="37"/>
      <c r="J569" s="37"/>
      <c r="K569" s="37"/>
      <c r="L569" s="37"/>
      <c r="M569" s="37"/>
      <c r="N569" s="37"/>
      <c r="O569" s="37"/>
      <c r="P569" s="37"/>
    </row>
    <row r="570" spans="1:16" ht="15.75" customHeight="1">
      <c r="A570" s="36"/>
      <c r="B570" s="36"/>
      <c r="C570" s="36"/>
      <c r="D570" s="36"/>
      <c r="E570" s="36"/>
      <c r="F570" s="36"/>
      <c r="G570" s="36"/>
      <c r="H570" s="36"/>
      <c r="I570" s="36"/>
      <c r="J570" s="36"/>
      <c r="K570" s="36"/>
      <c r="L570" s="36"/>
      <c r="M570" s="36"/>
      <c r="N570" s="36"/>
      <c r="O570" s="36"/>
      <c r="P570" s="36"/>
    </row>
    <row r="571" spans="1:16" ht="15.75" customHeight="1">
      <c r="A571" s="37"/>
      <c r="B571" s="37"/>
      <c r="C571" s="37"/>
      <c r="D571" s="37"/>
      <c r="E571" s="37"/>
      <c r="F571" s="37"/>
      <c r="G571" s="37"/>
      <c r="H571" s="37"/>
      <c r="I571" s="37"/>
      <c r="J571" s="37"/>
      <c r="K571" s="37"/>
      <c r="L571" s="37"/>
      <c r="M571" s="37"/>
      <c r="N571" s="37"/>
      <c r="O571" s="37"/>
      <c r="P571" s="37"/>
    </row>
    <row r="572" spans="1:16" ht="15.75" customHeight="1">
      <c r="A572" s="36"/>
      <c r="B572" s="36"/>
      <c r="C572" s="36"/>
      <c r="D572" s="36"/>
      <c r="E572" s="36"/>
      <c r="F572" s="36"/>
      <c r="G572" s="36"/>
      <c r="H572" s="36"/>
      <c r="I572" s="36"/>
      <c r="J572" s="36"/>
      <c r="K572" s="36"/>
      <c r="L572" s="36"/>
      <c r="M572" s="36"/>
      <c r="N572" s="36"/>
      <c r="O572" s="36"/>
      <c r="P572" s="36"/>
    </row>
    <row r="573" spans="1:16" ht="15.75" customHeight="1">
      <c r="A573" s="37"/>
      <c r="B573" s="37"/>
      <c r="C573" s="37"/>
      <c r="D573" s="37"/>
      <c r="E573" s="37"/>
      <c r="F573" s="37"/>
      <c r="G573" s="37"/>
      <c r="H573" s="37"/>
      <c r="I573" s="37"/>
      <c r="J573" s="37"/>
      <c r="K573" s="37"/>
      <c r="L573" s="37"/>
      <c r="M573" s="37"/>
      <c r="N573" s="37"/>
      <c r="O573" s="37"/>
      <c r="P573" s="37"/>
    </row>
    <row r="574" spans="1:16" ht="15.75" customHeight="1">
      <c r="A574" s="36"/>
      <c r="B574" s="36"/>
      <c r="C574" s="36"/>
      <c r="D574" s="36"/>
      <c r="E574" s="36"/>
      <c r="F574" s="36"/>
      <c r="G574" s="36"/>
      <c r="H574" s="36"/>
      <c r="I574" s="36"/>
      <c r="J574" s="36"/>
      <c r="K574" s="36"/>
      <c r="L574" s="36"/>
      <c r="M574" s="36"/>
      <c r="N574" s="36"/>
      <c r="O574" s="36"/>
      <c r="P574" s="36"/>
    </row>
    <row r="575" spans="1:16" ht="15.75" customHeight="1">
      <c r="A575" s="37"/>
      <c r="B575" s="37"/>
      <c r="C575" s="37"/>
      <c r="D575" s="37"/>
      <c r="E575" s="37"/>
      <c r="F575" s="37"/>
      <c r="G575" s="37"/>
      <c r="H575" s="37"/>
      <c r="I575" s="37"/>
      <c r="J575" s="37"/>
      <c r="K575" s="37"/>
      <c r="L575" s="37"/>
      <c r="M575" s="37"/>
      <c r="N575" s="37"/>
      <c r="O575" s="37"/>
      <c r="P575" s="37"/>
    </row>
    <row r="576" spans="1:16" ht="15.75" customHeight="1">
      <c r="A576" s="36"/>
      <c r="B576" s="36"/>
      <c r="C576" s="36"/>
      <c r="D576" s="36"/>
      <c r="E576" s="36"/>
      <c r="F576" s="36"/>
      <c r="G576" s="36"/>
      <c r="H576" s="36"/>
      <c r="I576" s="36"/>
      <c r="J576" s="36"/>
      <c r="K576" s="36"/>
      <c r="L576" s="36"/>
      <c r="M576" s="36"/>
      <c r="N576" s="36"/>
      <c r="O576" s="36"/>
      <c r="P576" s="36"/>
    </row>
    <row r="577" spans="1:16" ht="15.75" customHeight="1">
      <c r="A577" s="37"/>
      <c r="B577" s="37"/>
      <c r="C577" s="37"/>
      <c r="D577" s="37"/>
      <c r="E577" s="37"/>
      <c r="F577" s="37"/>
      <c r="G577" s="37"/>
      <c r="H577" s="37"/>
      <c r="I577" s="37"/>
      <c r="J577" s="37"/>
      <c r="K577" s="37"/>
      <c r="L577" s="37"/>
      <c r="M577" s="37"/>
      <c r="N577" s="37"/>
      <c r="O577" s="37"/>
      <c r="P577" s="37"/>
    </row>
    <row r="578" spans="1:16" ht="15.75" customHeight="1">
      <c r="A578" s="36"/>
      <c r="B578" s="36"/>
      <c r="C578" s="36"/>
      <c r="D578" s="36"/>
      <c r="E578" s="36"/>
      <c r="F578" s="36"/>
      <c r="G578" s="36"/>
      <c r="H578" s="36"/>
      <c r="I578" s="36"/>
      <c r="J578" s="36"/>
      <c r="K578" s="36"/>
      <c r="L578" s="36"/>
      <c r="M578" s="36"/>
      <c r="N578" s="36"/>
      <c r="O578" s="36"/>
      <c r="P578" s="36"/>
    </row>
    <row r="579" spans="1:16" ht="15.75" customHeight="1">
      <c r="A579" s="37"/>
      <c r="B579" s="37"/>
      <c r="C579" s="37"/>
      <c r="D579" s="37"/>
      <c r="E579" s="37"/>
      <c r="F579" s="37"/>
      <c r="G579" s="37"/>
      <c r="H579" s="37"/>
      <c r="I579" s="37"/>
      <c r="J579" s="37"/>
      <c r="K579" s="37"/>
      <c r="L579" s="37"/>
      <c r="M579" s="37"/>
      <c r="N579" s="37"/>
      <c r="O579" s="37"/>
      <c r="P579" s="37"/>
    </row>
    <row r="580" spans="1:16" ht="15.75" customHeight="1">
      <c r="A580" s="36"/>
      <c r="B580" s="36"/>
      <c r="C580" s="36"/>
      <c r="D580" s="36"/>
      <c r="E580" s="36"/>
      <c r="F580" s="36"/>
      <c r="G580" s="36"/>
      <c r="H580" s="36"/>
      <c r="I580" s="36"/>
      <c r="J580" s="36"/>
      <c r="K580" s="36"/>
      <c r="L580" s="36"/>
      <c r="M580" s="36"/>
      <c r="N580" s="36"/>
      <c r="O580" s="36"/>
      <c r="P580" s="36"/>
    </row>
    <row r="581" spans="1:16" ht="15.75" customHeight="1">
      <c r="A581" s="37"/>
      <c r="B581" s="37"/>
      <c r="C581" s="37"/>
      <c r="D581" s="37"/>
      <c r="E581" s="37"/>
      <c r="F581" s="37"/>
      <c r="G581" s="37"/>
      <c r="H581" s="37"/>
      <c r="I581" s="37"/>
      <c r="J581" s="37"/>
      <c r="K581" s="37"/>
      <c r="L581" s="37"/>
      <c r="M581" s="37"/>
      <c r="N581" s="37"/>
      <c r="O581" s="37"/>
      <c r="P581" s="37"/>
    </row>
    <row r="582" spans="1:16" ht="15.75" customHeight="1">
      <c r="A582" s="36"/>
      <c r="B582" s="36"/>
      <c r="C582" s="36"/>
      <c r="D582" s="36"/>
      <c r="E582" s="36"/>
      <c r="F582" s="36"/>
      <c r="G582" s="36"/>
      <c r="H582" s="36"/>
      <c r="I582" s="36"/>
      <c r="J582" s="36"/>
      <c r="K582" s="36"/>
      <c r="L582" s="36"/>
      <c r="M582" s="36"/>
      <c r="N582" s="36"/>
      <c r="O582" s="36"/>
      <c r="P582" s="36"/>
    </row>
    <row r="583" spans="1:16" ht="15.75" customHeight="1">
      <c r="A583" s="37"/>
      <c r="B583" s="37"/>
      <c r="C583" s="37"/>
      <c r="D583" s="37"/>
      <c r="E583" s="37"/>
      <c r="F583" s="37"/>
      <c r="G583" s="37"/>
      <c r="H583" s="37"/>
      <c r="I583" s="37"/>
      <c r="J583" s="37"/>
      <c r="K583" s="37"/>
      <c r="L583" s="37"/>
      <c r="M583" s="37"/>
      <c r="N583" s="37"/>
      <c r="O583" s="37"/>
      <c r="P583" s="37"/>
    </row>
    <row r="584" spans="1:16" ht="15.75" customHeight="1">
      <c r="A584" s="36"/>
      <c r="B584" s="36"/>
      <c r="C584" s="36"/>
      <c r="D584" s="36"/>
      <c r="E584" s="36"/>
      <c r="F584" s="36"/>
      <c r="G584" s="36"/>
      <c r="H584" s="36"/>
      <c r="I584" s="36"/>
      <c r="J584" s="36"/>
      <c r="K584" s="36"/>
      <c r="L584" s="36"/>
      <c r="M584" s="36"/>
      <c r="N584" s="36"/>
      <c r="O584" s="36"/>
      <c r="P584" s="36"/>
    </row>
    <row r="585" spans="1:16" ht="15.75" customHeight="1">
      <c r="A585" s="37"/>
      <c r="B585" s="37"/>
      <c r="C585" s="37"/>
      <c r="D585" s="37"/>
      <c r="E585" s="37"/>
      <c r="F585" s="37"/>
      <c r="G585" s="37"/>
      <c r="H585" s="37"/>
      <c r="I585" s="37"/>
      <c r="J585" s="37"/>
      <c r="K585" s="37"/>
      <c r="L585" s="37"/>
      <c r="M585" s="37"/>
      <c r="N585" s="37"/>
      <c r="O585" s="37"/>
      <c r="P585" s="37"/>
    </row>
    <row r="586" spans="1:16" ht="15.75" customHeight="1">
      <c r="A586" s="36"/>
      <c r="B586" s="36"/>
      <c r="C586" s="36"/>
      <c r="D586" s="36"/>
      <c r="E586" s="36"/>
      <c r="F586" s="36"/>
      <c r="G586" s="36"/>
      <c r="H586" s="36"/>
      <c r="I586" s="36"/>
      <c r="J586" s="36"/>
      <c r="K586" s="36"/>
      <c r="L586" s="36"/>
      <c r="M586" s="36"/>
      <c r="N586" s="36"/>
      <c r="O586" s="36"/>
      <c r="P586" s="36"/>
    </row>
    <row r="587" spans="1:16" ht="15.75" customHeight="1">
      <c r="A587" s="37"/>
      <c r="B587" s="37"/>
      <c r="C587" s="37"/>
      <c r="D587" s="37"/>
      <c r="E587" s="37"/>
      <c r="F587" s="37"/>
      <c r="G587" s="37"/>
      <c r="H587" s="37"/>
      <c r="I587" s="37"/>
      <c r="J587" s="37"/>
      <c r="K587" s="37"/>
      <c r="L587" s="37"/>
      <c r="M587" s="37"/>
      <c r="N587" s="37"/>
      <c r="O587" s="37"/>
      <c r="P587" s="37"/>
    </row>
    <row r="588" spans="1:16" ht="15.75" customHeight="1">
      <c r="A588" s="36"/>
      <c r="B588" s="36"/>
      <c r="C588" s="36"/>
      <c r="D588" s="36"/>
      <c r="E588" s="36"/>
      <c r="F588" s="36"/>
      <c r="G588" s="36"/>
      <c r="H588" s="36"/>
      <c r="I588" s="36"/>
      <c r="J588" s="36"/>
      <c r="K588" s="36"/>
      <c r="L588" s="36"/>
      <c r="M588" s="36"/>
      <c r="N588" s="36"/>
      <c r="O588" s="36"/>
      <c r="P588" s="36"/>
    </row>
    <row r="589" spans="1:16" ht="15.75" customHeight="1">
      <c r="A589" s="37"/>
      <c r="B589" s="37"/>
      <c r="C589" s="37"/>
      <c r="D589" s="37"/>
      <c r="E589" s="37"/>
      <c r="F589" s="37"/>
      <c r="G589" s="37"/>
      <c r="H589" s="37"/>
      <c r="I589" s="37"/>
      <c r="J589" s="37"/>
      <c r="K589" s="37"/>
      <c r="L589" s="37"/>
      <c r="M589" s="37"/>
      <c r="N589" s="37"/>
      <c r="O589" s="37"/>
      <c r="P589" s="37"/>
    </row>
    <row r="590" spans="1:16" ht="15.75" customHeight="1">
      <c r="A590" s="36"/>
      <c r="B590" s="36"/>
      <c r="C590" s="36"/>
      <c r="D590" s="36"/>
      <c r="E590" s="36"/>
      <c r="F590" s="36"/>
      <c r="G590" s="36"/>
      <c r="H590" s="36"/>
      <c r="I590" s="36"/>
      <c r="J590" s="36"/>
      <c r="K590" s="36"/>
      <c r="L590" s="36"/>
      <c r="M590" s="36"/>
      <c r="N590" s="36"/>
      <c r="O590" s="36"/>
      <c r="P590" s="36"/>
    </row>
    <row r="591" spans="1:16" ht="15.75" customHeight="1">
      <c r="A591" s="37"/>
      <c r="B591" s="37"/>
      <c r="C591" s="37"/>
      <c r="D591" s="37"/>
      <c r="E591" s="37"/>
      <c r="F591" s="37"/>
      <c r="G591" s="37"/>
      <c r="H591" s="37"/>
      <c r="I591" s="37"/>
      <c r="J591" s="37"/>
      <c r="K591" s="37"/>
      <c r="L591" s="37"/>
      <c r="M591" s="37"/>
      <c r="N591" s="37"/>
      <c r="O591" s="37"/>
      <c r="P591" s="37"/>
    </row>
    <row r="592" spans="1:16" ht="15.75" customHeight="1">
      <c r="A592" s="36"/>
      <c r="B592" s="36"/>
      <c r="C592" s="36"/>
      <c r="D592" s="36"/>
      <c r="E592" s="36"/>
      <c r="F592" s="36"/>
      <c r="G592" s="36"/>
      <c r="H592" s="36"/>
      <c r="I592" s="36"/>
      <c r="J592" s="36"/>
      <c r="K592" s="36"/>
      <c r="L592" s="36"/>
      <c r="M592" s="36"/>
      <c r="N592" s="36"/>
      <c r="O592" s="36"/>
      <c r="P592" s="36"/>
    </row>
    <row r="593" spans="1:16" ht="15.75" customHeight="1">
      <c r="A593" s="37"/>
      <c r="B593" s="37"/>
      <c r="C593" s="37"/>
      <c r="D593" s="37"/>
      <c r="E593" s="37"/>
      <c r="F593" s="37"/>
      <c r="G593" s="37"/>
      <c r="H593" s="37"/>
      <c r="I593" s="37"/>
      <c r="J593" s="37"/>
      <c r="K593" s="37"/>
      <c r="L593" s="37"/>
      <c r="M593" s="37"/>
      <c r="N593" s="37"/>
      <c r="O593" s="37"/>
      <c r="P593" s="37"/>
    </row>
    <row r="594" spans="1:16" ht="15.75" customHeight="1">
      <c r="A594" s="36"/>
      <c r="B594" s="36"/>
      <c r="C594" s="36"/>
      <c r="D594" s="36"/>
      <c r="E594" s="36"/>
      <c r="F594" s="36"/>
      <c r="G594" s="36"/>
      <c r="H594" s="36"/>
      <c r="I594" s="36"/>
      <c r="J594" s="36"/>
      <c r="K594" s="36"/>
      <c r="L594" s="36"/>
      <c r="M594" s="36"/>
      <c r="N594" s="36"/>
      <c r="O594" s="36"/>
      <c r="P594" s="36"/>
    </row>
    <row r="595" spans="1:16" ht="15.75" customHeight="1">
      <c r="A595" s="37"/>
      <c r="B595" s="37"/>
      <c r="C595" s="37"/>
      <c r="D595" s="37"/>
      <c r="E595" s="37"/>
      <c r="F595" s="37"/>
      <c r="G595" s="37"/>
      <c r="H595" s="37"/>
      <c r="I595" s="37"/>
      <c r="J595" s="37"/>
      <c r="K595" s="37"/>
      <c r="L595" s="37"/>
      <c r="M595" s="37"/>
      <c r="N595" s="37"/>
      <c r="O595" s="37"/>
      <c r="P595" s="37"/>
    </row>
    <row r="596" spans="1:16" ht="15.75" customHeight="1">
      <c r="A596" s="36"/>
      <c r="B596" s="36"/>
      <c r="C596" s="36"/>
      <c r="D596" s="36"/>
      <c r="E596" s="36"/>
      <c r="F596" s="36"/>
      <c r="G596" s="36"/>
      <c r="H596" s="36"/>
      <c r="I596" s="36"/>
      <c r="J596" s="36"/>
      <c r="K596" s="36"/>
      <c r="L596" s="36"/>
      <c r="M596" s="36"/>
      <c r="N596" s="36"/>
      <c r="O596" s="36"/>
      <c r="P596" s="36"/>
    </row>
    <row r="597" spans="1:16" ht="15.75" customHeight="1">
      <c r="A597" s="37"/>
      <c r="B597" s="37"/>
      <c r="C597" s="37"/>
      <c r="D597" s="37"/>
      <c r="E597" s="37"/>
      <c r="F597" s="37"/>
      <c r="G597" s="37"/>
      <c r="H597" s="37"/>
      <c r="I597" s="37"/>
      <c r="J597" s="37"/>
      <c r="K597" s="37"/>
      <c r="L597" s="37"/>
      <c r="M597" s="37"/>
      <c r="N597" s="37"/>
      <c r="O597" s="37"/>
      <c r="P597" s="37"/>
    </row>
    <row r="598" spans="1:16" ht="15.75" customHeight="1">
      <c r="A598" s="36"/>
      <c r="B598" s="36"/>
      <c r="C598" s="36"/>
      <c r="D598" s="36"/>
      <c r="E598" s="36"/>
      <c r="F598" s="36"/>
      <c r="G598" s="36"/>
      <c r="H598" s="36"/>
      <c r="I598" s="36"/>
      <c r="J598" s="36"/>
      <c r="K598" s="36"/>
      <c r="L598" s="36"/>
      <c r="M598" s="36"/>
      <c r="N598" s="36"/>
      <c r="O598" s="36"/>
      <c r="P598" s="36"/>
    </row>
    <row r="599" spans="1:16" ht="15.75" customHeight="1">
      <c r="A599" s="37"/>
      <c r="B599" s="37"/>
      <c r="C599" s="37"/>
      <c r="D599" s="37"/>
      <c r="E599" s="37"/>
      <c r="F599" s="37"/>
      <c r="G599" s="37"/>
      <c r="H599" s="37"/>
      <c r="I599" s="37"/>
      <c r="J599" s="37"/>
      <c r="K599" s="37"/>
      <c r="L599" s="37"/>
      <c r="M599" s="37"/>
      <c r="N599" s="37"/>
      <c r="O599" s="37"/>
      <c r="P599" s="37"/>
    </row>
    <row r="600" spans="1:16" ht="15.75" customHeight="1">
      <c r="A600" s="36"/>
      <c r="B600" s="36"/>
      <c r="C600" s="36"/>
      <c r="D600" s="36"/>
      <c r="E600" s="36"/>
      <c r="F600" s="36"/>
      <c r="G600" s="36"/>
      <c r="H600" s="36"/>
      <c r="I600" s="36"/>
      <c r="J600" s="36"/>
      <c r="K600" s="36"/>
      <c r="L600" s="36"/>
      <c r="M600" s="36"/>
      <c r="N600" s="36"/>
      <c r="O600" s="36"/>
      <c r="P600" s="36"/>
    </row>
    <row r="601" spans="1:16" ht="15.75" customHeight="1">
      <c r="A601" s="37"/>
      <c r="B601" s="37"/>
      <c r="C601" s="37"/>
      <c r="D601" s="37"/>
      <c r="E601" s="37"/>
      <c r="F601" s="37"/>
      <c r="G601" s="37"/>
      <c r="H601" s="37"/>
      <c r="I601" s="37"/>
      <c r="J601" s="37"/>
      <c r="K601" s="37"/>
      <c r="L601" s="37"/>
      <c r="M601" s="37"/>
      <c r="N601" s="37"/>
      <c r="O601" s="37"/>
      <c r="P601" s="37"/>
    </row>
    <row r="602" spans="1:16" ht="15.75" customHeight="1">
      <c r="A602" s="36"/>
      <c r="B602" s="36"/>
      <c r="C602" s="36"/>
      <c r="D602" s="36"/>
      <c r="E602" s="36"/>
      <c r="F602" s="36"/>
      <c r="G602" s="36"/>
      <c r="H602" s="36"/>
      <c r="I602" s="36"/>
      <c r="J602" s="36"/>
      <c r="K602" s="36"/>
      <c r="L602" s="36"/>
      <c r="M602" s="36"/>
      <c r="N602" s="36"/>
      <c r="O602" s="36"/>
      <c r="P602" s="36"/>
    </row>
    <row r="603" spans="1:16" ht="15.75" customHeight="1">
      <c r="A603" s="37"/>
      <c r="B603" s="37"/>
      <c r="C603" s="37"/>
      <c r="D603" s="37"/>
      <c r="E603" s="37"/>
      <c r="F603" s="37"/>
      <c r="G603" s="37"/>
      <c r="H603" s="37"/>
      <c r="I603" s="37"/>
      <c r="J603" s="37"/>
      <c r="K603" s="37"/>
      <c r="L603" s="37"/>
      <c r="M603" s="37"/>
      <c r="N603" s="37"/>
      <c r="O603" s="37"/>
      <c r="P603" s="37"/>
    </row>
    <row r="604" spans="1:16" ht="15.75" customHeight="1">
      <c r="A604" s="36"/>
      <c r="B604" s="36"/>
      <c r="C604" s="36"/>
      <c r="D604" s="36"/>
      <c r="E604" s="36"/>
      <c r="F604" s="36"/>
      <c r="G604" s="36"/>
      <c r="H604" s="36"/>
      <c r="I604" s="36"/>
      <c r="J604" s="36"/>
      <c r="K604" s="36"/>
      <c r="L604" s="36"/>
      <c r="M604" s="36"/>
      <c r="N604" s="36"/>
      <c r="O604" s="36"/>
      <c r="P604" s="36"/>
    </row>
    <row r="605" spans="1:16" ht="15.75" customHeight="1">
      <c r="A605" s="37"/>
      <c r="B605" s="37"/>
      <c r="C605" s="37"/>
      <c r="D605" s="37"/>
      <c r="E605" s="37"/>
      <c r="F605" s="37"/>
      <c r="G605" s="37"/>
      <c r="H605" s="37"/>
      <c r="I605" s="37"/>
      <c r="J605" s="37"/>
      <c r="K605" s="37"/>
      <c r="L605" s="37"/>
      <c r="M605" s="37"/>
      <c r="N605" s="37"/>
      <c r="O605" s="37"/>
      <c r="P605" s="37"/>
    </row>
    <row r="606" spans="1:16" ht="15.75" customHeight="1">
      <c r="A606" s="36"/>
      <c r="B606" s="36"/>
      <c r="C606" s="36"/>
      <c r="D606" s="36"/>
      <c r="E606" s="36"/>
      <c r="F606" s="36"/>
      <c r="G606" s="36"/>
      <c r="H606" s="36"/>
      <c r="I606" s="36"/>
      <c r="J606" s="36"/>
      <c r="K606" s="36"/>
      <c r="L606" s="36"/>
      <c r="M606" s="36"/>
      <c r="N606" s="36"/>
      <c r="O606" s="36"/>
      <c r="P606" s="36"/>
    </row>
    <row r="607" spans="1:16" ht="15.75" customHeight="1">
      <c r="A607" s="37"/>
      <c r="B607" s="37"/>
      <c r="C607" s="37"/>
      <c r="D607" s="37"/>
      <c r="E607" s="37"/>
      <c r="F607" s="37"/>
      <c r="G607" s="37"/>
      <c r="H607" s="37"/>
      <c r="I607" s="37"/>
      <c r="J607" s="37"/>
      <c r="K607" s="37"/>
      <c r="L607" s="37"/>
      <c r="M607" s="37"/>
      <c r="N607" s="37"/>
      <c r="O607" s="37"/>
      <c r="P607" s="37"/>
    </row>
    <row r="608" spans="1:16" ht="15.75" customHeight="1">
      <c r="A608" s="36"/>
      <c r="B608" s="36"/>
      <c r="C608" s="36"/>
      <c r="D608" s="36"/>
      <c r="E608" s="36"/>
      <c r="F608" s="36"/>
      <c r="G608" s="36"/>
      <c r="H608" s="36"/>
      <c r="I608" s="36"/>
      <c r="J608" s="36"/>
      <c r="K608" s="36"/>
      <c r="L608" s="36"/>
      <c r="M608" s="36"/>
      <c r="N608" s="36"/>
      <c r="O608" s="36"/>
      <c r="P608" s="36"/>
    </row>
    <row r="609" spans="1:16" ht="15.75" customHeight="1">
      <c r="A609" s="37"/>
      <c r="B609" s="37"/>
      <c r="C609" s="37"/>
      <c r="D609" s="37"/>
      <c r="E609" s="37"/>
      <c r="F609" s="37"/>
      <c r="G609" s="37"/>
      <c r="H609" s="37"/>
      <c r="I609" s="37"/>
      <c r="J609" s="37"/>
      <c r="K609" s="37"/>
      <c r="L609" s="37"/>
      <c r="M609" s="37"/>
      <c r="N609" s="37"/>
      <c r="O609" s="37"/>
      <c r="P609" s="37"/>
    </row>
    <row r="610" spans="1:16" ht="15.75" customHeight="1">
      <c r="A610" s="36"/>
      <c r="B610" s="36"/>
      <c r="C610" s="36"/>
      <c r="D610" s="36"/>
      <c r="E610" s="36"/>
      <c r="F610" s="36"/>
      <c r="G610" s="36"/>
      <c r="H610" s="36"/>
      <c r="I610" s="36"/>
      <c r="J610" s="36"/>
      <c r="K610" s="36"/>
      <c r="L610" s="36"/>
      <c r="M610" s="36"/>
      <c r="N610" s="36"/>
      <c r="O610" s="36"/>
      <c r="P610" s="36"/>
    </row>
    <row r="611" spans="1:16" ht="15.75" customHeight="1">
      <c r="A611" s="37"/>
      <c r="B611" s="37"/>
      <c r="C611" s="37"/>
      <c r="D611" s="37"/>
      <c r="E611" s="37"/>
      <c r="F611" s="37"/>
      <c r="G611" s="37"/>
      <c r="H611" s="37"/>
      <c r="I611" s="37"/>
      <c r="J611" s="37"/>
      <c r="K611" s="37"/>
      <c r="L611" s="37"/>
      <c r="M611" s="37"/>
      <c r="N611" s="37"/>
      <c r="O611" s="37"/>
      <c r="P611" s="37"/>
    </row>
    <row r="612" spans="1:16" ht="15.75" customHeight="1">
      <c r="A612" s="36"/>
      <c r="B612" s="36"/>
      <c r="C612" s="36"/>
      <c r="D612" s="36"/>
      <c r="E612" s="36"/>
      <c r="F612" s="36"/>
      <c r="G612" s="36"/>
      <c r="H612" s="36"/>
      <c r="I612" s="36"/>
      <c r="J612" s="36"/>
      <c r="K612" s="36"/>
      <c r="L612" s="36"/>
      <c r="M612" s="36"/>
      <c r="N612" s="36"/>
      <c r="O612" s="36"/>
      <c r="P612" s="36"/>
    </row>
    <row r="613" spans="1:16" ht="15.75" customHeight="1">
      <c r="A613" s="37"/>
      <c r="B613" s="37"/>
      <c r="C613" s="37"/>
      <c r="D613" s="37"/>
      <c r="E613" s="37"/>
      <c r="F613" s="37"/>
      <c r="G613" s="37"/>
      <c r="H613" s="37"/>
      <c r="I613" s="37"/>
      <c r="J613" s="37"/>
      <c r="K613" s="37"/>
      <c r="L613" s="37"/>
      <c r="M613" s="37"/>
      <c r="N613" s="37"/>
      <c r="O613" s="37"/>
      <c r="P613" s="37"/>
    </row>
    <row r="614" spans="1:16" ht="15.75" customHeight="1">
      <c r="A614" s="36"/>
      <c r="B614" s="36"/>
      <c r="C614" s="36"/>
      <c r="D614" s="36"/>
      <c r="E614" s="36"/>
      <c r="F614" s="36"/>
      <c r="G614" s="36"/>
      <c r="H614" s="36"/>
      <c r="I614" s="36"/>
      <c r="J614" s="36"/>
      <c r="K614" s="36"/>
      <c r="L614" s="36"/>
      <c r="M614" s="36"/>
      <c r="N614" s="36"/>
      <c r="O614" s="36"/>
      <c r="P614" s="36"/>
    </row>
    <row r="615" spans="1:16" ht="15.75" customHeight="1">
      <c r="A615" s="37"/>
      <c r="B615" s="37"/>
      <c r="C615" s="37"/>
      <c r="D615" s="37"/>
      <c r="E615" s="37"/>
      <c r="F615" s="37"/>
      <c r="G615" s="37"/>
      <c r="H615" s="37"/>
      <c r="I615" s="37"/>
      <c r="J615" s="37"/>
      <c r="K615" s="37"/>
      <c r="L615" s="37"/>
      <c r="M615" s="37"/>
      <c r="N615" s="37"/>
      <c r="O615" s="37"/>
      <c r="P615" s="37"/>
    </row>
    <row r="616" spans="1:16" ht="15.75" customHeight="1">
      <c r="A616" s="36"/>
      <c r="B616" s="36"/>
      <c r="C616" s="36"/>
      <c r="D616" s="36"/>
      <c r="E616" s="36"/>
      <c r="F616" s="36"/>
      <c r="G616" s="36"/>
      <c r="H616" s="36"/>
      <c r="I616" s="36"/>
      <c r="J616" s="36"/>
      <c r="K616" s="36"/>
      <c r="L616" s="36"/>
      <c r="M616" s="36"/>
      <c r="N616" s="36"/>
      <c r="O616" s="36"/>
      <c r="P616" s="36"/>
    </row>
    <row r="617" spans="1:16" ht="15.75" customHeight="1">
      <c r="A617" s="37"/>
      <c r="B617" s="37"/>
      <c r="C617" s="37"/>
      <c r="D617" s="37"/>
      <c r="E617" s="37"/>
      <c r="F617" s="37"/>
      <c r="G617" s="37"/>
      <c r="H617" s="37"/>
      <c r="I617" s="37"/>
      <c r="J617" s="37"/>
      <c r="K617" s="37"/>
      <c r="L617" s="37"/>
      <c r="M617" s="37"/>
      <c r="N617" s="37"/>
      <c r="O617" s="37"/>
      <c r="P617" s="37"/>
    </row>
    <row r="618" spans="1:16" ht="15.75" customHeight="1">
      <c r="A618" s="36"/>
      <c r="B618" s="36"/>
      <c r="C618" s="36"/>
      <c r="D618" s="36"/>
      <c r="E618" s="36"/>
      <c r="F618" s="36"/>
      <c r="G618" s="36"/>
      <c r="H618" s="36"/>
      <c r="I618" s="36"/>
      <c r="J618" s="36"/>
      <c r="K618" s="36"/>
      <c r="L618" s="36"/>
      <c r="M618" s="36"/>
      <c r="N618" s="36"/>
      <c r="O618" s="36"/>
      <c r="P618" s="36"/>
    </row>
    <row r="619" spans="1:16" ht="15.75" customHeight="1">
      <c r="A619" s="37"/>
      <c r="B619" s="37"/>
      <c r="C619" s="37"/>
      <c r="D619" s="37"/>
      <c r="E619" s="37"/>
      <c r="F619" s="37"/>
      <c r="G619" s="37"/>
      <c r="H619" s="37"/>
      <c r="I619" s="37"/>
      <c r="J619" s="37"/>
      <c r="K619" s="37"/>
      <c r="L619" s="37"/>
      <c r="M619" s="37"/>
      <c r="N619" s="37"/>
      <c r="O619" s="37"/>
      <c r="P619" s="37"/>
    </row>
    <row r="620" spans="1:16" ht="15.75" customHeight="1">
      <c r="A620" s="36"/>
      <c r="B620" s="36"/>
      <c r="C620" s="36"/>
      <c r="D620" s="36"/>
      <c r="E620" s="36"/>
      <c r="F620" s="36"/>
      <c r="G620" s="36"/>
      <c r="H620" s="36"/>
      <c r="I620" s="36"/>
      <c r="J620" s="36"/>
      <c r="K620" s="36"/>
      <c r="L620" s="36"/>
      <c r="M620" s="36"/>
      <c r="N620" s="36"/>
      <c r="O620" s="36"/>
      <c r="P620" s="36"/>
    </row>
    <row r="621" spans="1:16" ht="15.75" customHeight="1">
      <c r="A621" s="37"/>
      <c r="B621" s="37"/>
      <c r="C621" s="37"/>
      <c r="D621" s="37"/>
      <c r="E621" s="37"/>
      <c r="F621" s="37"/>
      <c r="G621" s="37"/>
      <c r="H621" s="37"/>
      <c r="I621" s="37"/>
      <c r="J621" s="37"/>
      <c r="K621" s="37"/>
      <c r="L621" s="37"/>
      <c r="M621" s="37"/>
      <c r="N621" s="37"/>
      <c r="O621" s="37"/>
      <c r="P621" s="37"/>
    </row>
    <row r="622" spans="1:16" ht="15.75" customHeight="1">
      <c r="A622" s="36"/>
      <c r="B622" s="36"/>
      <c r="C622" s="36"/>
      <c r="D622" s="36"/>
      <c r="E622" s="36"/>
      <c r="F622" s="36"/>
      <c r="G622" s="36"/>
      <c r="H622" s="36"/>
      <c r="I622" s="36"/>
      <c r="J622" s="36"/>
      <c r="K622" s="36"/>
      <c r="L622" s="36"/>
      <c r="M622" s="36"/>
      <c r="N622" s="36"/>
      <c r="O622" s="36"/>
      <c r="P622" s="36"/>
    </row>
    <row r="623" spans="1:16" ht="15.75" customHeight="1">
      <c r="A623" s="37"/>
      <c r="B623" s="37"/>
      <c r="C623" s="37"/>
      <c r="D623" s="37"/>
      <c r="E623" s="37"/>
      <c r="F623" s="37"/>
      <c r="G623" s="37"/>
      <c r="H623" s="37"/>
      <c r="I623" s="37"/>
      <c r="J623" s="37"/>
      <c r="K623" s="37"/>
      <c r="L623" s="37"/>
      <c r="M623" s="37"/>
      <c r="N623" s="37"/>
      <c r="O623" s="37"/>
      <c r="P623" s="37"/>
    </row>
    <row r="624" spans="1:16" ht="15.75" customHeight="1">
      <c r="A624" s="36"/>
      <c r="B624" s="36"/>
      <c r="C624" s="36"/>
      <c r="D624" s="36"/>
      <c r="E624" s="36"/>
      <c r="F624" s="36"/>
      <c r="G624" s="36"/>
      <c r="H624" s="36"/>
      <c r="I624" s="36"/>
      <c r="J624" s="36"/>
      <c r="K624" s="36"/>
      <c r="L624" s="36"/>
      <c r="M624" s="36"/>
      <c r="N624" s="36"/>
      <c r="O624" s="36"/>
      <c r="P624" s="36"/>
    </row>
    <row r="625" spans="1:16" ht="15.75" customHeight="1">
      <c r="A625" s="37"/>
      <c r="B625" s="37"/>
      <c r="C625" s="37"/>
      <c r="D625" s="37"/>
      <c r="E625" s="37"/>
      <c r="F625" s="37"/>
      <c r="G625" s="37"/>
      <c r="H625" s="37"/>
      <c r="I625" s="37"/>
      <c r="J625" s="37"/>
      <c r="K625" s="37"/>
      <c r="L625" s="37"/>
      <c r="M625" s="37"/>
      <c r="N625" s="37"/>
      <c r="O625" s="37"/>
      <c r="P625" s="37"/>
    </row>
    <row r="626" spans="1:16" ht="15.75" customHeight="1">
      <c r="A626" s="36"/>
      <c r="B626" s="36"/>
      <c r="C626" s="36"/>
      <c r="D626" s="36"/>
      <c r="E626" s="36"/>
      <c r="F626" s="36"/>
      <c r="G626" s="36"/>
      <c r="H626" s="36"/>
      <c r="I626" s="36"/>
      <c r="J626" s="36"/>
      <c r="K626" s="36"/>
      <c r="L626" s="36"/>
      <c r="M626" s="36"/>
      <c r="N626" s="36"/>
      <c r="O626" s="36"/>
      <c r="P626" s="36"/>
    </row>
    <row r="627" spans="1:16" ht="15.75" customHeight="1">
      <c r="A627" s="37"/>
      <c r="B627" s="37"/>
      <c r="C627" s="37"/>
      <c r="D627" s="37"/>
      <c r="E627" s="37"/>
      <c r="F627" s="37"/>
      <c r="G627" s="37"/>
      <c r="H627" s="37"/>
      <c r="I627" s="37"/>
      <c r="J627" s="37"/>
      <c r="K627" s="37"/>
      <c r="L627" s="37"/>
      <c r="M627" s="37"/>
      <c r="N627" s="37"/>
      <c r="O627" s="37"/>
      <c r="P627" s="37"/>
    </row>
    <row r="628" spans="1:16" ht="15.75" customHeight="1">
      <c r="A628" s="36"/>
      <c r="B628" s="36"/>
      <c r="C628" s="36"/>
      <c r="D628" s="36"/>
      <c r="E628" s="36"/>
      <c r="F628" s="36"/>
      <c r="G628" s="36"/>
      <c r="H628" s="36"/>
      <c r="I628" s="36"/>
      <c r="J628" s="36"/>
      <c r="K628" s="36"/>
      <c r="L628" s="36"/>
      <c r="M628" s="36"/>
      <c r="N628" s="36"/>
      <c r="O628" s="36"/>
      <c r="P628" s="36"/>
    </row>
    <row r="629" spans="1:16" ht="15.75" customHeight="1">
      <c r="A629" s="37"/>
      <c r="B629" s="37"/>
      <c r="C629" s="37"/>
      <c r="D629" s="37"/>
      <c r="E629" s="37"/>
      <c r="F629" s="37"/>
      <c r="G629" s="37"/>
      <c r="H629" s="37"/>
      <c r="I629" s="37"/>
      <c r="J629" s="37"/>
      <c r="K629" s="37"/>
      <c r="L629" s="37"/>
      <c r="M629" s="37"/>
      <c r="N629" s="37"/>
      <c r="O629" s="37"/>
      <c r="P629" s="37"/>
    </row>
    <row r="630" spans="1:16" ht="15.75" customHeight="1">
      <c r="A630" s="36"/>
      <c r="B630" s="36"/>
      <c r="C630" s="36"/>
      <c r="D630" s="36"/>
      <c r="E630" s="36"/>
      <c r="F630" s="36"/>
      <c r="G630" s="36"/>
      <c r="H630" s="36"/>
      <c r="I630" s="36"/>
      <c r="J630" s="36"/>
      <c r="K630" s="36"/>
      <c r="L630" s="36"/>
      <c r="M630" s="36"/>
      <c r="N630" s="36"/>
      <c r="O630" s="36"/>
      <c r="P630" s="36"/>
    </row>
    <row r="631" spans="1:16" ht="15.75" customHeight="1">
      <c r="A631" s="37"/>
      <c r="B631" s="37"/>
      <c r="C631" s="37"/>
      <c r="D631" s="37"/>
      <c r="E631" s="37"/>
      <c r="F631" s="37"/>
      <c r="G631" s="37"/>
      <c r="H631" s="37"/>
      <c r="I631" s="37"/>
      <c r="J631" s="37"/>
      <c r="K631" s="37"/>
      <c r="L631" s="37"/>
      <c r="M631" s="37"/>
      <c r="N631" s="37"/>
      <c r="O631" s="37"/>
      <c r="P631" s="37"/>
    </row>
    <row r="632" spans="1:16" ht="15.75" customHeight="1">
      <c r="A632" s="36"/>
      <c r="B632" s="36"/>
      <c r="C632" s="36"/>
      <c r="D632" s="36"/>
      <c r="E632" s="36"/>
      <c r="F632" s="36"/>
      <c r="G632" s="36"/>
      <c r="H632" s="36"/>
      <c r="I632" s="36"/>
      <c r="J632" s="36"/>
      <c r="K632" s="36"/>
      <c r="L632" s="36"/>
      <c r="M632" s="36"/>
      <c r="N632" s="36"/>
      <c r="O632" s="36"/>
      <c r="P632" s="36"/>
    </row>
    <row r="633" spans="1:16" ht="15.75" customHeight="1">
      <c r="A633" s="37"/>
      <c r="B633" s="37"/>
      <c r="C633" s="37"/>
      <c r="D633" s="37"/>
      <c r="E633" s="37"/>
      <c r="F633" s="37"/>
      <c r="G633" s="37"/>
      <c r="H633" s="37"/>
      <c r="I633" s="37"/>
      <c r="J633" s="37"/>
      <c r="K633" s="37"/>
      <c r="L633" s="37"/>
      <c r="M633" s="37"/>
      <c r="N633" s="37"/>
      <c r="O633" s="37"/>
      <c r="P633" s="37"/>
    </row>
    <row r="634" spans="1:16" ht="15.75" customHeight="1">
      <c r="A634" s="36"/>
      <c r="B634" s="36"/>
      <c r="C634" s="36"/>
      <c r="D634" s="36"/>
      <c r="E634" s="36"/>
      <c r="F634" s="36"/>
      <c r="G634" s="36"/>
      <c r="H634" s="36"/>
      <c r="I634" s="36"/>
      <c r="J634" s="36"/>
      <c r="K634" s="36"/>
      <c r="L634" s="36"/>
      <c r="M634" s="36"/>
      <c r="N634" s="36"/>
      <c r="O634" s="36"/>
      <c r="P634" s="36"/>
    </row>
    <row r="635" spans="1:16" ht="15.75" customHeight="1">
      <c r="A635" s="37"/>
      <c r="B635" s="37"/>
      <c r="C635" s="37"/>
      <c r="D635" s="37"/>
      <c r="E635" s="37"/>
      <c r="F635" s="37"/>
      <c r="G635" s="37"/>
      <c r="H635" s="37"/>
      <c r="I635" s="37"/>
      <c r="J635" s="37"/>
      <c r="K635" s="37"/>
      <c r="L635" s="37"/>
      <c r="M635" s="37"/>
      <c r="N635" s="37"/>
      <c r="O635" s="37"/>
      <c r="P635" s="37"/>
    </row>
    <row r="636" spans="1:16" ht="15.75" customHeight="1">
      <c r="A636" s="36"/>
      <c r="B636" s="36"/>
      <c r="C636" s="36"/>
      <c r="D636" s="36"/>
      <c r="E636" s="36"/>
      <c r="F636" s="36"/>
      <c r="G636" s="36"/>
      <c r="H636" s="36"/>
      <c r="I636" s="36"/>
      <c r="J636" s="36"/>
      <c r="K636" s="36"/>
      <c r="L636" s="36"/>
      <c r="M636" s="36"/>
      <c r="N636" s="36"/>
      <c r="O636" s="36"/>
      <c r="P636" s="36"/>
    </row>
    <row r="637" spans="1:16" ht="15.75" customHeight="1">
      <c r="A637" s="37"/>
      <c r="B637" s="37"/>
      <c r="C637" s="37"/>
      <c r="D637" s="37"/>
      <c r="E637" s="37"/>
      <c r="F637" s="37"/>
      <c r="G637" s="37"/>
      <c r="H637" s="37"/>
      <c r="I637" s="37"/>
      <c r="J637" s="37"/>
      <c r="K637" s="37"/>
      <c r="L637" s="37"/>
      <c r="M637" s="37"/>
      <c r="N637" s="37"/>
      <c r="O637" s="37"/>
      <c r="P637" s="37"/>
    </row>
    <row r="638" spans="1:16" ht="15.75" customHeight="1">
      <c r="A638" s="36"/>
      <c r="B638" s="36"/>
      <c r="C638" s="36"/>
      <c r="D638" s="36"/>
      <c r="E638" s="36"/>
      <c r="F638" s="36"/>
      <c r="G638" s="36"/>
      <c r="H638" s="36"/>
      <c r="I638" s="36"/>
      <c r="J638" s="36"/>
      <c r="K638" s="36"/>
      <c r="L638" s="36"/>
      <c r="M638" s="36"/>
      <c r="N638" s="36"/>
      <c r="O638" s="36"/>
      <c r="P638" s="36"/>
    </row>
    <row r="639" spans="1:16" ht="15.75" customHeight="1">
      <c r="A639" s="37"/>
      <c r="B639" s="37"/>
      <c r="C639" s="37"/>
      <c r="D639" s="37"/>
      <c r="E639" s="37"/>
      <c r="F639" s="37"/>
      <c r="G639" s="37"/>
      <c r="H639" s="37"/>
      <c r="I639" s="37"/>
      <c r="J639" s="37"/>
      <c r="K639" s="37"/>
      <c r="L639" s="37"/>
      <c r="M639" s="37"/>
      <c r="N639" s="37"/>
      <c r="O639" s="37"/>
      <c r="P639" s="37"/>
    </row>
    <row r="640" spans="1:16" ht="15.75" customHeight="1">
      <c r="A640" s="36"/>
      <c r="B640" s="36"/>
      <c r="C640" s="36"/>
      <c r="D640" s="36"/>
      <c r="E640" s="36"/>
      <c r="F640" s="36"/>
      <c r="G640" s="36"/>
      <c r="H640" s="36"/>
      <c r="I640" s="36"/>
      <c r="J640" s="36"/>
      <c r="K640" s="36"/>
      <c r="L640" s="36"/>
      <c r="M640" s="36"/>
      <c r="N640" s="36"/>
      <c r="O640" s="36"/>
      <c r="P640" s="36"/>
    </row>
    <row r="641" spans="1:16" ht="15.75" customHeight="1">
      <c r="A641" s="37"/>
      <c r="B641" s="37"/>
      <c r="C641" s="37"/>
      <c r="D641" s="37"/>
      <c r="E641" s="37"/>
      <c r="F641" s="37"/>
      <c r="G641" s="37"/>
      <c r="H641" s="37"/>
      <c r="I641" s="37"/>
      <c r="J641" s="37"/>
      <c r="K641" s="37"/>
      <c r="L641" s="37"/>
      <c r="M641" s="37"/>
      <c r="N641" s="37"/>
      <c r="O641" s="37"/>
      <c r="P641" s="37"/>
    </row>
    <row r="642" spans="1:16" ht="15.75" customHeight="1">
      <c r="A642" s="36"/>
      <c r="B642" s="36"/>
      <c r="C642" s="36"/>
      <c r="D642" s="36"/>
      <c r="E642" s="36"/>
      <c r="F642" s="36"/>
      <c r="G642" s="36"/>
      <c r="H642" s="36"/>
      <c r="I642" s="36"/>
      <c r="J642" s="36"/>
      <c r="K642" s="36"/>
      <c r="L642" s="36"/>
      <c r="M642" s="36"/>
      <c r="N642" s="36"/>
      <c r="O642" s="36"/>
      <c r="P642" s="36"/>
    </row>
    <row r="643" spans="1:16" ht="15.75" customHeight="1">
      <c r="A643" s="37"/>
      <c r="B643" s="37"/>
      <c r="C643" s="37"/>
      <c r="D643" s="37"/>
      <c r="E643" s="37"/>
      <c r="F643" s="37"/>
      <c r="G643" s="37"/>
      <c r="H643" s="37"/>
      <c r="I643" s="37"/>
      <c r="J643" s="37"/>
      <c r="K643" s="37"/>
      <c r="L643" s="37"/>
      <c r="M643" s="37"/>
      <c r="N643" s="37"/>
      <c r="O643" s="37"/>
      <c r="P643" s="37"/>
    </row>
    <row r="644" spans="1:16" ht="15.75" customHeight="1">
      <c r="A644" s="36"/>
      <c r="B644" s="36"/>
      <c r="C644" s="36"/>
      <c r="D644" s="36"/>
      <c r="E644" s="36"/>
      <c r="F644" s="36"/>
      <c r="G644" s="36"/>
      <c r="H644" s="36"/>
      <c r="I644" s="36"/>
      <c r="J644" s="36"/>
      <c r="K644" s="36"/>
      <c r="L644" s="36"/>
      <c r="M644" s="36"/>
      <c r="N644" s="36"/>
      <c r="O644" s="36"/>
      <c r="P644" s="36"/>
    </row>
    <row r="645" spans="1:16" ht="15.75" customHeight="1">
      <c r="A645" s="37"/>
      <c r="B645" s="37"/>
      <c r="C645" s="37"/>
      <c r="D645" s="37"/>
      <c r="E645" s="37"/>
      <c r="F645" s="37"/>
      <c r="G645" s="37"/>
      <c r="H645" s="37"/>
      <c r="I645" s="37"/>
      <c r="J645" s="37"/>
      <c r="K645" s="37"/>
      <c r="L645" s="37"/>
      <c r="M645" s="37"/>
      <c r="N645" s="37"/>
      <c r="O645" s="37"/>
      <c r="P645" s="37"/>
    </row>
    <row r="646" spans="1:16" ht="15.75" customHeight="1">
      <c r="A646" s="36"/>
      <c r="B646" s="36"/>
      <c r="C646" s="36"/>
      <c r="D646" s="36"/>
      <c r="E646" s="36"/>
      <c r="F646" s="36"/>
      <c r="G646" s="36"/>
      <c r="H646" s="36"/>
      <c r="I646" s="36"/>
      <c r="J646" s="36"/>
      <c r="K646" s="36"/>
      <c r="L646" s="36"/>
      <c r="M646" s="36"/>
      <c r="N646" s="36"/>
      <c r="O646" s="36"/>
      <c r="P646" s="36"/>
    </row>
    <row r="647" spans="1:16" ht="15.75" customHeight="1">
      <c r="A647" s="37"/>
      <c r="B647" s="37"/>
      <c r="C647" s="37"/>
      <c r="D647" s="37"/>
      <c r="E647" s="37"/>
      <c r="F647" s="37"/>
      <c r="G647" s="37"/>
      <c r="H647" s="37"/>
      <c r="I647" s="37"/>
      <c r="J647" s="37"/>
      <c r="K647" s="37"/>
      <c r="L647" s="37"/>
      <c r="M647" s="37"/>
      <c r="N647" s="37"/>
      <c r="O647" s="37"/>
      <c r="P647" s="37"/>
    </row>
    <row r="648" spans="1:16" ht="15.75" customHeight="1">
      <c r="A648" s="36"/>
      <c r="B648" s="36"/>
      <c r="C648" s="36"/>
      <c r="D648" s="36"/>
      <c r="E648" s="36"/>
      <c r="F648" s="36"/>
      <c r="G648" s="36"/>
      <c r="H648" s="36"/>
      <c r="I648" s="36"/>
      <c r="J648" s="36"/>
      <c r="K648" s="36"/>
      <c r="L648" s="36"/>
      <c r="M648" s="36"/>
      <c r="N648" s="36"/>
      <c r="O648" s="36"/>
      <c r="P648" s="36"/>
    </row>
    <row r="649" spans="1:16" ht="15.75" customHeight="1">
      <c r="A649" s="37"/>
      <c r="B649" s="37"/>
      <c r="C649" s="37"/>
      <c r="D649" s="37"/>
      <c r="E649" s="37"/>
      <c r="F649" s="37"/>
      <c r="G649" s="37"/>
      <c r="H649" s="37"/>
      <c r="I649" s="37"/>
      <c r="J649" s="37"/>
      <c r="K649" s="37"/>
      <c r="L649" s="37"/>
      <c r="M649" s="37"/>
      <c r="N649" s="37"/>
      <c r="O649" s="37"/>
      <c r="P649" s="37"/>
    </row>
    <row r="650" spans="1:16" ht="15.75" customHeight="1">
      <c r="A650" s="36"/>
      <c r="B650" s="36"/>
      <c r="C650" s="36"/>
      <c r="D650" s="36"/>
      <c r="E650" s="36"/>
      <c r="F650" s="36"/>
      <c r="G650" s="36"/>
      <c r="H650" s="36"/>
      <c r="I650" s="36"/>
      <c r="J650" s="36"/>
      <c r="K650" s="36"/>
      <c r="L650" s="36"/>
      <c r="M650" s="36"/>
      <c r="N650" s="36"/>
      <c r="O650" s="36"/>
      <c r="P650" s="36"/>
    </row>
    <row r="651" spans="1:16" ht="15.75" customHeight="1">
      <c r="A651" s="37"/>
      <c r="B651" s="37"/>
      <c r="C651" s="37"/>
      <c r="D651" s="37"/>
      <c r="E651" s="37"/>
      <c r="F651" s="37"/>
      <c r="G651" s="37"/>
      <c r="H651" s="37"/>
      <c r="I651" s="37"/>
      <c r="J651" s="37"/>
      <c r="K651" s="37"/>
      <c r="L651" s="37"/>
      <c r="M651" s="37"/>
      <c r="N651" s="37"/>
      <c r="O651" s="37"/>
      <c r="P651" s="37"/>
    </row>
    <row r="652" spans="1:16" ht="15.75" customHeight="1">
      <c r="A652" s="36"/>
      <c r="B652" s="36"/>
      <c r="C652" s="36"/>
      <c r="D652" s="36"/>
      <c r="E652" s="36"/>
      <c r="F652" s="36"/>
      <c r="G652" s="36"/>
      <c r="H652" s="36"/>
      <c r="I652" s="36"/>
      <c r="J652" s="36"/>
      <c r="K652" s="36"/>
      <c r="L652" s="36"/>
      <c r="M652" s="36"/>
      <c r="N652" s="36"/>
      <c r="O652" s="36"/>
      <c r="P652" s="36"/>
    </row>
    <row r="653" spans="1:16" ht="15.75" customHeight="1">
      <c r="A653" s="37"/>
      <c r="B653" s="37"/>
      <c r="C653" s="37"/>
      <c r="D653" s="37"/>
      <c r="E653" s="37"/>
      <c r="F653" s="37"/>
      <c r="G653" s="37"/>
      <c r="H653" s="37"/>
      <c r="I653" s="37"/>
      <c r="J653" s="37"/>
      <c r="K653" s="37"/>
      <c r="L653" s="37"/>
      <c r="M653" s="37"/>
      <c r="N653" s="37"/>
      <c r="O653" s="37"/>
      <c r="P653" s="37"/>
    </row>
    <row r="654" spans="1:16" ht="15.75" customHeight="1">
      <c r="A654" s="36"/>
      <c r="B654" s="36"/>
      <c r="C654" s="36"/>
      <c r="D654" s="36"/>
      <c r="E654" s="36"/>
      <c r="F654" s="36"/>
      <c r="G654" s="36"/>
      <c r="H654" s="36"/>
      <c r="I654" s="36"/>
      <c r="J654" s="36"/>
      <c r="K654" s="36"/>
      <c r="L654" s="36"/>
      <c r="M654" s="36"/>
      <c r="N654" s="36"/>
      <c r="O654" s="36"/>
      <c r="P654" s="36"/>
    </row>
    <row r="655" spans="1:16" ht="15.75" customHeight="1">
      <c r="A655" s="37"/>
      <c r="B655" s="37"/>
      <c r="C655" s="37"/>
      <c r="D655" s="37"/>
      <c r="E655" s="37"/>
      <c r="F655" s="37"/>
      <c r="G655" s="37"/>
      <c r="H655" s="37"/>
      <c r="I655" s="37"/>
      <c r="J655" s="37"/>
      <c r="K655" s="37"/>
      <c r="L655" s="37"/>
      <c r="M655" s="37"/>
      <c r="N655" s="37"/>
      <c r="O655" s="37"/>
      <c r="P655" s="37"/>
    </row>
    <row r="656" spans="1:16" ht="15.75" customHeight="1">
      <c r="A656" s="36"/>
      <c r="B656" s="36"/>
      <c r="C656" s="36"/>
      <c r="D656" s="36"/>
      <c r="E656" s="36"/>
      <c r="F656" s="36"/>
      <c r="G656" s="36"/>
      <c r="H656" s="36"/>
      <c r="I656" s="36"/>
      <c r="J656" s="36"/>
      <c r="K656" s="36"/>
      <c r="L656" s="36"/>
      <c r="M656" s="36"/>
      <c r="N656" s="36"/>
      <c r="O656" s="36"/>
      <c r="P656" s="36"/>
    </row>
    <row r="657" spans="1:16" ht="15.75" customHeight="1">
      <c r="A657" s="37"/>
      <c r="B657" s="37"/>
      <c r="C657" s="37"/>
      <c r="D657" s="37"/>
      <c r="E657" s="37"/>
      <c r="F657" s="37"/>
      <c r="G657" s="37"/>
      <c r="H657" s="37"/>
      <c r="I657" s="37"/>
      <c r="J657" s="37"/>
      <c r="K657" s="37"/>
      <c r="L657" s="37"/>
      <c r="M657" s="37"/>
      <c r="N657" s="37"/>
      <c r="O657" s="37"/>
      <c r="P657" s="37"/>
    </row>
    <row r="658" spans="1:16" ht="15.75" customHeight="1">
      <c r="A658" s="36"/>
      <c r="B658" s="36"/>
      <c r="C658" s="36"/>
      <c r="D658" s="36"/>
      <c r="E658" s="36"/>
      <c r="F658" s="36"/>
      <c r="G658" s="36"/>
      <c r="H658" s="36"/>
      <c r="I658" s="36"/>
      <c r="J658" s="36"/>
      <c r="K658" s="36"/>
      <c r="L658" s="36"/>
      <c r="M658" s="36"/>
      <c r="N658" s="36"/>
      <c r="O658" s="36"/>
      <c r="P658" s="36"/>
    </row>
    <row r="659" spans="1:16" ht="15.75" customHeight="1">
      <c r="A659" s="37"/>
      <c r="B659" s="37"/>
      <c r="C659" s="37"/>
      <c r="D659" s="37"/>
      <c r="E659" s="37"/>
      <c r="F659" s="37"/>
      <c r="G659" s="37"/>
      <c r="H659" s="37"/>
      <c r="I659" s="37"/>
      <c r="J659" s="37"/>
      <c r="K659" s="37"/>
      <c r="L659" s="37"/>
      <c r="M659" s="37"/>
      <c r="N659" s="37"/>
      <c r="O659" s="37"/>
      <c r="P659" s="37"/>
    </row>
    <row r="660" spans="1:16" ht="15.75" customHeight="1">
      <c r="A660" s="36"/>
      <c r="B660" s="36"/>
      <c r="C660" s="36"/>
      <c r="D660" s="36"/>
      <c r="E660" s="36"/>
      <c r="F660" s="36"/>
      <c r="G660" s="36"/>
      <c r="H660" s="36"/>
      <c r="I660" s="36"/>
      <c r="J660" s="36"/>
      <c r="K660" s="36"/>
      <c r="L660" s="36"/>
      <c r="M660" s="36"/>
      <c r="N660" s="36"/>
      <c r="O660" s="36"/>
      <c r="P660" s="36"/>
    </row>
    <row r="661" spans="1:16" ht="15.75" customHeight="1">
      <c r="A661" s="37"/>
      <c r="B661" s="37"/>
      <c r="C661" s="37"/>
      <c r="D661" s="37"/>
      <c r="E661" s="37"/>
      <c r="F661" s="37"/>
      <c r="G661" s="37"/>
      <c r="H661" s="37"/>
      <c r="I661" s="37"/>
      <c r="J661" s="37"/>
      <c r="K661" s="37"/>
      <c r="L661" s="37"/>
      <c r="M661" s="37"/>
      <c r="N661" s="37"/>
      <c r="O661" s="37"/>
      <c r="P661" s="37"/>
    </row>
    <row r="662" spans="1:16" ht="15.75" customHeight="1">
      <c r="A662" s="36"/>
      <c r="B662" s="36"/>
      <c r="C662" s="36"/>
      <c r="D662" s="36"/>
      <c r="E662" s="36"/>
      <c r="F662" s="36"/>
      <c r="G662" s="36"/>
      <c r="H662" s="36"/>
      <c r="I662" s="36"/>
      <c r="J662" s="36"/>
      <c r="K662" s="36"/>
      <c r="L662" s="36"/>
      <c r="M662" s="36"/>
      <c r="N662" s="36"/>
      <c r="O662" s="36"/>
      <c r="P662" s="36"/>
    </row>
    <row r="663" spans="1:16" ht="15.75" customHeight="1">
      <c r="A663" s="37"/>
      <c r="B663" s="37"/>
      <c r="C663" s="37"/>
      <c r="D663" s="37"/>
      <c r="E663" s="37"/>
      <c r="F663" s="37"/>
      <c r="G663" s="37"/>
      <c r="H663" s="37"/>
      <c r="I663" s="37"/>
      <c r="J663" s="37"/>
      <c r="K663" s="37"/>
      <c r="L663" s="37"/>
      <c r="M663" s="37"/>
      <c r="N663" s="37"/>
      <c r="O663" s="37"/>
      <c r="P663" s="37"/>
    </row>
    <row r="664" spans="1:16" ht="15.75" customHeight="1">
      <c r="A664" s="36"/>
      <c r="B664" s="36"/>
      <c r="C664" s="36"/>
      <c r="D664" s="36"/>
      <c r="E664" s="36"/>
      <c r="F664" s="36"/>
      <c r="G664" s="36"/>
      <c r="H664" s="36"/>
      <c r="I664" s="36"/>
      <c r="J664" s="36"/>
      <c r="K664" s="36"/>
      <c r="L664" s="36"/>
      <c r="M664" s="36"/>
      <c r="N664" s="36"/>
      <c r="O664" s="36"/>
      <c r="P664" s="36"/>
    </row>
    <row r="665" spans="1:16" ht="15.75" customHeight="1">
      <c r="A665" s="37"/>
      <c r="B665" s="37"/>
      <c r="C665" s="37"/>
      <c r="D665" s="37"/>
      <c r="E665" s="37"/>
      <c r="F665" s="37"/>
      <c r="G665" s="37"/>
      <c r="H665" s="37"/>
      <c r="I665" s="37"/>
      <c r="J665" s="37"/>
      <c r="K665" s="37"/>
      <c r="L665" s="37"/>
      <c r="M665" s="37"/>
      <c r="N665" s="37"/>
      <c r="O665" s="37"/>
      <c r="P665" s="37"/>
    </row>
    <row r="666" spans="1:16" ht="15.75" customHeight="1">
      <c r="A666" s="36"/>
      <c r="B666" s="36"/>
      <c r="C666" s="36"/>
      <c r="D666" s="36"/>
      <c r="E666" s="36"/>
      <c r="F666" s="36"/>
      <c r="G666" s="36"/>
      <c r="H666" s="36"/>
      <c r="I666" s="36"/>
      <c r="J666" s="36"/>
      <c r="K666" s="36"/>
      <c r="L666" s="36"/>
      <c r="M666" s="36"/>
      <c r="N666" s="36"/>
      <c r="O666" s="36"/>
      <c r="P666" s="36"/>
    </row>
    <row r="667" spans="1:16" ht="15.75" customHeight="1">
      <c r="A667" s="37"/>
      <c r="B667" s="37"/>
      <c r="C667" s="37"/>
      <c r="D667" s="37"/>
      <c r="E667" s="37"/>
      <c r="F667" s="37"/>
      <c r="G667" s="37"/>
      <c r="H667" s="37"/>
      <c r="I667" s="37"/>
      <c r="J667" s="37"/>
      <c r="K667" s="37"/>
      <c r="L667" s="37"/>
      <c r="M667" s="37"/>
      <c r="N667" s="37"/>
      <c r="O667" s="37"/>
      <c r="P667" s="37"/>
    </row>
    <row r="668" spans="1:16" ht="15.75" customHeight="1">
      <c r="A668" s="36"/>
      <c r="B668" s="36"/>
      <c r="C668" s="36"/>
      <c r="D668" s="36"/>
      <c r="E668" s="36"/>
      <c r="F668" s="36"/>
      <c r="G668" s="36"/>
      <c r="H668" s="36"/>
      <c r="I668" s="36"/>
      <c r="J668" s="36"/>
      <c r="K668" s="36"/>
      <c r="L668" s="36"/>
      <c r="M668" s="36"/>
      <c r="N668" s="36"/>
      <c r="O668" s="36"/>
      <c r="P668" s="36"/>
    </row>
    <row r="669" spans="1:16" ht="15.75" customHeight="1">
      <c r="A669" s="37"/>
      <c r="B669" s="37"/>
      <c r="C669" s="37"/>
      <c r="D669" s="37"/>
      <c r="E669" s="37"/>
      <c r="F669" s="37"/>
      <c r="G669" s="37"/>
      <c r="H669" s="37"/>
      <c r="I669" s="37"/>
      <c r="J669" s="37"/>
      <c r="K669" s="37"/>
      <c r="L669" s="37"/>
      <c r="M669" s="37"/>
      <c r="N669" s="37"/>
      <c r="O669" s="37"/>
      <c r="P669" s="37"/>
    </row>
    <row r="670" spans="1:16" ht="15.75" customHeight="1">
      <c r="A670" s="36"/>
      <c r="B670" s="36"/>
      <c r="C670" s="36"/>
      <c r="D670" s="36"/>
      <c r="E670" s="36"/>
      <c r="F670" s="36"/>
      <c r="G670" s="36"/>
      <c r="H670" s="36"/>
      <c r="I670" s="36"/>
      <c r="J670" s="36"/>
      <c r="K670" s="36"/>
      <c r="L670" s="36"/>
      <c r="M670" s="36"/>
      <c r="N670" s="36"/>
      <c r="O670" s="36"/>
      <c r="P670" s="36"/>
    </row>
    <row r="671" spans="1:16" ht="15.75" customHeight="1">
      <c r="A671" s="37"/>
      <c r="B671" s="37"/>
      <c r="C671" s="37"/>
      <c r="D671" s="37"/>
      <c r="E671" s="37"/>
      <c r="F671" s="37"/>
      <c r="G671" s="37"/>
      <c r="H671" s="37"/>
      <c r="I671" s="37"/>
      <c r="J671" s="37"/>
      <c r="K671" s="37"/>
      <c r="L671" s="37"/>
      <c r="M671" s="37"/>
      <c r="N671" s="37"/>
      <c r="O671" s="37"/>
      <c r="P671" s="37"/>
    </row>
    <row r="672" spans="1:16" ht="15.75" customHeight="1">
      <c r="A672" s="36"/>
      <c r="B672" s="36"/>
      <c r="C672" s="36"/>
      <c r="D672" s="36"/>
      <c r="E672" s="36"/>
      <c r="F672" s="36"/>
      <c r="G672" s="36"/>
      <c r="H672" s="36"/>
      <c r="I672" s="36"/>
      <c r="J672" s="36"/>
      <c r="K672" s="36"/>
      <c r="L672" s="36"/>
      <c r="M672" s="36"/>
      <c r="N672" s="36"/>
      <c r="O672" s="36"/>
      <c r="P672" s="36"/>
    </row>
    <row r="673" spans="1:16" ht="15.75" customHeight="1">
      <c r="A673" s="37"/>
      <c r="B673" s="37"/>
      <c r="C673" s="37"/>
      <c r="D673" s="37"/>
      <c r="E673" s="37"/>
      <c r="F673" s="37"/>
      <c r="G673" s="37"/>
      <c r="H673" s="37"/>
      <c r="I673" s="37"/>
      <c r="J673" s="37"/>
      <c r="K673" s="37"/>
      <c r="L673" s="37"/>
      <c r="M673" s="37"/>
      <c r="N673" s="37"/>
      <c r="O673" s="37"/>
      <c r="P673" s="37"/>
    </row>
    <row r="674" spans="1:16" ht="15.75" customHeight="1">
      <c r="A674" s="36"/>
      <c r="B674" s="36"/>
      <c r="C674" s="36"/>
      <c r="D674" s="36"/>
      <c r="E674" s="36"/>
      <c r="F674" s="36"/>
      <c r="G674" s="36"/>
      <c r="H674" s="36"/>
      <c r="I674" s="36"/>
      <c r="J674" s="36"/>
      <c r="K674" s="36"/>
      <c r="L674" s="36"/>
      <c r="M674" s="36"/>
      <c r="N674" s="36"/>
      <c r="O674" s="36"/>
      <c r="P674" s="36"/>
    </row>
    <row r="675" spans="1:16" ht="15.75" customHeight="1">
      <c r="A675" s="37"/>
      <c r="B675" s="37"/>
      <c r="C675" s="37"/>
      <c r="D675" s="37"/>
      <c r="E675" s="37"/>
      <c r="F675" s="37"/>
      <c r="G675" s="37"/>
      <c r="H675" s="37"/>
      <c r="I675" s="37"/>
      <c r="J675" s="37"/>
      <c r="K675" s="37"/>
      <c r="L675" s="37"/>
      <c r="M675" s="37"/>
      <c r="N675" s="37"/>
      <c r="O675" s="37"/>
      <c r="P675" s="37"/>
    </row>
    <row r="676" spans="1:16" ht="15.75" customHeight="1">
      <c r="A676" s="36"/>
      <c r="B676" s="36"/>
      <c r="C676" s="36"/>
      <c r="D676" s="36"/>
      <c r="E676" s="36"/>
      <c r="F676" s="36"/>
      <c r="G676" s="36"/>
      <c r="H676" s="36"/>
      <c r="I676" s="36"/>
      <c r="J676" s="36"/>
      <c r="K676" s="36"/>
      <c r="L676" s="36"/>
      <c r="M676" s="36"/>
      <c r="N676" s="36"/>
      <c r="O676" s="36"/>
      <c r="P676" s="36"/>
    </row>
    <row r="677" spans="1:16" ht="15.75" customHeight="1">
      <c r="A677" s="37"/>
      <c r="B677" s="37"/>
      <c r="C677" s="37"/>
      <c r="D677" s="37"/>
      <c r="E677" s="37"/>
      <c r="F677" s="37"/>
      <c r="G677" s="37"/>
      <c r="H677" s="37"/>
      <c r="I677" s="37"/>
      <c r="J677" s="37"/>
      <c r="K677" s="37"/>
      <c r="L677" s="37"/>
      <c r="M677" s="37"/>
      <c r="N677" s="37"/>
      <c r="O677" s="37"/>
      <c r="P677" s="37"/>
    </row>
    <row r="678" spans="1:16" ht="15.75" customHeight="1">
      <c r="A678" s="36"/>
      <c r="B678" s="36"/>
      <c r="C678" s="36"/>
      <c r="D678" s="36"/>
      <c r="E678" s="36"/>
      <c r="F678" s="36"/>
      <c r="G678" s="36"/>
      <c r="H678" s="36"/>
      <c r="I678" s="36"/>
      <c r="J678" s="36"/>
      <c r="K678" s="36"/>
      <c r="L678" s="36"/>
      <c r="M678" s="36"/>
      <c r="N678" s="36"/>
      <c r="O678" s="36"/>
      <c r="P678" s="36"/>
    </row>
    <row r="679" spans="1:16" ht="15.75" customHeight="1">
      <c r="A679" s="37"/>
      <c r="B679" s="37"/>
      <c r="C679" s="37"/>
      <c r="D679" s="37"/>
      <c r="E679" s="37"/>
      <c r="F679" s="37"/>
      <c r="G679" s="37"/>
      <c r="H679" s="37"/>
      <c r="I679" s="37"/>
      <c r="J679" s="37"/>
      <c r="K679" s="37"/>
      <c r="L679" s="37"/>
      <c r="M679" s="37"/>
      <c r="N679" s="37"/>
      <c r="O679" s="37"/>
      <c r="P679" s="37"/>
    </row>
    <row r="680" spans="1:16" ht="15.75" customHeight="1">
      <c r="A680" s="36"/>
      <c r="B680" s="36"/>
      <c r="C680" s="36"/>
      <c r="D680" s="36"/>
      <c r="E680" s="36"/>
      <c r="F680" s="36"/>
      <c r="G680" s="36"/>
      <c r="H680" s="36"/>
      <c r="I680" s="36"/>
      <c r="J680" s="36"/>
      <c r="K680" s="36"/>
      <c r="L680" s="36"/>
      <c r="M680" s="36"/>
      <c r="N680" s="36"/>
      <c r="O680" s="36"/>
      <c r="P680" s="36"/>
    </row>
    <row r="681" spans="1:16" ht="15.75" customHeight="1">
      <c r="A681" s="37"/>
      <c r="B681" s="37"/>
      <c r="C681" s="37"/>
      <c r="D681" s="37"/>
      <c r="E681" s="37"/>
      <c r="F681" s="37"/>
      <c r="G681" s="37"/>
      <c r="H681" s="37"/>
      <c r="I681" s="37"/>
      <c r="J681" s="37"/>
      <c r="K681" s="37"/>
      <c r="L681" s="37"/>
      <c r="M681" s="37"/>
      <c r="N681" s="37"/>
      <c r="O681" s="37"/>
      <c r="P681" s="37"/>
    </row>
    <row r="682" spans="1:16" ht="15.75" customHeight="1">
      <c r="A682" s="36"/>
      <c r="B682" s="36"/>
      <c r="C682" s="36"/>
      <c r="D682" s="36"/>
      <c r="E682" s="36"/>
      <c r="F682" s="36"/>
      <c r="G682" s="36"/>
      <c r="H682" s="36"/>
      <c r="I682" s="36"/>
      <c r="J682" s="36"/>
      <c r="K682" s="36"/>
      <c r="L682" s="36"/>
      <c r="M682" s="36"/>
      <c r="N682" s="36"/>
      <c r="O682" s="36"/>
      <c r="P682" s="36"/>
    </row>
    <row r="683" spans="1:16" ht="15.75" customHeight="1">
      <c r="A683" s="37"/>
      <c r="B683" s="37"/>
      <c r="C683" s="37"/>
      <c r="D683" s="37"/>
      <c r="E683" s="37"/>
      <c r="F683" s="37"/>
      <c r="G683" s="37"/>
      <c r="H683" s="37"/>
      <c r="I683" s="37"/>
      <c r="J683" s="37"/>
      <c r="K683" s="37"/>
      <c r="L683" s="37"/>
      <c r="M683" s="37"/>
      <c r="N683" s="37"/>
      <c r="O683" s="37"/>
      <c r="P683" s="37"/>
    </row>
    <row r="684" spans="1:16" ht="15.75" customHeight="1">
      <c r="A684" s="36"/>
      <c r="B684" s="36"/>
      <c r="C684" s="36"/>
      <c r="D684" s="36"/>
      <c r="E684" s="36"/>
      <c r="F684" s="36"/>
      <c r="G684" s="36"/>
      <c r="H684" s="36"/>
      <c r="I684" s="36"/>
      <c r="J684" s="36"/>
      <c r="K684" s="36"/>
      <c r="L684" s="36"/>
      <c r="M684" s="36"/>
      <c r="N684" s="36"/>
      <c r="O684" s="36"/>
      <c r="P684" s="36"/>
    </row>
    <row r="685" spans="1:16" ht="15.75" customHeight="1">
      <c r="A685" s="37"/>
      <c r="B685" s="37"/>
      <c r="C685" s="37"/>
      <c r="D685" s="37"/>
      <c r="E685" s="37"/>
      <c r="F685" s="37"/>
      <c r="G685" s="37"/>
      <c r="H685" s="37"/>
      <c r="I685" s="37"/>
      <c r="J685" s="37"/>
      <c r="K685" s="37"/>
      <c r="L685" s="37"/>
      <c r="M685" s="37"/>
      <c r="N685" s="37"/>
      <c r="O685" s="37"/>
      <c r="P685" s="37"/>
    </row>
    <row r="686" spans="1:16" ht="15.75" customHeight="1">
      <c r="A686" s="36"/>
      <c r="B686" s="36"/>
      <c r="C686" s="36"/>
      <c r="D686" s="36"/>
      <c r="E686" s="36"/>
      <c r="F686" s="36"/>
      <c r="G686" s="36"/>
      <c r="H686" s="36"/>
      <c r="I686" s="36"/>
      <c r="J686" s="36"/>
      <c r="K686" s="36"/>
      <c r="L686" s="36"/>
      <c r="M686" s="36"/>
      <c r="N686" s="36"/>
      <c r="O686" s="36"/>
      <c r="P686" s="36"/>
    </row>
    <row r="687" spans="1:16" ht="15.75" customHeight="1">
      <c r="A687" s="37"/>
      <c r="B687" s="37"/>
      <c r="C687" s="37"/>
      <c r="D687" s="37"/>
      <c r="E687" s="37"/>
      <c r="F687" s="37"/>
      <c r="G687" s="37"/>
      <c r="H687" s="37"/>
      <c r="I687" s="37"/>
      <c r="J687" s="37"/>
      <c r="K687" s="37"/>
      <c r="L687" s="37"/>
      <c r="M687" s="37"/>
      <c r="N687" s="37"/>
      <c r="O687" s="37"/>
      <c r="P687" s="37"/>
    </row>
    <row r="688" spans="1:16" ht="15.75" customHeight="1">
      <c r="A688" s="36"/>
      <c r="B688" s="36"/>
      <c r="C688" s="36"/>
      <c r="D688" s="36"/>
      <c r="E688" s="36"/>
      <c r="F688" s="36"/>
      <c r="G688" s="36"/>
      <c r="H688" s="36"/>
      <c r="I688" s="36"/>
      <c r="J688" s="36"/>
      <c r="K688" s="36"/>
      <c r="L688" s="36"/>
      <c r="M688" s="36"/>
      <c r="N688" s="36"/>
      <c r="O688" s="36"/>
      <c r="P688" s="36"/>
    </row>
    <row r="689" spans="1:16" ht="15.75" customHeight="1">
      <c r="A689" s="37"/>
      <c r="B689" s="37"/>
      <c r="C689" s="37"/>
      <c r="D689" s="37"/>
      <c r="E689" s="37"/>
      <c r="F689" s="37"/>
      <c r="G689" s="37"/>
      <c r="H689" s="37"/>
      <c r="I689" s="37"/>
      <c r="J689" s="37"/>
      <c r="K689" s="37"/>
      <c r="L689" s="37"/>
      <c r="M689" s="37"/>
      <c r="N689" s="37"/>
      <c r="O689" s="37"/>
      <c r="P689" s="37"/>
    </row>
    <row r="690" spans="1:16" ht="15.75" customHeight="1">
      <c r="A690" s="36"/>
      <c r="B690" s="36"/>
      <c r="C690" s="36"/>
      <c r="D690" s="36"/>
      <c r="E690" s="36"/>
      <c r="F690" s="36"/>
      <c r="G690" s="36"/>
      <c r="H690" s="36"/>
      <c r="I690" s="36"/>
      <c r="J690" s="36"/>
      <c r="K690" s="36"/>
      <c r="L690" s="36"/>
      <c r="M690" s="36"/>
      <c r="N690" s="36"/>
      <c r="O690" s="36"/>
      <c r="P690" s="36"/>
    </row>
    <row r="691" spans="1:16" ht="15.75" customHeight="1">
      <c r="A691" s="37"/>
      <c r="B691" s="37"/>
      <c r="C691" s="37"/>
      <c r="D691" s="37"/>
      <c r="E691" s="37"/>
      <c r="F691" s="37"/>
      <c r="G691" s="37"/>
      <c r="H691" s="37"/>
      <c r="I691" s="37"/>
      <c r="J691" s="37"/>
      <c r="K691" s="37"/>
      <c r="L691" s="37"/>
      <c r="M691" s="37"/>
      <c r="N691" s="37"/>
      <c r="O691" s="37"/>
      <c r="P691" s="37"/>
    </row>
    <row r="692" spans="1:16" ht="15.75" customHeight="1">
      <c r="A692" s="36"/>
      <c r="B692" s="36"/>
      <c r="C692" s="36"/>
      <c r="D692" s="36"/>
      <c r="E692" s="36"/>
      <c r="F692" s="36"/>
      <c r="G692" s="36"/>
      <c r="H692" s="36"/>
      <c r="I692" s="36"/>
      <c r="J692" s="36"/>
      <c r="K692" s="36"/>
      <c r="L692" s="36"/>
      <c r="M692" s="36"/>
      <c r="N692" s="36"/>
      <c r="O692" s="36"/>
      <c r="P692" s="36"/>
    </row>
    <row r="693" spans="1:16" ht="15.75" customHeight="1">
      <c r="A693" s="37"/>
      <c r="B693" s="37"/>
      <c r="C693" s="37"/>
      <c r="D693" s="37"/>
      <c r="E693" s="37"/>
      <c r="F693" s="37"/>
      <c r="G693" s="37"/>
      <c r="H693" s="37"/>
      <c r="I693" s="37"/>
      <c r="J693" s="37"/>
      <c r="K693" s="37"/>
      <c r="L693" s="37"/>
      <c r="M693" s="37"/>
      <c r="N693" s="37"/>
      <c r="O693" s="37"/>
      <c r="P693" s="37"/>
    </row>
    <row r="694" spans="1:16" ht="15.75" customHeight="1">
      <c r="A694" s="36"/>
      <c r="B694" s="36"/>
      <c r="C694" s="36"/>
      <c r="D694" s="36"/>
      <c r="E694" s="36"/>
      <c r="F694" s="36"/>
      <c r="G694" s="36"/>
      <c r="H694" s="36"/>
      <c r="I694" s="36"/>
      <c r="J694" s="36"/>
      <c r="K694" s="36"/>
      <c r="L694" s="36"/>
      <c r="M694" s="36"/>
      <c r="N694" s="36"/>
      <c r="O694" s="36"/>
      <c r="P694" s="36"/>
    </row>
    <row r="695" spans="1:16" ht="15.75" customHeight="1">
      <c r="A695" s="37"/>
      <c r="B695" s="37"/>
      <c r="C695" s="37"/>
      <c r="D695" s="37"/>
      <c r="E695" s="37"/>
      <c r="F695" s="37"/>
      <c r="G695" s="37"/>
      <c r="H695" s="37"/>
      <c r="I695" s="37"/>
      <c r="J695" s="37"/>
      <c r="K695" s="37"/>
      <c r="L695" s="37"/>
      <c r="M695" s="37"/>
      <c r="N695" s="37"/>
      <c r="O695" s="37"/>
      <c r="P695" s="37"/>
    </row>
    <row r="696" spans="1:16" ht="15.75" customHeight="1">
      <c r="A696" s="36"/>
      <c r="B696" s="36"/>
      <c r="C696" s="36"/>
      <c r="D696" s="36"/>
      <c r="E696" s="36"/>
      <c r="F696" s="36"/>
      <c r="G696" s="36"/>
      <c r="H696" s="36"/>
      <c r="I696" s="36"/>
      <c r="J696" s="36"/>
      <c r="K696" s="36"/>
      <c r="L696" s="36"/>
      <c r="M696" s="36"/>
      <c r="N696" s="36"/>
      <c r="O696" s="36"/>
      <c r="P696" s="36"/>
    </row>
    <row r="697" spans="1:16" ht="15.75" customHeight="1">
      <c r="A697" s="37"/>
      <c r="B697" s="37"/>
      <c r="C697" s="37"/>
      <c r="D697" s="37"/>
      <c r="E697" s="37"/>
      <c r="F697" s="37"/>
      <c r="G697" s="37"/>
      <c r="H697" s="37"/>
      <c r="I697" s="37"/>
      <c r="J697" s="37"/>
      <c r="K697" s="37"/>
      <c r="L697" s="37"/>
      <c r="M697" s="37"/>
      <c r="N697" s="37"/>
      <c r="O697" s="37"/>
      <c r="P697" s="37"/>
    </row>
    <row r="698" spans="1:16" ht="15.75" customHeight="1">
      <c r="A698" s="36"/>
      <c r="B698" s="36"/>
      <c r="C698" s="36"/>
      <c r="D698" s="36"/>
      <c r="E698" s="36"/>
      <c r="F698" s="36"/>
      <c r="G698" s="36"/>
      <c r="H698" s="36"/>
      <c r="I698" s="36"/>
      <c r="J698" s="36"/>
      <c r="K698" s="36"/>
      <c r="L698" s="36"/>
      <c r="M698" s="36"/>
      <c r="N698" s="36"/>
      <c r="O698" s="36"/>
      <c r="P698" s="36"/>
    </row>
    <row r="699" spans="1:16" ht="15.75" customHeight="1">
      <c r="A699" s="37"/>
      <c r="B699" s="37"/>
      <c r="C699" s="37"/>
      <c r="D699" s="37"/>
      <c r="E699" s="37"/>
      <c r="F699" s="37"/>
      <c r="G699" s="37"/>
      <c r="H699" s="37"/>
      <c r="I699" s="37"/>
      <c r="J699" s="37"/>
      <c r="K699" s="37"/>
      <c r="L699" s="37"/>
      <c r="M699" s="37"/>
      <c r="N699" s="37"/>
      <c r="O699" s="37"/>
      <c r="P699" s="37"/>
    </row>
    <row r="700" spans="1:16" ht="15.75" customHeight="1">
      <c r="A700" s="36"/>
      <c r="B700" s="36"/>
      <c r="C700" s="36"/>
      <c r="D700" s="36"/>
      <c r="E700" s="36"/>
      <c r="F700" s="36"/>
      <c r="G700" s="36"/>
      <c r="H700" s="36"/>
      <c r="I700" s="36"/>
      <c r="J700" s="36"/>
      <c r="K700" s="36"/>
      <c r="L700" s="36"/>
      <c r="M700" s="36"/>
      <c r="N700" s="36"/>
      <c r="O700" s="36"/>
      <c r="P700" s="36"/>
    </row>
    <row r="701" spans="1:16" ht="15.75" customHeight="1">
      <c r="A701" s="37"/>
      <c r="B701" s="37"/>
      <c r="C701" s="37"/>
      <c r="D701" s="37"/>
      <c r="E701" s="37"/>
      <c r="F701" s="37"/>
      <c r="G701" s="37"/>
      <c r="H701" s="37"/>
      <c r="I701" s="37"/>
      <c r="J701" s="37"/>
      <c r="K701" s="37"/>
      <c r="L701" s="37"/>
      <c r="M701" s="37"/>
      <c r="N701" s="37"/>
      <c r="O701" s="37"/>
      <c r="P701" s="37"/>
    </row>
    <row r="702" spans="1:16" ht="15.75" customHeight="1">
      <c r="A702" s="36"/>
      <c r="B702" s="36"/>
      <c r="C702" s="36"/>
      <c r="D702" s="36"/>
      <c r="E702" s="36"/>
      <c r="F702" s="36"/>
      <c r="G702" s="36"/>
      <c r="H702" s="36"/>
      <c r="I702" s="36"/>
      <c r="J702" s="36"/>
      <c r="K702" s="36"/>
      <c r="L702" s="36"/>
      <c r="M702" s="36"/>
      <c r="N702" s="36"/>
      <c r="O702" s="36"/>
      <c r="P702" s="36"/>
    </row>
    <row r="703" spans="1:16" ht="15.75" customHeight="1">
      <c r="A703" s="37"/>
      <c r="B703" s="37"/>
      <c r="C703" s="37"/>
      <c r="D703" s="37"/>
      <c r="E703" s="37"/>
      <c r="F703" s="37"/>
      <c r="G703" s="37"/>
      <c r="H703" s="37"/>
      <c r="I703" s="37"/>
      <c r="J703" s="37"/>
      <c r="K703" s="37"/>
      <c r="L703" s="37"/>
      <c r="M703" s="37"/>
      <c r="N703" s="37"/>
      <c r="O703" s="37"/>
      <c r="P703" s="37"/>
    </row>
    <row r="704" spans="1:16" ht="15.75" customHeight="1">
      <c r="A704" s="36"/>
      <c r="B704" s="36"/>
      <c r="C704" s="36"/>
      <c r="D704" s="36"/>
      <c r="E704" s="36"/>
      <c r="F704" s="36"/>
      <c r="G704" s="36"/>
      <c r="H704" s="36"/>
      <c r="I704" s="36"/>
      <c r="J704" s="36"/>
      <c r="K704" s="36"/>
      <c r="L704" s="36"/>
      <c r="M704" s="36"/>
      <c r="N704" s="36"/>
      <c r="O704" s="36"/>
      <c r="P704" s="36"/>
    </row>
    <row r="705" spans="1:16" ht="15.75" customHeight="1">
      <c r="A705" s="37"/>
      <c r="B705" s="37"/>
      <c r="C705" s="37"/>
      <c r="D705" s="37"/>
      <c r="E705" s="37"/>
      <c r="F705" s="37"/>
      <c r="G705" s="37"/>
      <c r="H705" s="37"/>
      <c r="I705" s="37"/>
      <c r="J705" s="37"/>
      <c r="K705" s="37"/>
      <c r="L705" s="37"/>
      <c r="M705" s="37"/>
      <c r="N705" s="37"/>
      <c r="O705" s="37"/>
      <c r="P705" s="37"/>
    </row>
    <row r="706" spans="1:16" ht="15.75" customHeight="1">
      <c r="A706" s="36"/>
      <c r="B706" s="36"/>
      <c r="C706" s="36"/>
      <c r="D706" s="36"/>
      <c r="E706" s="36"/>
      <c r="F706" s="36"/>
      <c r="G706" s="36"/>
      <c r="H706" s="36"/>
      <c r="I706" s="36"/>
      <c r="J706" s="36"/>
      <c r="K706" s="36"/>
      <c r="L706" s="36"/>
      <c r="M706" s="36"/>
      <c r="N706" s="36"/>
      <c r="O706" s="36"/>
      <c r="P706" s="36"/>
    </row>
    <row r="707" spans="1:16" ht="15.75" customHeight="1">
      <c r="A707" s="37"/>
      <c r="B707" s="37"/>
      <c r="C707" s="37"/>
      <c r="D707" s="37"/>
      <c r="E707" s="37"/>
      <c r="F707" s="37"/>
      <c r="G707" s="37"/>
      <c r="H707" s="37"/>
      <c r="I707" s="37"/>
      <c r="J707" s="37"/>
      <c r="K707" s="37"/>
      <c r="L707" s="37"/>
      <c r="M707" s="37"/>
      <c r="N707" s="37"/>
      <c r="O707" s="37"/>
      <c r="P707" s="37"/>
    </row>
    <row r="708" spans="1:16" ht="15.75" customHeight="1">
      <c r="A708" s="36"/>
      <c r="B708" s="36"/>
      <c r="C708" s="36"/>
      <c r="D708" s="36"/>
      <c r="E708" s="36"/>
      <c r="F708" s="36"/>
      <c r="G708" s="36"/>
      <c r="H708" s="36"/>
      <c r="I708" s="36"/>
      <c r="J708" s="36"/>
      <c r="K708" s="36"/>
      <c r="L708" s="36"/>
      <c r="M708" s="36"/>
      <c r="N708" s="36"/>
      <c r="O708" s="36"/>
      <c r="P708" s="36"/>
    </row>
    <row r="709" spans="1:16" ht="15.75" customHeight="1">
      <c r="A709" s="37"/>
      <c r="B709" s="37"/>
      <c r="C709" s="37"/>
      <c r="D709" s="37"/>
      <c r="E709" s="37"/>
      <c r="F709" s="37"/>
      <c r="G709" s="37"/>
      <c r="H709" s="37"/>
      <c r="I709" s="37"/>
      <c r="J709" s="37"/>
      <c r="K709" s="37"/>
      <c r="L709" s="37"/>
      <c r="M709" s="37"/>
      <c r="N709" s="37"/>
      <c r="O709" s="37"/>
      <c r="P709" s="37"/>
    </row>
    <row r="710" spans="1:16" ht="15.75" customHeight="1">
      <c r="A710" s="36"/>
      <c r="B710" s="36"/>
      <c r="C710" s="36"/>
      <c r="D710" s="36"/>
      <c r="E710" s="36"/>
      <c r="F710" s="36"/>
      <c r="G710" s="36"/>
      <c r="H710" s="36"/>
      <c r="I710" s="36"/>
      <c r="J710" s="36"/>
      <c r="K710" s="36"/>
      <c r="L710" s="36"/>
      <c r="M710" s="36"/>
      <c r="N710" s="36"/>
      <c r="O710" s="36"/>
      <c r="P710" s="36"/>
    </row>
    <row r="711" spans="1:16" ht="15.75" customHeight="1">
      <c r="A711" s="37"/>
      <c r="B711" s="37"/>
      <c r="C711" s="37"/>
      <c r="D711" s="37"/>
      <c r="E711" s="37"/>
      <c r="F711" s="37"/>
      <c r="G711" s="37"/>
      <c r="H711" s="37"/>
      <c r="I711" s="37"/>
      <c r="J711" s="37"/>
      <c r="K711" s="37"/>
      <c r="L711" s="37"/>
      <c r="M711" s="37"/>
      <c r="N711" s="37"/>
      <c r="O711" s="37"/>
      <c r="P711" s="37"/>
    </row>
    <row r="712" spans="1:16" ht="15.75" customHeight="1">
      <c r="A712" s="36"/>
      <c r="B712" s="36"/>
      <c r="C712" s="36"/>
      <c r="D712" s="36"/>
      <c r="E712" s="36"/>
      <c r="F712" s="36"/>
      <c r="G712" s="36"/>
      <c r="H712" s="36"/>
      <c r="I712" s="36"/>
      <c r="J712" s="36"/>
      <c r="K712" s="36"/>
      <c r="L712" s="36"/>
      <c r="M712" s="36"/>
      <c r="N712" s="36"/>
      <c r="O712" s="36"/>
      <c r="P712" s="36"/>
    </row>
    <row r="713" spans="1:16" ht="15.75" customHeight="1">
      <c r="A713" s="37"/>
      <c r="B713" s="37"/>
      <c r="C713" s="37"/>
      <c r="D713" s="37"/>
      <c r="E713" s="37"/>
      <c r="F713" s="37"/>
      <c r="G713" s="37"/>
      <c r="H713" s="37"/>
      <c r="I713" s="37"/>
      <c r="J713" s="37"/>
      <c r="K713" s="37"/>
      <c r="L713" s="37"/>
      <c r="M713" s="37"/>
      <c r="N713" s="37"/>
      <c r="O713" s="37"/>
      <c r="P713" s="37"/>
    </row>
    <row r="714" spans="1:16" ht="15.75" customHeight="1">
      <c r="A714" s="36"/>
      <c r="B714" s="36"/>
      <c r="C714" s="36"/>
      <c r="D714" s="36"/>
      <c r="E714" s="36"/>
      <c r="F714" s="36"/>
      <c r="G714" s="36"/>
      <c r="H714" s="36"/>
      <c r="I714" s="36"/>
      <c r="J714" s="36"/>
      <c r="K714" s="36"/>
      <c r="L714" s="36"/>
      <c r="M714" s="36"/>
      <c r="N714" s="36"/>
      <c r="O714" s="36"/>
      <c r="P714" s="36"/>
    </row>
    <row r="715" spans="1:16" ht="15.75" customHeight="1">
      <c r="A715" s="37"/>
      <c r="B715" s="37"/>
      <c r="C715" s="37"/>
      <c r="D715" s="37"/>
      <c r="E715" s="37"/>
      <c r="F715" s="37"/>
      <c r="G715" s="37"/>
      <c r="H715" s="37"/>
      <c r="I715" s="37"/>
      <c r="J715" s="37"/>
      <c r="K715" s="37"/>
      <c r="L715" s="37"/>
      <c r="M715" s="37"/>
      <c r="N715" s="37"/>
      <c r="O715" s="37"/>
      <c r="P715" s="37"/>
    </row>
    <row r="716" spans="1:16" ht="15.75" customHeight="1">
      <c r="A716" s="36"/>
      <c r="B716" s="36"/>
      <c r="C716" s="36"/>
      <c r="D716" s="36"/>
      <c r="E716" s="36"/>
      <c r="F716" s="36"/>
      <c r="G716" s="36"/>
      <c r="H716" s="36"/>
      <c r="I716" s="36"/>
      <c r="J716" s="36"/>
      <c r="K716" s="36"/>
      <c r="L716" s="36"/>
      <c r="M716" s="36"/>
      <c r="N716" s="36"/>
      <c r="O716" s="36"/>
      <c r="P716" s="36"/>
    </row>
    <row r="717" spans="1:16" ht="15.75" customHeight="1">
      <c r="A717" s="37"/>
      <c r="B717" s="37"/>
      <c r="C717" s="37"/>
      <c r="D717" s="37"/>
      <c r="E717" s="37"/>
      <c r="F717" s="37"/>
      <c r="G717" s="37"/>
      <c r="H717" s="37"/>
      <c r="I717" s="37"/>
      <c r="J717" s="37"/>
      <c r="K717" s="37"/>
      <c r="L717" s="37"/>
      <c r="M717" s="37"/>
      <c r="N717" s="37"/>
      <c r="O717" s="37"/>
      <c r="P717" s="37"/>
    </row>
    <row r="718" spans="1:16" ht="15.75" customHeight="1">
      <c r="A718" s="36"/>
      <c r="B718" s="36"/>
      <c r="C718" s="36"/>
      <c r="D718" s="36"/>
      <c r="E718" s="36"/>
      <c r="F718" s="36"/>
      <c r="G718" s="36"/>
      <c r="H718" s="36"/>
      <c r="I718" s="36"/>
      <c r="J718" s="36"/>
      <c r="K718" s="36"/>
      <c r="L718" s="36"/>
      <c r="M718" s="36"/>
      <c r="N718" s="36"/>
      <c r="O718" s="36"/>
      <c r="P718" s="36"/>
    </row>
    <row r="719" spans="1:16" ht="15.75" customHeight="1">
      <c r="A719" s="37"/>
      <c r="B719" s="37"/>
      <c r="C719" s="37"/>
      <c r="D719" s="37"/>
      <c r="E719" s="37"/>
      <c r="F719" s="37"/>
      <c r="G719" s="37"/>
      <c r="H719" s="37"/>
      <c r="I719" s="37"/>
      <c r="J719" s="37"/>
      <c r="K719" s="37"/>
      <c r="L719" s="37"/>
      <c r="M719" s="37"/>
      <c r="N719" s="37"/>
      <c r="O719" s="37"/>
      <c r="P719" s="37"/>
    </row>
    <row r="720" spans="1:16" ht="15.75" customHeight="1">
      <c r="A720" s="36"/>
      <c r="B720" s="36"/>
      <c r="C720" s="36"/>
      <c r="D720" s="36"/>
      <c r="E720" s="36"/>
      <c r="F720" s="36"/>
      <c r="G720" s="36"/>
      <c r="H720" s="36"/>
      <c r="I720" s="36"/>
      <c r="J720" s="36"/>
      <c r="K720" s="36"/>
      <c r="L720" s="36"/>
      <c r="M720" s="36"/>
      <c r="N720" s="36"/>
      <c r="O720" s="36"/>
      <c r="P720" s="36"/>
    </row>
    <row r="721" spans="1:16" ht="15.75" customHeight="1">
      <c r="A721" s="37"/>
      <c r="B721" s="37"/>
      <c r="C721" s="37"/>
      <c r="D721" s="37"/>
      <c r="E721" s="37"/>
      <c r="F721" s="37"/>
      <c r="G721" s="37"/>
      <c r="H721" s="37"/>
      <c r="I721" s="37"/>
      <c r="J721" s="37"/>
      <c r="K721" s="37"/>
      <c r="L721" s="37"/>
      <c r="M721" s="37"/>
      <c r="N721" s="37"/>
      <c r="O721" s="37"/>
      <c r="P721" s="37"/>
    </row>
    <row r="722" spans="1:16" ht="15.75" customHeight="1">
      <c r="A722" s="36"/>
      <c r="B722" s="36"/>
      <c r="C722" s="36"/>
      <c r="D722" s="36"/>
      <c r="E722" s="36"/>
      <c r="F722" s="36"/>
      <c r="G722" s="36"/>
      <c r="H722" s="36"/>
      <c r="I722" s="36"/>
      <c r="J722" s="36"/>
      <c r="K722" s="36"/>
      <c r="L722" s="36"/>
      <c r="M722" s="36"/>
      <c r="N722" s="36"/>
      <c r="O722" s="36"/>
      <c r="P722" s="36"/>
    </row>
    <row r="723" spans="1:16" ht="15.75" customHeight="1">
      <c r="A723" s="37"/>
      <c r="B723" s="37"/>
      <c r="C723" s="37"/>
      <c r="D723" s="37"/>
      <c r="E723" s="37"/>
      <c r="F723" s="37"/>
      <c r="G723" s="37"/>
      <c r="H723" s="37"/>
      <c r="I723" s="37"/>
      <c r="J723" s="37"/>
      <c r="K723" s="37"/>
      <c r="L723" s="37"/>
      <c r="M723" s="37"/>
      <c r="N723" s="37"/>
      <c r="O723" s="37"/>
      <c r="P723" s="37"/>
    </row>
    <row r="724" spans="1:16" ht="15.75" customHeight="1">
      <c r="A724" s="36"/>
      <c r="B724" s="36"/>
      <c r="C724" s="36"/>
      <c r="D724" s="36"/>
      <c r="E724" s="36"/>
      <c r="F724" s="36"/>
      <c r="G724" s="36"/>
      <c r="H724" s="36"/>
      <c r="I724" s="36"/>
      <c r="J724" s="36"/>
      <c r="K724" s="36"/>
      <c r="L724" s="36"/>
      <c r="M724" s="36"/>
      <c r="N724" s="36"/>
      <c r="O724" s="36"/>
      <c r="P724" s="36"/>
    </row>
    <row r="725" spans="1:16" ht="15.75" customHeight="1">
      <c r="A725" s="37"/>
      <c r="B725" s="37"/>
      <c r="C725" s="37"/>
      <c r="D725" s="37"/>
      <c r="E725" s="37"/>
      <c r="F725" s="37"/>
      <c r="G725" s="37"/>
      <c r="H725" s="37"/>
      <c r="I725" s="37"/>
      <c r="J725" s="37"/>
      <c r="K725" s="37"/>
      <c r="L725" s="37"/>
      <c r="M725" s="37"/>
      <c r="N725" s="37"/>
      <c r="O725" s="37"/>
      <c r="P725" s="37"/>
    </row>
    <row r="726" spans="1:16" ht="15.75" customHeight="1">
      <c r="A726" s="36"/>
      <c r="B726" s="36"/>
      <c r="C726" s="36"/>
      <c r="D726" s="36"/>
      <c r="E726" s="36"/>
      <c r="F726" s="36"/>
      <c r="G726" s="36"/>
      <c r="H726" s="36"/>
      <c r="I726" s="36"/>
      <c r="J726" s="36"/>
      <c r="K726" s="36"/>
      <c r="L726" s="36"/>
      <c r="M726" s="36"/>
      <c r="N726" s="36"/>
      <c r="O726" s="36"/>
      <c r="P726" s="36"/>
    </row>
    <row r="727" spans="1:16" ht="15.75" customHeight="1">
      <c r="A727" s="37"/>
      <c r="B727" s="37"/>
      <c r="C727" s="37"/>
      <c r="D727" s="37"/>
      <c r="E727" s="37"/>
      <c r="F727" s="37"/>
      <c r="G727" s="37"/>
      <c r="H727" s="37"/>
      <c r="I727" s="37"/>
      <c r="J727" s="37"/>
      <c r="K727" s="37"/>
      <c r="L727" s="37"/>
      <c r="M727" s="37"/>
      <c r="N727" s="37"/>
      <c r="O727" s="37"/>
      <c r="P727" s="37"/>
    </row>
    <row r="728" spans="1:16" ht="15.75" customHeight="1">
      <c r="A728" s="36"/>
      <c r="B728" s="36"/>
      <c r="C728" s="36"/>
      <c r="D728" s="36"/>
      <c r="E728" s="36"/>
      <c r="F728" s="36"/>
      <c r="G728" s="36"/>
      <c r="H728" s="36"/>
      <c r="I728" s="36"/>
      <c r="J728" s="36"/>
      <c r="K728" s="36"/>
      <c r="L728" s="36"/>
      <c r="M728" s="36"/>
      <c r="N728" s="36"/>
      <c r="O728" s="36"/>
      <c r="P728" s="36"/>
    </row>
    <row r="729" spans="1:16" ht="15.75" customHeight="1">
      <c r="A729" s="37"/>
      <c r="B729" s="37"/>
      <c r="C729" s="37"/>
      <c r="D729" s="37"/>
      <c r="E729" s="37"/>
      <c r="F729" s="37"/>
      <c r="G729" s="37"/>
      <c r="H729" s="37"/>
      <c r="I729" s="37"/>
      <c r="J729" s="37"/>
      <c r="K729" s="37"/>
      <c r="L729" s="37"/>
      <c r="M729" s="37"/>
      <c r="N729" s="37"/>
      <c r="O729" s="37"/>
      <c r="P729" s="37"/>
    </row>
    <row r="730" spans="1:16" ht="15.75" customHeight="1">
      <c r="A730" s="36"/>
      <c r="B730" s="36"/>
      <c r="C730" s="36"/>
      <c r="D730" s="36"/>
      <c r="E730" s="36"/>
      <c r="F730" s="36"/>
      <c r="G730" s="36"/>
      <c r="H730" s="36"/>
      <c r="I730" s="36"/>
      <c r="J730" s="36"/>
      <c r="K730" s="36"/>
      <c r="L730" s="36"/>
      <c r="M730" s="36"/>
      <c r="N730" s="36"/>
      <c r="O730" s="36"/>
      <c r="P730" s="36"/>
    </row>
    <row r="731" spans="1:16" ht="15.75" customHeight="1">
      <c r="A731" s="37"/>
      <c r="B731" s="37"/>
      <c r="C731" s="37"/>
      <c r="D731" s="37"/>
      <c r="E731" s="37"/>
      <c r="F731" s="37"/>
      <c r="G731" s="37"/>
      <c r="H731" s="37"/>
      <c r="I731" s="37"/>
      <c r="J731" s="37"/>
      <c r="K731" s="37"/>
      <c r="L731" s="37"/>
      <c r="M731" s="37"/>
      <c r="N731" s="37"/>
      <c r="O731" s="37"/>
      <c r="P731" s="37"/>
    </row>
    <row r="732" spans="1:16" ht="15.75" customHeight="1">
      <c r="A732" s="36"/>
      <c r="B732" s="36"/>
      <c r="C732" s="36"/>
      <c r="D732" s="36"/>
      <c r="E732" s="36"/>
      <c r="F732" s="36"/>
      <c r="G732" s="36"/>
      <c r="H732" s="36"/>
      <c r="I732" s="36"/>
      <c r="J732" s="36"/>
      <c r="K732" s="36"/>
      <c r="L732" s="36"/>
      <c r="M732" s="36"/>
      <c r="N732" s="36"/>
      <c r="O732" s="36"/>
      <c r="P732" s="36"/>
    </row>
    <row r="733" spans="1:16" ht="15.75" customHeight="1">
      <c r="A733" s="37"/>
      <c r="B733" s="37"/>
      <c r="C733" s="37"/>
      <c r="D733" s="37"/>
      <c r="E733" s="37"/>
      <c r="F733" s="37"/>
      <c r="G733" s="37"/>
      <c r="H733" s="37"/>
      <c r="I733" s="37"/>
      <c r="J733" s="37"/>
      <c r="K733" s="37"/>
      <c r="L733" s="37"/>
      <c r="M733" s="37"/>
      <c r="N733" s="37"/>
      <c r="O733" s="37"/>
      <c r="P733" s="37"/>
    </row>
    <row r="734" spans="1:16" ht="15.75" customHeight="1">
      <c r="A734" s="36"/>
      <c r="B734" s="36"/>
      <c r="C734" s="36"/>
      <c r="D734" s="36"/>
      <c r="E734" s="36"/>
      <c r="F734" s="36"/>
      <c r="G734" s="36"/>
      <c r="H734" s="36"/>
      <c r="I734" s="36"/>
      <c r="J734" s="36"/>
      <c r="K734" s="36"/>
      <c r="L734" s="36"/>
      <c r="M734" s="36"/>
      <c r="N734" s="36"/>
      <c r="O734" s="36"/>
      <c r="P734" s="36"/>
    </row>
    <row r="735" spans="1:16" ht="15.75" customHeight="1">
      <c r="A735" s="37"/>
      <c r="B735" s="37"/>
      <c r="C735" s="37"/>
      <c r="D735" s="37"/>
      <c r="E735" s="37"/>
      <c r="F735" s="37"/>
      <c r="G735" s="37"/>
      <c r="H735" s="37"/>
      <c r="I735" s="37"/>
      <c r="J735" s="37"/>
      <c r="K735" s="37"/>
      <c r="L735" s="37"/>
      <c r="M735" s="37"/>
      <c r="N735" s="37"/>
      <c r="O735" s="37"/>
      <c r="P735" s="37"/>
    </row>
    <row r="736" spans="1:16" ht="15.75" customHeight="1">
      <c r="A736" s="36"/>
      <c r="B736" s="36"/>
      <c r="C736" s="36"/>
      <c r="D736" s="36"/>
      <c r="E736" s="36"/>
      <c r="F736" s="36"/>
      <c r="G736" s="36"/>
      <c r="H736" s="36"/>
      <c r="I736" s="36"/>
      <c r="J736" s="36"/>
      <c r="K736" s="36"/>
      <c r="L736" s="36"/>
      <c r="M736" s="36"/>
      <c r="N736" s="36"/>
      <c r="O736" s="36"/>
      <c r="P736" s="36"/>
    </row>
    <row r="737" spans="1:16" ht="15.75" customHeight="1">
      <c r="A737" s="37"/>
      <c r="B737" s="37"/>
      <c r="C737" s="37"/>
      <c r="D737" s="37"/>
      <c r="E737" s="37"/>
      <c r="F737" s="37"/>
      <c r="G737" s="37"/>
      <c r="H737" s="37"/>
      <c r="I737" s="37"/>
      <c r="J737" s="37"/>
      <c r="K737" s="37"/>
      <c r="L737" s="37"/>
      <c r="M737" s="37"/>
      <c r="N737" s="37"/>
      <c r="O737" s="37"/>
      <c r="P737" s="37"/>
    </row>
    <row r="738" spans="1:16" ht="15.75" customHeight="1">
      <c r="A738" s="36"/>
      <c r="B738" s="36"/>
      <c r="C738" s="36"/>
      <c r="D738" s="36"/>
      <c r="E738" s="36"/>
      <c r="F738" s="36"/>
      <c r="G738" s="36"/>
      <c r="H738" s="36"/>
      <c r="I738" s="36"/>
      <c r="J738" s="36"/>
      <c r="K738" s="36"/>
      <c r="L738" s="36"/>
      <c r="M738" s="36"/>
      <c r="N738" s="36"/>
      <c r="O738" s="36"/>
      <c r="P738" s="36"/>
    </row>
    <row r="739" spans="1:16" ht="15.75" customHeight="1">
      <c r="A739" s="37"/>
      <c r="B739" s="37"/>
      <c r="C739" s="37"/>
      <c r="D739" s="37"/>
      <c r="E739" s="37"/>
      <c r="F739" s="37"/>
      <c r="G739" s="37"/>
      <c r="H739" s="37"/>
      <c r="I739" s="37"/>
      <c r="J739" s="37"/>
      <c r="K739" s="37"/>
      <c r="L739" s="37"/>
      <c r="M739" s="37"/>
      <c r="N739" s="37"/>
      <c r="O739" s="37"/>
      <c r="P739" s="37"/>
    </row>
    <row r="740" spans="1:16" ht="15.75" customHeight="1">
      <c r="A740" s="36"/>
      <c r="B740" s="36"/>
      <c r="C740" s="36"/>
      <c r="D740" s="36"/>
      <c r="E740" s="36"/>
      <c r="F740" s="36"/>
      <c r="G740" s="36"/>
      <c r="H740" s="36"/>
      <c r="I740" s="36"/>
      <c r="J740" s="36"/>
      <c r="K740" s="36"/>
      <c r="L740" s="36"/>
      <c r="M740" s="36"/>
      <c r="N740" s="36"/>
      <c r="O740" s="36"/>
      <c r="P740" s="36"/>
    </row>
    <row r="741" spans="1:16" ht="15.75" customHeight="1">
      <c r="A741" s="37"/>
      <c r="B741" s="37"/>
      <c r="C741" s="37"/>
      <c r="D741" s="37"/>
      <c r="E741" s="37"/>
      <c r="F741" s="37"/>
      <c r="G741" s="37"/>
      <c r="H741" s="37"/>
      <c r="I741" s="37"/>
      <c r="J741" s="37"/>
      <c r="K741" s="37"/>
      <c r="L741" s="37"/>
      <c r="M741" s="37"/>
      <c r="N741" s="37"/>
      <c r="O741" s="37"/>
      <c r="P741" s="37"/>
    </row>
    <row r="742" spans="1:16" ht="15.75" customHeight="1">
      <c r="A742" s="36"/>
      <c r="B742" s="36"/>
      <c r="C742" s="36"/>
      <c r="D742" s="36"/>
      <c r="E742" s="36"/>
      <c r="F742" s="36"/>
      <c r="G742" s="36"/>
      <c r="H742" s="36"/>
      <c r="I742" s="36"/>
      <c r="J742" s="36"/>
      <c r="K742" s="36"/>
      <c r="L742" s="36"/>
      <c r="M742" s="36"/>
      <c r="N742" s="36"/>
      <c r="O742" s="36"/>
      <c r="P742" s="36"/>
    </row>
    <row r="743" spans="1:16" ht="15.75" customHeight="1">
      <c r="A743" s="37"/>
      <c r="B743" s="37"/>
      <c r="C743" s="37"/>
      <c r="D743" s="37"/>
      <c r="E743" s="37"/>
      <c r="F743" s="37"/>
      <c r="G743" s="37"/>
      <c r="H743" s="37"/>
      <c r="I743" s="37"/>
      <c r="J743" s="37"/>
      <c r="K743" s="37"/>
      <c r="L743" s="37"/>
      <c r="M743" s="37"/>
      <c r="N743" s="37"/>
      <c r="O743" s="37"/>
      <c r="P743" s="37"/>
    </row>
    <row r="744" spans="1:16" ht="15.75" customHeight="1">
      <c r="A744" s="36"/>
      <c r="B744" s="36"/>
      <c r="C744" s="36"/>
      <c r="D744" s="36"/>
      <c r="E744" s="36"/>
      <c r="F744" s="36"/>
      <c r="G744" s="36"/>
      <c r="H744" s="36"/>
      <c r="I744" s="36"/>
      <c r="J744" s="36"/>
      <c r="K744" s="36"/>
      <c r="L744" s="36"/>
      <c r="M744" s="36"/>
      <c r="N744" s="36"/>
      <c r="O744" s="36"/>
      <c r="P744" s="36"/>
    </row>
    <row r="745" spans="1:16" ht="15.75" customHeight="1">
      <c r="A745" s="37"/>
      <c r="B745" s="37"/>
      <c r="C745" s="37"/>
      <c r="D745" s="37"/>
      <c r="E745" s="37"/>
      <c r="F745" s="37"/>
      <c r="G745" s="37"/>
      <c r="H745" s="37"/>
      <c r="I745" s="37"/>
      <c r="J745" s="37"/>
      <c r="K745" s="37"/>
      <c r="L745" s="37"/>
      <c r="M745" s="37"/>
      <c r="N745" s="37"/>
      <c r="O745" s="37"/>
      <c r="P745" s="37"/>
    </row>
    <row r="746" spans="1:16" ht="15.75" customHeight="1">
      <c r="A746" s="36"/>
      <c r="B746" s="36"/>
      <c r="C746" s="36"/>
      <c r="D746" s="36"/>
      <c r="E746" s="36"/>
      <c r="F746" s="36"/>
      <c r="G746" s="36"/>
      <c r="H746" s="36"/>
      <c r="I746" s="36"/>
      <c r="J746" s="36"/>
      <c r="K746" s="36"/>
      <c r="L746" s="36"/>
      <c r="M746" s="36"/>
      <c r="N746" s="36"/>
      <c r="O746" s="36"/>
      <c r="P746" s="36"/>
    </row>
    <row r="747" spans="1:16" ht="15.75" customHeight="1">
      <c r="A747" s="37"/>
      <c r="B747" s="37"/>
      <c r="C747" s="37"/>
      <c r="D747" s="37"/>
      <c r="E747" s="37"/>
      <c r="F747" s="37"/>
      <c r="G747" s="37"/>
      <c r="H747" s="37"/>
      <c r="I747" s="37"/>
      <c r="J747" s="37"/>
      <c r="K747" s="37"/>
      <c r="L747" s="37"/>
      <c r="M747" s="37"/>
      <c r="N747" s="37"/>
      <c r="O747" s="37"/>
      <c r="P747" s="37"/>
    </row>
    <row r="748" spans="1:16" ht="15.75" customHeight="1">
      <c r="A748" s="36"/>
      <c r="B748" s="36"/>
      <c r="C748" s="36"/>
      <c r="D748" s="36"/>
      <c r="E748" s="36"/>
      <c r="F748" s="36"/>
      <c r="G748" s="36"/>
      <c r="H748" s="36"/>
      <c r="I748" s="36"/>
      <c r="J748" s="36"/>
      <c r="K748" s="36"/>
      <c r="L748" s="36"/>
      <c r="M748" s="36"/>
      <c r="N748" s="36"/>
      <c r="O748" s="36"/>
      <c r="P748" s="36"/>
    </row>
    <row r="749" spans="1:16" ht="15.75" customHeight="1">
      <c r="A749" s="37"/>
      <c r="B749" s="37"/>
      <c r="C749" s="37"/>
      <c r="D749" s="37"/>
      <c r="E749" s="37"/>
      <c r="F749" s="37"/>
      <c r="G749" s="37"/>
      <c r="H749" s="37"/>
      <c r="I749" s="37"/>
      <c r="J749" s="37"/>
      <c r="K749" s="37"/>
      <c r="L749" s="37"/>
      <c r="M749" s="37"/>
      <c r="N749" s="37"/>
      <c r="O749" s="37"/>
      <c r="P749" s="37"/>
    </row>
    <row r="750" spans="1:16" ht="15.75" customHeight="1">
      <c r="A750" s="36"/>
      <c r="B750" s="36"/>
      <c r="C750" s="36"/>
      <c r="D750" s="36"/>
      <c r="E750" s="36"/>
      <c r="F750" s="36"/>
      <c r="G750" s="36"/>
      <c r="H750" s="36"/>
      <c r="I750" s="36"/>
      <c r="J750" s="36"/>
      <c r="K750" s="36"/>
      <c r="L750" s="36"/>
      <c r="M750" s="36"/>
      <c r="N750" s="36"/>
      <c r="O750" s="36"/>
      <c r="P750" s="36"/>
    </row>
    <row r="751" spans="1:16" ht="15.75" customHeight="1">
      <c r="A751" s="37"/>
      <c r="B751" s="37"/>
      <c r="C751" s="37"/>
      <c r="D751" s="37"/>
      <c r="E751" s="37"/>
      <c r="F751" s="37"/>
      <c r="G751" s="37"/>
      <c r="H751" s="37"/>
      <c r="I751" s="37"/>
      <c r="J751" s="37"/>
      <c r="K751" s="37"/>
      <c r="L751" s="37"/>
      <c r="M751" s="37"/>
      <c r="N751" s="37"/>
      <c r="O751" s="37"/>
      <c r="P751" s="37"/>
    </row>
    <row r="752" spans="1:16" ht="15.75" customHeight="1">
      <c r="A752" s="36"/>
      <c r="B752" s="36"/>
      <c r="C752" s="36"/>
      <c r="D752" s="36"/>
      <c r="E752" s="36"/>
      <c r="F752" s="36"/>
      <c r="G752" s="36"/>
      <c r="H752" s="36"/>
      <c r="I752" s="36"/>
      <c r="J752" s="36"/>
      <c r="K752" s="36"/>
      <c r="L752" s="36"/>
      <c r="M752" s="36"/>
      <c r="N752" s="36"/>
      <c r="O752" s="36"/>
      <c r="P752" s="36"/>
    </row>
    <row r="753" spans="1:16" ht="15.75" customHeight="1">
      <c r="A753" s="37"/>
      <c r="B753" s="37"/>
      <c r="C753" s="37"/>
      <c r="D753" s="37"/>
      <c r="E753" s="37"/>
      <c r="F753" s="37"/>
      <c r="G753" s="37"/>
      <c r="H753" s="37"/>
      <c r="I753" s="37"/>
      <c r="J753" s="37"/>
      <c r="K753" s="37"/>
      <c r="L753" s="37"/>
      <c r="M753" s="37"/>
      <c r="N753" s="37"/>
      <c r="O753" s="37"/>
      <c r="P753" s="37"/>
    </row>
    <row r="754" spans="1:16" ht="15.75" customHeight="1">
      <c r="A754" s="36"/>
      <c r="B754" s="36"/>
      <c r="C754" s="36"/>
      <c r="D754" s="36"/>
      <c r="E754" s="36"/>
      <c r="F754" s="36"/>
      <c r="G754" s="36"/>
      <c r="H754" s="36"/>
      <c r="I754" s="36"/>
      <c r="J754" s="36"/>
      <c r="K754" s="36"/>
      <c r="L754" s="36"/>
      <c r="M754" s="36"/>
      <c r="N754" s="36"/>
      <c r="O754" s="36"/>
      <c r="P754" s="36"/>
    </row>
    <row r="755" spans="1:16" ht="15.75" customHeight="1">
      <c r="A755" s="37"/>
      <c r="B755" s="37"/>
      <c r="C755" s="37"/>
      <c r="D755" s="37"/>
      <c r="E755" s="37"/>
      <c r="F755" s="37"/>
      <c r="G755" s="37"/>
      <c r="H755" s="37"/>
      <c r="I755" s="37"/>
      <c r="J755" s="37"/>
      <c r="K755" s="37"/>
      <c r="L755" s="37"/>
      <c r="M755" s="37"/>
      <c r="N755" s="37"/>
      <c r="O755" s="37"/>
      <c r="P755" s="37"/>
    </row>
    <row r="756" spans="1:16" ht="15.75" customHeight="1">
      <c r="A756" s="36"/>
      <c r="B756" s="36"/>
      <c r="C756" s="36"/>
      <c r="D756" s="36"/>
      <c r="E756" s="36"/>
      <c r="F756" s="36"/>
      <c r="G756" s="36"/>
      <c r="H756" s="36"/>
      <c r="I756" s="36"/>
      <c r="J756" s="36"/>
      <c r="K756" s="36"/>
      <c r="L756" s="36"/>
      <c r="M756" s="36"/>
      <c r="N756" s="36"/>
      <c r="O756" s="36"/>
      <c r="P756" s="36"/>
    </row>
    <row r="757" spans="1:16" ht="15.75" customHeight="1">
      <c r="A757" s="37"/>
      <c r="B757" s="37"/>
      <c r="C757" s="37"/>
      <c r="D757" s="37"/>
      <c r="E757" s="37"/>
      <c r="F757" s="37"/>
      <c r="G757" s="37"/>
      <c r="H757" s="37"/>
      <c r="I757" s="37"/>
      <c r="J757" s="37"/>
      <c r="K757" s="37"/>
      <c r="L757" s="37"/>
      <c r="M757" s="37"/>
      <c r="N757" s="37"/>
      <c r="O757" s="37"/>
      <c r="P757" s="37"/>
    </row>
    <row r="758" spans="1:16" ht="15.75" customHeight="1">
      <c r="A758" s="36"/>
      <c r="B758" s="36"/>
      <c r="C758" s="36"/>
      <c r="D758" s="36"/>
      <c r="E758" s="36"/>
      <c r="F758" s="36"/>
      <c r="G758" s="36"/>
      <c r="H758" s="36"/>
      <c r="I758" s="36"/>
      <c r="J758" s="36"/>
      <c r="K758" s="36"/>
      <c r="L758" s="36"/>
      <c r="M758" s="36"/>
      <c r="N758" s="36"/>
      <c r="O758" s="36"/>
      <c r="P758" s="36"/>
    </row>
    <row r="759" spans="1:16" ht="15.75" customHeight="1">
      <c r="A759" s="37"/>
      <c r="B759" s="37"/>
      <c r="C759" s="37"/>
      <c r="D759" s="37"/>
      <c r="E759" s="37"/>
      <c r="F759" s="37"/>
      <c r="G759" s="37"/>
      <c r="H759" s="37"/>
      <c r="I759" s="37"/>
      <c r="J759" s="37"/>
      <c r="K759" s="37"/>
      <c r="L759" s="37"/>
      <c r="M759" s="37"/>
      <c r="N759" s="37"/>
      <c r="O759" s="37"/>
      <c r="P759" s="37"/>
    </row>
    <row r="760" spans="1:16" ht="15.75" customHeight="1">
      <c r="A760" s="36"/>
      <c r="B760" s="36"/>
      <c r="C760" s="36"/>
      <c r="D760" s="36"/>
      <c r="E760" s="36"/>
      <c r="F760" s="36"/>
      <c r="G760" s="36"/>
      <c r="H760" s="36"/>
      <c r="I760" s="36"/>
      <c r="J760" s="36"/>
      <c r="K760" s="36"/>
      <c r="L760" s="36"/>
      <c r="M760" s="36"/>
      <c r="N760" s="36"/>
      <c r="O760" s="36"/>
      <c r="P760" s="36"/>
    </row>
    <row r="761" spans="1:16" ht="15.75" customHeight="1">
      <c r="A761" s="37"/>
      <c r="B761" s="37"/>
      <c r="C761" s="37"/>
      <c r="D761" s="37"/>
      <c r="E761" s="37"/>
      <c r="F761" s="37"/>
      <c r="G761" s="37"/>
      <c r="H761" s="37"/>
      <c r="I761" s="37"/>
      <c r="J761" s="37"/>
      <c r="K761" s="37"/>
      <c r="L761" s="37"/>
      <c r="M761" s="37"/>
      <c r="N761" s="37"/>
      <c r="O761" s="37"/>
      <c r="P761" s="37"/>
    </row>
    <row r="762" spans="1:16" ht="15.75" customHeight="1">
      <c r="A762" s="36"/>
      <c r="B762" s="36"/>
      <c r="C762" s="36"/>
      <c r="D762" s="36"/>
      <c r="E762" s="36"/>
      <c r="F762" s="36"/>
      <c r="G762" s="36"/>
      <c r="H762" s="36"/>
      <c r="I762" s="36"/>
      <c r="J762" s="36"/>
      <c r="K762" s="36"/>
      <c r="L762" s="36"/>
      <c r="M762" s="36"/>
      <c r="N762" s="36"/>
      <c r="O762" s="36"/>
      <c r="P762" s="36"/>
    </row>
    <row r="763" spans="1:16" ht="15.75" customHeight="1">
      <c r="A763" s="37"/>
      <c r="B763" s="37"/>
      <c r="C763" s="37"/>
      <c r="D763" s="37"/>
      <c r="E763" s="37"/>
      <c r="F763" s="37"/>
      <c r="G763" s="37"/>
      <c r="H763" s="37"/>
      <c r="I763" s="37"/>
      <c r="J763" s="37"/>
      <c r="K763" s="37"/>
      <c r="L763" s="37"/>
      <c r="M763" s="37"/>
      <c r="N763" s="37"/>
      <c r="O763" s="37"/>
      <c r="P763" s="37"/>
    </row>
    <row r="764" spans="1:16" ht="15.75" customHeight="1">
      <c r="A764" s="36"/>
      <c r="B764" s="36"/>
      <c r="C764" s="36"/>
      <c r="D764" s="36"/>
      <c r="E764" s="36"/>
      <c r="F764" s="36"/>
      <c r="G764" s="36"/>
      <c r="H764" s="36"/>
      <c r="I764" s="36"/>
      <c r="J764" s="36"/>
      <c r="K764" s="36"/>
      <c r="L764" s="36"/>
      <c r="M764" s="36"/>
      <c r="N764" s="36"/>
      <c r="O764" s="36"/>
      <c r="P764" s="36"/>
    </row>
    <row r="765" spans="1:16" ht="15.75" customHeight="1">
      <c r="A765" s="37"/>
      <c r="B765" s="37"/>
      <c r="C765" s="37"/>
      <c r="D765" s="37"/>
      <c r="E765" s="37"/>
      <c r="F765" s="37"/>
      <c r="G765" s="37"/>
      <c r="H765" s="37"/>
      <c r="I765" s="37"/>
      <c r="J765" s="37"/>
      <c r="K765" s="37"/>
      <c r="L765" s="37"/>
      <c r="M765" s="37"/>
      <c r="N765" s="37"/>
      <c r="O765" s="37"/>
      <c r="P765" s="37"/>
    </row>
    <row r="766" spans="1:16" ht="15.75" customHeight="1">
      <c r="A766" s="36"/>
      <c r="B766" s="36"/>
      <c r="C766" s="36"/>
      <c r="D766" s="36"/>
      <c r="E766" s="36"/>
      <c r="F766" s="36"/>
      <c r="G766" s="36"/>
      <c r="H766" s="36"/>
      <c r="I766" s="36"/>
      <c r="J766" s="36"/>
      <c r="K766" s="36"/>
      <c r="L766" s="36"/>
      <c r="M766" s="36"/>
      <c r="N766" s="36"/>
      <c r="O766" s="36"/>
      <c r="P766" s="36"/>
    </row>
    <row r="767" spans="1:16" ht="15.75" customHeight="1">
      <c r="A767" s="37"/>
      <c r="B767" s="37"/>
      <c r="C767" s="37"/>
      <c r="D767" s="37"/>
      <c r="E767" s="37"/>
      <c r="F767" s="37"/>
      <c r="G767" s="37"/>
      <c r="H767" s="37"/>
      <c r="I767" s="37"/>
      <c r="J767" s="37"/>
      <c r="K767" s="37"/>
      <c r="L767" s="37"/>
      <c r="M767" s="37"/>
      <c r="N767" s="37"/>
      <c r="O767" s="37"/>
      <c r="P767" s="37"/>
    </row>
    <row r="768" spans="1:16" ht="15.75" customHeight="1">
      <c r="A768" s="36"/>
      <c r="B768" s="36"/>
      <c r="C768" s="36"/>
      <c r="D768" s="36"/>
      <c r="E768" s="36"/>
      <c r="F768" s="36"/>
      <c r="G768" s="36"/>
      <c r="H768" s="36"/>
      <c r="I768" s="36"/>
      <c r="J768" s="36"/>
      <c r="K768" s="36"/>
      <c r="L768" s="36"/>
      <c r="M768" s="36"/>
      <c r="N768" s="36"/>
      <c r="O768" s="36"/>
      <c r="P768" s="36"/>
    </row>
    <row r="769" spans="1:16" ht="15.75" customHeight="1">
      <c r="A769" s="37"/>
      <c r="B769" s="37"/>
      <c r="C769" s="37"/>
      <c r="D769" s="37"/>
      <c r="E769" s="37"/>
      <c r="F769" s="37"/>
      <c r="G769" s="37"/>
      <c r="H769" s="37"/>
      <c r="I769" s="37"/>
      <c r="J769" s="37"/>
      <c r="K769" s="37"/>
      <c r="L769" s="37"/>
      <c r="M769" s="37"/>
      <c r="N769" s="37"/>
      <c r="O769" s="37"/>
      <c r="P769" s="37"/>
    </row>
    <row r="770" spans="1:16" ht="15.75" customHeight="1">
      <c r="A770" s="36"/>
      <c r="B770" s="36"/>
      <c r="C770" s="36"/>
      <c r="D770" s="36"/>
      <c r="E770" s="36"/>
      <c r="F770" s="36"/>
      <c r="G770" s="36"/>
      <c r="H770" s="36"/>
      <c r="I770" s="36"/>
      <c r="J770" s="36"/>
      <c r="K770" s="36"/>
      <c r="L770" s="36"/>
      <c r="M770" s="36"/>
      <c r="N770" s="36"/>
      <c r="O770" s="36"/>
      <c r="P770" s="36"/>
    </row>
    <row r="771" spans="1:16" ht="15.75" customHeight="1">
      <c r="A771" s="37"/>
      <c r="B771" s="37"/>
      <c r="C771" s="37"/>
      <c r="D771" s="37"/>
      <c r="E771" s="37"/>
      <c r="F771" s="37"/>
      <c r="G771" s="37"/>
      <c r="H771" s="37"/>
      <c r="I771" s="37"/>
      <c r="J771" s="37"/>
      <c r="K771" s="37"/>
      <c r="L771" s="37"/>
      <c r="M771" s="37"/>
      <c r="N771" s="37"/>
      <c r="O771" s="37"/>
      <c r="P771" s="37"/>
    </row>
    <row r="772" spans="1:16" ht="15.75" customHeight="1">
      <c r="A772" s="36"/>
      <c r="B772" s="36"/>
      <c r="C772" s="36"/>
      <c r="D772" s="36"/>
      <c r="E772" s="36"/>
      <c r="F772" s="36"/>
      <c r="G772" s="36"/>
      <c r="H772" s="36"/>
      <c r="I772" s="36"/>
      <c r="J772" s="36"/>
      <c r="K772" s="36"/>
      <c r="L772" s="36"/>
      <c r="M772" s="36"/>
      <c r="N772" s="36"/>
      <c r="O772" s="36"/>
      <c r="P772" s="36"/>
    </row>
    <row r="773" spans="1:16" ht="15.75" customHeight="1">
      <c r="A773" s="37"/>
      <c r="B773" s="37"/>
      <c r="C773" s="37"/>
      <c r="D773" s="37"/>
      <c r="E773" s="37"/>
      <c r="F773" s="37"/>
      <c r="G773" s="37"/>
      <c r="H773" s="37"/>
      <c r="I773" s="37"/>
      <c r="J773" s="37"/>
      <c r="K773" s="37"/>
      <c r="L773" s="37"/>
      <c r="M773" s="37"/>
      <c r="N773" s="37"/>
      <c r="O773" s="37"/>
      <c r="P773" s="37"/>
    </row>
    <row r="774" spans="1:16" ht="15.75" customHeight="1">
      <c r="A774" s="36"/>
      <c r="B774" s="36"/>
      <c r="C774" s="36"/>
      <c r="D774" s="36"/>
      <c r="E774" s="36"/>
      <c r="F774" s="36"/>
      <c r="G774" s="36"/>
      <c r="H774" s="36"/>
      <c r="I774" s="36"/>
      <c r="J774" s="36"/>
      <c r="K774" s="36"/>
      <c r="L774" s="36"/>
      <c r="M774" s="36"/>
      <c r="N774" s="36"/>
      <c r="O774" s="36"/>
      <c r="P774" s="36"/>
    </row>
    <row r="775" spans="1:16" ht="15.75" customHeight="1">
      <c r="A775" s="37"/>
      <c r="B775" s="37"/>
      <c r="C775" s="37"/>
      <c r="D775" s="37"/>
      <c r="E775" s="37"/>
      <c r="F775" s="37"/>
      <c r="G775" s="37"/>
      <c r="H775" s="37"/>
      <c r="I775" s="37"/>
      <c r="J775" s="37"/>
      <c r="K775" s="37"/>
      <c r="L775" s="37"/>
      <c r="M775" s="37"/>
      <c r="N775" s="37"/>
      <c r="O775" s="37"/>
      <c r="P775" s="37"/>
    </row>
    <row r="776" spans="1:16" ht="15.75" customHeight="1">
      <c r="A776" s="36"/>
      <c r="B776" s="36"/>
      <c r="C776" s="36"/>
      <c r="D776" s="36"/>
      <c r="E776" s="36"/>
      <c r="F776" s="36"/>
      <c r="G776" s="36"/>
      <c r="H776" s="36"/>
      <c r="I776" s="36"/>
      <c r="J776" s="36"/>
      <c r="K776" s="36"/>
      <c r="L776" s="36"/>
      <c r="M776" s="36"/>
      <c r="N776" s="36"/>
      <c r="O776" s="36"/>
      <c r="P776" s="36"/>
    </row>
    <row r="777" spans="1:16" ht="15.75" customHeight="1">
      <c r="A777" s="37"/>
      <c r="B777" s="37"/>
      <c r="C777" s="37"/>
      <c r="D777" s="37"/>
      <c r="E777" s="37"/>
      <c r="F777" s="37"/>
      <c r="G777" s="37"/>
      <c r="H777" s="37"/>
      <c r="I777" s="37"/>
      <c r="J777" s="37"/>
      <c r="K777" s="37"/>
      <c r="L777" s="37"/>
      <c r="M777" s="37"/>
      <c r="N777" s="37"/>
      <c r="O777" s="37"/>
      <c r="P777" s="37"/>
    </row>
    <row r="778" spans="1:16" ht="15.75" customHeight="1">
      <c r="A778" s="36"/>
      <c r="B778" s="36"/>
      <c r="C778" s="36"/>
      <c r="D778" s="36"/>
      <c r="E778" s="36"/>
      <c r="F778" s="36"/>
      <c r="G778" s="36"/>
      <c r="H778" s="36"/>
      <c r="I778" s="36"/>
      <c r="J778" s="36"/>
      <c r="K778" s="36"/>
      <c r="L778" s="36"/>
      <c r="M778" s="36"/>
      <c r="N778" s="36"/>
      <c r="O778" s="36"/>
      <c r="P778" s="36"/>
    </row>
    <row r="779" spans="1:16" ht="15.75" customHeight="1">
      <c r="A779" s="37"/>
      <c r="B779" s="37"/>
      <c r="C779" s="37"/>
      <c r="D779" s="37"/>
      <c r="E779" s="37"/>
      <c r="F779" s="37"/>
      <c r="G779" s="37"/>
      <c r="H779" s="37"/>
      <c r="I779" s="37"/>
      <c r="J779" s="37"/>
      <c r="K779" s="37"/>
      <c r="L779" s="37"/>
      <c r="M779" s="37"/>
      <c r="N779" s="37"/>
      <c r="O779" s="37"/>
      <c r="P779" s="37"/>
    </row>
    <row r="780" spans="1:16" ht="15.75" customHeight="1">
      <c r="A780" s="36"/>
      <c r="B780" s="36"/>
      <c r="C780" s="36"/>
      <c r="D780" s="36"/>
      <c r="E780" s="36"/>
      <c r="F780" s="36"/>
      <c r="G780" s="36"/>
      <c r="H780" s="36"/>
      <c r="I780" s="36"/>
      <c r="J780" s="36"/>
      <c r="K780" s="36"/>
      <c r="L780" s="36"/>
      <c r="M780" s="36"/>
      <c r="N780" s="36"/>
      <c r="O780" s="36"/>
      <c r="P780" s="36"/>
    </row>
    <row r="781" spans="1:16" ht="15.75" customHeight="1">
      <c r="A781" s="37"/>
      <c r="B781" s="37"/>
      <c r="C781" s="37"/>
      <c r="D781" s="37"/>
      <c r="E781" s="37"/>
      <c r="F781" s="37"/>
      <c r="G781" s="37"/>
      <c r="H781" s="37"/>
      <c r="I781" s="37"/>
      <c r="J781" s="37"/>
      <c r="K781" s="37"/>
      <c r="L781" s="37"/>
      <c r="M781" s="37"/>
      <c r="N781" s="37"/>
      <c r="O781" s="37"/>
      <c r="P781" s="37"/>
    </row>
    <row r="782" spans="1:16" ht="15.75" customHeight="1">
      <c r="A782" s="36"/>
      <c r="B782" s="36"/>
      <c r="C782" s="36"/>
      <c r="D782" s="36"/>
      <c r="E782" s="36"/>
      <c r="F782" s="36"/>
      <c r="G782" s="36"/>
      <c r="H782" s="36"/>
      <c r="I782" s="36"/>
      <c r="J782" s="36"/>
      <c r="K782" s="36"/>
      <c r="L782" s="36"/>
      <c r="M782" s="36"/>
      <c r="N782" s="36"/>
      <c r="O782" s="36"/>
      <c r="P782" s="36"/>
    </row>
    <row r="783" spans="1:16" ht="15.75" customHeight="1">
      <c r="A783" s="37"/>
      <c r="B783" s="37"/>
      <c r="C783" s="37"/>
      <c r="D783" s="37"/>
      <c r="E783" s="37"/>
      <c r="F783" s="37"/>
      <c r="G783" s="37"/>
      <c r="H783" s="37"/>
      <c r="I783" s="37"/>
      <c r="J783" s="37"/>
      <c r="K783" s="37"/>
      <c r="L783" s="37"/>
      <c r="M783" s="37"/>
      <c r="N783" s="37"/>
      <c r="O783" s="37"/>
      <c r="P783" s="37"/>
    </row>
    <row r="784" spans="1:16" ht="15.75" customHeight="1">
      <c r="A784" s="36"/>
      <c r="B784" s="36"/>
      <c r="C784" s="36"/>
      <c r="D784" s="36"/>
      <c r="E784" s="36"/>
      <c r="F784" s="36"/>
      <c r="G784" s="36"/>
      <c r="H784" s="36"/>
      <c r="I784" s="36"/>
      <c r="J784" s="36"/>
      <c r="K784" s="36"/>
      <c r="L784" s="36"/>
      <c r="M784" s="36"/>
      <c r="N784" s="36"/>
      <c r="O784" s="36"/>
      <c r="P784" s="36"/>
    </row>
    <row r="785" spans="1:16" ht="15.75" customHeight="1">
      <c r="A785" s="37"/>
      <c r="B785" s="37"/>
      <c r="C785" s="37"/>
      <c r="D785" s="37"/>
      <c r="E785" s="37"/>
      <c r="F785" s="37"/>
      <c r="G785" s="37"/>
      <c r="H785" s="37"/>
      <c r="I785" s="37"/>
      <c r="J785" s="37"/>
      <c r="K785" s="37"/>
      <c r="L785" s="37"/>
      <c r="M785" s="37"/>
      <c r="N785" s="37"/>
      <c r="O785" s="37"/>
      <c r="P785" s="37"/>
    </row>
    <row r="786" spans="1:16" ht="15.75" customHeight="1">
      <c r="A786" s="36"/>
      <c r="B786" s="36"/>
      <c r="C786" s="36"/>
      <c r="D786" s="36"/>
      <c r="E786" s="36"/>
      <c r="F786" s="36"/>
      <c r="G786" s="36"/>
      <c r="H786" s="36"/>
      <c r="I786" s="36"/>
      <c r="J786" s="36"/>
      <c r="K786" s="36"/>
      <c r="L786" s="36"/>
      <c r="M786" s="36"/>
      <c r="N786" s="36"/>
      <c r="O786" s="36"/>
      <c r="P786" s="36"/>
    </row>
    <row r="787" spans="1:16" ht="15.75" customHeight="1">
      <c r="A787" s="37"/>
      <c r="B787" s="37"/>
      <c r="C787" s="37"/>
      <c r="D787" s="37"/>
      <c r="E787" s="37"/>
      <c r="F787" s="37"/>
      <c r="G787" s="37"/>
      <c r="H787" s="37"/>
      <c r="I787" s="37"/>
      <c r="J787" s="37"/>
      <c r="K787" s="37"/>
      <c r="L787" s="37"/>
      <c r="M787" s="37"/>
      <c r="N787" s="37"/>
      <c r="O787" s="37"/>
      <c r="P787" s="37"/>
    </row>
    <row r="788" spans="1:16" ht="15.75" customHeight="1">
      <c r="A788" s="36"/>
      <c r="B788" s="36"/>
      <c r="C788" s="36"/>
      <c r="D788" s="36"/>
      <c r="E788" s="36"/>
      <c r="F788" s="36"/>
      <c r="G788" s="36"/>
      <c r="H788" s="36"/>
      <c r="I788" s="36"/>
      <c r="J788" s="36"/>
      <c r="K788" s="36"/>
      <c r="L788" s="36"/>
      <c r="M788" s="36"/>
      <c r="N788" s="36"/>
      <c r="O788" s="36"/>
      <c r="P788" s="36"/>
    </row>
    <row r="789" spans="1:16" ht="15.75" customHeight="1">
      <c r="A789" s="37"/>
      <c r="B789" s="37"/>
      <c r="C789" s="37"/>
      <c r="D789" s="37"/>
      <c r="E789" s="37"/>
      <c r="F789" s="37"/>
      <c r="G789" s="37"/>
      <c r="H789" s="37"/>
      <c r="I789" s="37"/>
      <c r="J789" s="37"/>
      <c r="K789" s="37"/>
      <c r="L789" s="37"/>
      <c r="M789" s="37"/>
      <c r="N789" s="37"/>
      <c r="O789" s="37"/>
      <c r="P789" s="37"/>
    </row>
    <row r="790" spans="1:16" ht="15.75" customHeight="1">
      <c r="A790" s="36"/>
      <c r="B790" s="36"/>
      <c r="C790" s="36"/>
      <c r="D790" s="36"/>
      <c r="E790" s="36"/>
      <c r="F790" s="36"/>
      <c r="G790" s="36"/>
      <c r="H790" s="36"/>
      <c r="I790" s="36"/>
      <c r="J790" s="36"/>
      <c r="K790" s="36"/>
      <c r="L790" s="36"/>
      <c r="M790" s="36"/>
      <c r="N790" s="36"/>
      <c r="O790" s="36"/>
      <c r="P790" s="36"/>
    </row>
    <row r="791" spans="1:16" ht="15.75" customHeight="1">
      <c r="A791" s="37"/>
      <c r="B791" s="37"/>
      <c r="C791" s="37"/>
      <c r="D791" s="37"/>
      <c r="E791" s="37"/>
      <c r="F791" s="37"/>
      <c r="G791" s="37"/>
      <c r="H791" s="37"/>
      <c r="I791" s="37"/>
      <c r="J791" s="37"/>
      <c r="K791" s="37"/>
      <c r="L791" s="37"/>
      <c r="M791" s="37"/>
      <c r="N791" s="37"/>
      <c r="O791" s="37"/>
      <c r="P791" s="37"/>
    </row>
    <row r="792" spans="1:16" ht="15.75" customHeight="1">
      <c r="A792" s="36"/>
      <c r="B792" s="36"/>
      <c r="C792" s="36"/>
      <c r="D792" s="36"/>
      <c r="E792" s="36"/>
      <c r="F792" s="36"/>
      <c r="G792" s="36"/>
      <c r="H792" s="36"/>
      <c r="I792" s="36"/>
      <c r="J792" s="36"/>
      <c r="K792" s="36"/>
      <c r="L792" s="36"/>
      <c r="M792" s="36"/>
      <c r="N792" s="36"/>
      <c r="O792" s="36"/>
      <c r="P792" s="36"/>
    </row>
    <row r="793" spans="1:16" ht="15.75" customHeight="1">
      <c r="A793" s="37"/>
      <c r="B793" s="37"/>
      <c r="C793" s="37"/>
      <c r="D793" s="37"/>
      <c r="E793" s="37"/>
      <c r="F793" s="37"/>
      <c r="G793" s="37"/>
      <c r="H793" s="37"/>
      <c r="I793" s="37"/>
      <c r="J793" s="37"/>
      <c r="K793" s="37"/>
      <c r="L793" s="37"/>
      <c r="M793" s="37"/>
      <c r="N793" s="37"/>
      <c r="O793" s="37"/>
      <c r="P793" s="37"/>
    </row>
    <row r="794" spans="1:16" ht="15.75" customHeight="1">
      <c r="A794" s="36"/>
      <c r="B794" s="36"/>
      <c r="C794" s="36"/>
      <c r="D794" s="36"/>
      <c r="E794" s="36"/>
      <c r="F794" s="36"/>
      <c r="G794" s="36"/>
      <c r="H794" s="36"/>
      <c r="I794" s="36"/>
      <c r="J794" s="36"/>
      <c r="K794" s="36"/>
      <c r="L794" s="36"/>
      <c r="M794" s="36"/>
      <c r="N794" s="36"/>
      <c r="O794" s="36"/>
      <c r="P794" s="36"/>
    </row>
    <row r="795" spans="1:16" ht="15.75" customHeight="1">
      <c r="A795" s="37"/>
      <c r="B795" s="37"/>
      <c r="C795" s="37"/>
      <c r="D795" s="37"/>
      <c r="E795" s="37"/>
      <c r="F795" s="37"/>
      <c r="G795" s="37"/>
      <c r="H795" s="37"/>
      <c r="I795" s="37"/>
      <c r="J795" s="37"/>
      <c r="K795" s="37"/>
      <c r="L795" s="37"/>
      <c r="M795" s="37"/>
      <c r="N795" s="37"/>
      <c r="O795" s="37"/>
      <c r="P795" s="37"/>
    </row>
    <row r="796" spans="1:16" ht="15.75" customHeight="1">
      <c r="A796" s="36"/>
      <c r="B796" s="36"/>
      <c r="C796" s="36"/>
      <c r="D796" s="36"/>
      <c r="E796" s="36"/>
      <c r="F796" s="36"/>
      <c r="G796" s="36"/>
      <c r="H796" s="36"/>
      <c r="I796" s="36"/>
      <c r="J796" s="36"/>
      <c r="K796" s="36"/>
      <c r="L796" s="36"/>
      <c r="M796" s="36"/>
      <c r="N796" s="36"/>
      <c r="O796" s="36"/>
      <c r="P796" s="36"/>
    </row>
    <row r="797" spans="1:16" ht="15.75" customHeight="1">
      <c r="A797" s="37"/>
      <c r="B797" s="37"/>
      <c r="C797" s="37"/>
      <c r="D797" s="37"/>
      <c r="E797" s="37"/>
      <c r="F797" s="37"/>
      <c r="G797" s="37"/>
      <c r="H797" s="37"/>
      <c r="I797" s="37"/>
      <c r="J797" s="37"/>
      <c r="K797" s="37"/>
      <c r="L797" s="37"/>
      <c r="M797" s="37"/>
      <c r="N797" s="37"/>
      <c r="O797" s="37"/>
      <c r="P797" s="37"/>
    </row>
    <row r="798" spans="1:16" ht="15.75" customHeight="1">
      <c r="A798" s="36"/>
      <c r="B798" s="36"/>
      <c r="C798" s="36"/>
      <c r="D798" s="36"/>
      <c r="E798" s="36"/>
      <c r="F798" s="36"/>
      <c r="G798" s="36"/>
      <c r="H798" s="36"/>
      <c r="I798" s="36"/>
      <c r="J798" s="36"/>
      <c r="K798" s="36"/>
      <c r="L798" s="36"/>
      <c r="M798" s="36"/>
      <c r="N798" s="36"/>
      <c r="O798" s="36"/>
      <c r="P798" s="36"/>
    </row>
    <row r="799" spans="1:16" ht="15.75" customHeight="1">
      <c r="A799" s="37"/>
      <c r="B799" s="37"/>
      <c r="C799" s="37"/>
      <c r="D799" s="37"/>
      <c r="E799" s="37"/>
      <c r="F799" s="37"/>
      <c r="G799" s="37"/>
      <c r="H799" s="37"/>
      <c r="I799" s="37"/>
      <c r="J799" s="37"/>
      <c r="K799" s="37"/>
      <c r="L799" s="37"/>
      <c r="M799" s="37"/>
      <c r="N799" s="37"/>
      <c r="O799" s="37"/>
      <c r="P799" s="37"/>
    </row>
    <row r="800" spans="1:16" ht="15.75" customHeight="1">
      <c r="A800" s="36"/>
      <c r="B800" s="36"/>
      <c r="C800" s="36"/>
      <c r="D800" s="36"/>
      <c r="E800" s="36"/>
      <c r="F800" s="36"/>
      <c r="G800" s="36"/>
      <c r="H800" s="36"/>
      <c r="I800" s="36"/>
      <c r="J800" s="36"/>
      <c r="K800" s="36"/>
      <c r="L800" s="36"/>
      <c r="M800" s="36"/>
      <c r="N800" s="36"/>
      <c r="O800" s="36"/>
      <c r="P800" s="36"/>
    </row>
    <row r="801" spans="1:16" ht="15.75" customHeight="1">
      <c r="A801" s="37"/>
      <c r="B801" s="37"/>
      <c r="C801" s="37"/>
      <c r="D801" s="37"/>
      <c r="E801" s="37"/>
      <c r="F801" s="37"/>
      <c r="G801" s="37"/>
      <c r="H801" s="37"/>
      <c r="I801" s="37"/>
      <c r="J801" s="37"/>
      <c r="K801" s="37"/>
      <c r="L801" s="37"/>
      <c r="M801" s="37"/>
      <c r="N801" s="37"/>
      <c r="O801" s="37"/>
      <c r="P801" s="37"/>
    </row>
    <row r="802" spans="1:16" ht="15.75" customHeight="1">
      <c r="A802" s="36"/>
      <c r="B802" s="36"/>
      <c r="C802" s="36"/>
      <c r="D802" s="36"/>
      <c r="E802" s="36"/>
      <c r="F802" s="36"/>
      <c r="G802" s="36"/>
      <c r="H802" s="36"/>
      <c r="I802" s="36"/>
      <c r="J802" s="36"/>
      <c r="K802" s="36"/>
      <c r="L802" s="36"/>
      <c r="M802" s="36"/>
      <c r="N802" s="36"/>
      <c r="O802" s="36"/>
      <c r="P802" s="36"/>
    </row>
    <row r="803" spans="1:16" ht="15.75" customHeight="1">
      <c r="A803" s="37"/>
      <c r="B803" s="37"/>
      <c r="C803" s="37"/>
      <c r="D803" s="37"/>
      <c r="E803" s="37"/>
      <c r="F803" s="37"/>
      <c r="G803" s="37"/>
      <c r="H803" s="37"/>
      <c r="I803" s="37"/>
      <c r="J803" s="37"/>
      <c r="K803" s="37"/>
      <c r="L803" s="37"/>
      <c r="M803" s="37"/>
      <c r="N803" s="37"/>
      <c r="O803" s="37"/>
      <c r="P803" s="37"/>
    </row>
    <row r="804" spans="1:16" ht="15.75" customHeight="1">
      <c r="A804" s="36"/>
      <c r="B804" s="36"/>
      <c r="C804" s="36"/>
      <c r="D804" s="36"/>
      <c r="E804" s="36"/>
      <c r="F804" s="36"/>
      <c r="G804" s="36"/>
      <c r="H804" s="36"/>
      <c r="I804" s="36"/>
      <c r="J804" s="36"/>
      <c r="K804" s="36"/>
      <c r="L804" s="36"/>
      <c r="M804" s="36"/>
      <c r="N804" s="36"/>
      <c r="O804" s="36"/>
      <c r="P804" s="36"/>
    </row>
    <row r="805" spans="1:16" ht="15.75" customHeight="1">
      <c r="A805" s="37"/>
      <c r="B805" s="37"/>
      <c r="C805" s="37"/>
      <c r="D805" s="37"/>
      <c r="E805" s="37"/>
      <c r="F805" s="37"/>
      <c r="G805" s="37"/>
      <c r="H805" s="37"/>
      <c r="I805" s="37"/>
      <c r="J805" s="37"/>
      <c r="K805" s="37"/>
      <c r="L805" s="37"/>
      <c r="M805" s="37"/>
      <c r="N805" s="37"/>
      <c r="O805" s="37"/>
      <c r="P805" s="37"/>
    </row>
    <row r="806" spans="1:16" ht="15.75" customHeight="1">
      <c r="A806" s="36"/>
      <c r="B806" s="36"/>
      <c r="C806" s="36"/>
      <c r="D806" s="36"/>
      <c r="E806" s="36"/>
      <c r="F806" s="36"/>
      <c r="G806" s="36"/>
      <c r="H806" s="36"/>
      <c r="I806" s="36"/>
      <c r="J806" s="36"/>
      <c r="K806" s="36"/>
      <c r="L806" s="36"/>
      <c r="M806" s="36"/>
      <c r="N806" s="36"/>
      <c r="O806" s="36"/>
      <c r="P806" s="36"/>
    </row>
    <row r="807" spans="1:16" ht="15.75" customHeight="1">
      <c r="A807" s="37"/>
      <c r="B807" s="37"/>
      <c r="C807" s="37"/>
      <c r="D807" s="37"/>
      <c r="E807" s="37"/>
      <c r="F807" s="37"/>
      <c r="G807" s="37"/>
      <c r="H807" s="37"/>
      <c r="I807" s="37"/>
      <c r="J807" s="37"/>
      <c r="K807" s="37"/>
      <c r="L807" s="37"/>
      <c r="M807" s="37"/>
      <c r="N807" s="37"/>
      <c r="O807" s="37"/>
      <c r="P807" s="37"/>
    </row>
    <row r="808" spans="1:16" ht="15.75" customHeight="1">
      <c r="A808" s="36"/>
      <c r="B808" s="36"/>
      <c r="C808" s="36"/>
      <c r="D808" s="36"/>
      <c r="E808" s="36"/>
      <c r="F808" s="36"/>
      <c r="G808" s="36"/>
      <c r="H808" s="36"/>
      <c r="I808" s="36"/>
      <c r="J808" s="36"/>
      <c r="K808" s="36"/>
      <c r="L808" s="36"/>
      <c r="M808" s="36"/>
      <c r="N808" s="36"/>
      <c r="O808" s="36"/>
      <c r="P808" s="36"/>
    </row>
    <row r="809" spans="1:16" ht="15.75" customHeight="1">
      <c r="A809" s="37"/>
      <c r="B809" s="37"/>
      <c r="C809" s="37"/>
      <c r="D809" s="37"/>
      <c r="E809" s="37"/>
      <c r="F809" s="37"/>
      <c r="G809" s="37"/>
      <c r="H809" s="37"/>
      <c r="I809" s="37"/>
      <c r="J809" s="37"/>
      <c r="K809" s="37"/>
      <c r="L809" s="37"/>
      <c r="M809" s="37"/>
      <c r="N809" s="37"/>
      <c r="O809" s="37"/>
      <c r="P809" s="37"/>
    </row>
    <row r="810" spans="1:16" ht="15.75" customHeight="1">
      <c r="A810" s="36"/>
      <c r="B810" s="36"/>
      <c r="C810" s="36"/>
      <c r="D810" s="36"/>
      <c r="E810" s="36"/>
      <c r="F810" s="36"/>
      <c r="G810" s="36"/>
      <c r="H810" s="36"/>
      <c r="I810" s="36"/>
      <c r="J810" s="36"/>
      <c r="K810" s="36"/>
      <c r="L810" s="36"/>
      <c r="M810" s="36"/>
      <c r="N810" s="36"/>
      <c r="O810" s="36"/>
      <c r="P810" s="36"/>
    </row>
    <row r="811" spans="1:16" ht="15.75" customHeight="1">
      <c r="A811" s="37"/>
      <c r="B811" s="37"/>
      <c r="C811" s="37"/>
      <c r="D811" s="37"/>
      <c r="E811" s="37"/>
      <c r="F811" s="37"/>
      <c r="G811" s="37"/>
      <c r="H811" s="37"/>
      <c r="I811" s="37"/>
      <c r="J811" s="37"/>
      <c r="K811" s="37"/>
      <c r="L811" s="37"/>
      <c r="M811" s="37"/>
      <c r="N811" s="37"/>
      <c r="O811" s="37"/>
      <c r="P811" s="37"/>
    </row>
    <row r="812" spans="1:16" ht="15.75" customHeight="1">
      <c r="A812" s="36"/>
      <c r="B812" s="36"/>
      <c r="C812" s="36"/>
      <c r="D812" s="36"/>
      <c r="E812" s="36"/>
      <c r="F812" s="36"/>
      <c r="G812" s="36"/>
      <c r="H812" s="36"/>
      <c r="I812" s="36"/>
      <c r="J812" s="36"/>
      <c r="K812" s="36"/>
      <c r="L812" s="36"/>
      <c r="M812" s="36"/>
      <c r="N812" s="36"/>
      <c r="O812" s="36"/>
      <c r="P812" s="36"/>
    </row>
    <row r="813" spans="1:16" ht="15.75" customHeight="1">
      <c r="A813" s="37"/>
      <c r="B813" s="37"/>
      <c r="C813" s="37"/>
      <c r="D813" s="37"/>
      <c r="E813" s="37"/>
      <c r="F813" s="37"/>
      <c r="G813" s="37"/>
      <c r="H813" s="37"/>
      <c r="I813" s="37"/>
      <c r="J813" s="37"/>
      <c r="K813" s="37"/>
      <c r="L813" s="37"/>
      <c r="M813" s="37"/>
      <c r="N813" s="37"/>
      <c r="O813" s="37"/>
      <c r="P813" s="37"/>
    </row>
    <row r="814" spans="1:16" ht="15.75" customHeight="1">
      <c r="A814" s="36"/>
      <c r="B814" s="36"/>
      <c r="C814" s="36"/>
      <c r="D814" s="36"/>
      <c r="E814" s="36"/>
      <c r="F814" s="36"/>
      <c r="G814" s="36"/>
      <c r="H814" s="36"/>
      <c r="I814" s="36"/>
      <c r="J814" s="36"/>
      <c r="K814" s="36"/>
      <c r="L814" s="36"/>
      <c r="M814" s="36"/>
      <c r="N814" s="36"/>
      <c r="O814" s="36"/>
      <c r="P814" s="36"/>
    </row>
    <row r="815" spans="1:16" ht="15.75" customHeight="1">
      <c r="A815" s="37"/>
      <c r="B815" s="37"/>
      <c r="C815" s="37"/>
      <c r="D815" s="37"/>
      <c r="E815" s="37"/>
      <c r="F815" s="37"/>
      <c r="G815" s="37"/>
      <c r="H815" s="37"/>
      <c r="I815" s="37"/>
      <c r="J815" s="37"/>
      <c r="K815" s="37"/>
      <c r="L815" s="37"/>
      <c r="M815" s="37"/>
      <c r="N815" s="37"/>
      <c r="O815" s="37"/>
      <c r="P815" s="37"/>
    </row>
    <row r="816" spans="1:16" ht="15.75" customHeight="1">
      <c r="A816" s="36"/>
      <c r="B816" s="36"/>
      <c r="C816" s="36"/>
      <c r="D816" s="36"/>
      <c r="E816" s="36"/>
      <c r="F816" s="36"/>
      <c r="G816" s="36"/>
      <c r="H816" s="36"/>
      <c r="I816" s="36"/>
      <c r="J816" s="36"/>
      <c r="K816" s="36"/>
      <c r="L816" s="36"/>
      <c r="M816" s="36"/>
      <c r="N816" s="36"/>
      <c r="O816" s="36"/>
      <c r="P816" s="36"/>
    </row>
    <row r="817" spans="1:16" ht="15.75" customHeight="1">
      <c r="A817" s="37"/>
      <c r="B817" s="37"/>
      <c r="C817" s="37"/>
      <c r="D817" s="37"/>
      <c r="E817" s="37"/>
      <c r="F817" s="37"/>
      <c r="G817" s="37"/>
      <c r="H817" s="37"/>
      <c r="I817" s="37"/>
      <c r="J817" s="37"/>
      <c r="K817" s="37"/>
      <c r="L817" s="37"/>
      <c r="M817" s="37"/>
      <c r="N817" s="37"/>
      <c r="O817" s="37"/>
      <c r="P817" s="37"/>
    </row>
    <row r="818" spans="1:16" ht="15.75" customHeight="1">
      <c r="A818" s="36"/>
      <c r="B818" s="36"/>
      <c r="C818" s="36"/>
      <c r="D818" s="36"/>
      <c r="E818" s="36"/>
      <c r="F818" s="36"/>
      <c r="G818" s="36"/>
      <c r="H818" s="36"/>
      <c r="I818" s="36"/>
      <c r="J818" s="36"/>
      <c r="K818" s="36"/>
      <c r="L818" s="36"/>
      <c r="M818" s="36"/>
      <c r="N818" s="36"/>
      <c r="O818" s="36"/>
      <c r="P818" s="36"/>
    </row>
    <row r="819" spans="1:16" ht="15.75" customHeight="1">
      <c r="A819" s="37"/>
      <c r="B819" s="37"/>
      <c r="C819" s="37"/>
      <c r="D819" s="37"/>
      <c r="E819" s="37"/>
      <c r="F819" s="37"/>
      <c r="G819" s="37"/>
      <c r="H819" s="37"/>
      <c r="I819" s="37"/>
      <c r="J819" s="37"/>
      <c r="K819" s="37"/>
      <c r="L819" s="37"/>
      <c r="M819" s="37"/>
      <c r="N819" s="37"/>
      <c r="O819" s="37"/>
      <c r="P819" s="37"/>
    </row>
    <row r="820" spans="1:16" ht="15.75" customHeight="1">
      <c r="A820" s="36"/>
      <c r="B820" s="36"/>
      <c r="C820" s="36"/>
      <c r="D820" s="36"/>
      <c r="E820" s="36"/>
      <c r="F820" s="36"/>
      <c r="G820" s="36"/>
      <c r="H820" s="36"/>
      <c r="I820" s="36"/>
      <c r="J820" s="36"/>
      <c r="K820" s="36"/>
      <c r="L820" s="36"/>
      <c r="M820" s="36"/>
      <c r="N820" s="36"/>
      <c r="O820" s="36"/>
      <c r="P820" s="36"/>
    </row>
    <row r="821" spans="1:16" ht="15.75" customHeight="1">
      <c r="A821" s="37"/>
      <c r="B821" s="37"/>
      <c r="C821" s="37"/>
      <c r="D821" s="37"/>
      <c r="E821" s="37"/>
      <c r="F821" s="37"/>
      <c r="G821" s="37"/>
      <c r="H821" s="37"/>
      <c r="I821" s="37"/>
      <c r="J821" s="37"/>
      <c r="K821" s="37"/>
      <c r="L821" s="37"/>
      <c r="M821" s="37"/>
      <c r="N821" s="37"/>
      <c r="O821" s="37"/>
      <c r="P821" s="37"/>
    </row>
    <row r="822" spans="1:16" ht="15.75" customHeight="1">
      <c r="A822" s="36"/>
      <c r="B822" s="36"/>
      <c r="C822" s="36"/>
      <c r="D822" s="36"/>
      <c r="E822" s="36"/>
      <c r="F822" s="36"/>
      <c r="G822" s="36"/>
      <c r="H822" s="36"/>
      <c r="I822" s="36"/>
      <c r="J822" s="36"/>
      <c r="K822" s="36"/>
      <c r="L822" s="36"/>
      <c r="M822" s="36"/>
      <c r="N822" s="36"/>
      <c r="O822" s="36"/>
      <c r="P822" s="36"/>
    </row>
    <row r="823" spans="1:16" ht="15.75" customHeight="1">
      <c r="A823" s="37"/>
      <c r="B823" s="37"/>
      <c r="C823" s="37"/>
      <c r="D823" s="37"/>
      <c r="E823" s="37"/>
      <c r="F823" s="37"/>
      <c r="G823" s="37"/>
      <c r="H823" s="37"/>
      <c r="I823" s="37"/>
      <c r="J823" s="37"/>
      <c r="K823" s="37"/>
      <c r="L823" s="37"/>
      <c r="M823" s="37"/>
      <c r="N823" s="37"/>
      <c r="O823" s="37"/>
      <c r="P823" s="37"/>
    </row>
    <row r="824" spans="1:16" ht="15.75" customHeight="1">
      <c r="A824" s="36"/>
      <c r="B824" s="36"/>
      <c r="C824" s="36"/>
      <c r="D824" s="36"/>
      <c r="E824" s="36"/>
      <c r="F824" s="36"/>
      <c r="G824" s="36"/>
      <c r="H824" s="36"/>
      <c r="I824" s="36"/>
      <c r="J824" s="36"/>
      <c r="K824" s="36"/>
      <c r="L824" s="36"/>
      <c r="M824" s="36"/>
      <c r="N824" s="36"/>
      <c r="O824" s="36"/>
      <c r="P824" s="36"/>
    </row>
    <row r="825" spans="1:16" ht="15.75" customHeight="1">
      <c r="A825" s="37"/>
      <c r="B825" s="37"/>
      <c r="C825" s="37"/>
      <c r="D825" s="37"/>
      <c r="E825" s="37"/>
      <c r="F825" s="37"/>
      <c r="G825" s="37"/>
      <c r="H825" s="37"/>
      <c r="I825" s="37"/>
      <c r="J825" s="37"/>
      <c r="K825" s="37"/>
      <c r="L825" s="37"/>
      <c r="M825" s="37"/>
      <c r="N825" s="37"/>
      <c r="O825" s="37"/>
      <c r="P825" s="37"/>
    </row>
    <row r="826" spans="1:16" ht="15.75" customHeight="1">
      <c r="A826" s="36"/>
      <c r="B826" s="36"/>
      <c r="C826" s="36"/>
      <c r="D826" s="36"/>
      <c r="E826" s="36"/>
      <c r="F826" s="36"/>
      <c r="G826" s="36"/>
      <c r="H826" s="36"/>
      <c r="I826" s="36"/>
      <c r="J826" s="36"/>
      <c r="K826" s="36"/>
      <c r="L826" s="36"/>
      <c r="M826" s="36"/>
      <c r="N826" s="36"/>
      <c r="O826" s="36"/>
      <c r="P826" s="36"/>
    </row>
    <row r="827" spans="1:16" ht="15.75" customHeight="1">
      <c r="A827" s="37"/>
      <c r="B827" s="37"/>
      <c r="C827" s="37"/>
      <c r="D827" s="37"/>
      <c r="E827" s="37"/>
      <c r="F827" s="37"/>
      <c r="G827" s="37"/>
      <c r="H827" s="37"/>
      <c r="I827" s="37"/>
      <c r="J827" s="37"/>
      <c r="K827" s="37"/>
      <c r="L827" s="37"/>
      <c r="M827" s="37"/>
      <c r="N827" s="37"/>
      <c r="O827" s="37"/>
      <c r="P827" s="37"/>
    </row>
    <row r="828" spans="1:16" ht="15.75" customHeight="1">
      <c r="A828" s="36"/>
      <c r="B828" s="36"/>
      <c r="C828" s="36"/>
      <c r="D828" s="36"/>
      <c r="E828" s="36"/>
      <c r="F828" s="36"/>
      <c r="G828" s="36"/>
      <c r="H828" s="36"/>
      <c r="I828" s="36"/>
      <c r="J828" s="36"/>
      <c r="K828" s="36"/>
      <c r="L828" s="36"/>
      <c r="M828" s="36"/>
      <c r="N828" s="36"/>
      <c r="O828" s="36"/>
      <c r="P828" s="36"/>
    </row>
    <row r="829" spans="1:16" ht="15.75" customHeight="1">
      <c r="A829" s="37"/>
      <c r="B829" s="37"/>
      <c r="C829" s="37"/>
      <c r="D829" s="37"/>
      <c r="E829" s="37"/>
      <c r="F829" s="37"/>
      <c r="G829" s="37"/>
      <c r="H829" s="37"/>
      <c r="I829" s="37"/>
      <c r="J829" s="37"/>
      <c r="K829" s="37"/>
      <c r="L829" s="37"/>
      <c r="M829" s="37"/>
      <c r="N829" s="37"/>
      <c r="O829" s="37"/>
      <c r="P829" s="37"/>
    </row>
    <row r="830" spans="1:16" ht="15.75" customHeight="1">
      <c r="A830" s="36"/>
      <c r="B830" s="36"/>
      <c r="C830" s="36"/>
      <c r="D830" s="36"/>
      <c r="E830" s="36"/>
      <c r="F830" s="36"/>
      <c r="G830" s="36"/>
      <c r="H830" s="36"/>
      <c r="I830" s="36"/>
      <c r="J830" s="36"/>
      <c r="K830" s="36"/>
      <c r="L830" s="36"/>
      <c r="M830" s="36"/>
      <c r="N830" s="36"/>
      <c r="O830" s="36"/>
      <c r="P830" s="36"/>
    </row>
    <row r="831" spans="1:16" ht="15.75" customHeight="1">
      <c r="A831" s="37"/>
      <c r="B831" s="37"/>
      <c r="C831" s="37"/>
      <c r="D831" s="37"/>
      <c r="E831" s="37"/>
      <c r="F831" s="37"/>
      <c r="G831" s="37"/>
      <c r="H831" s="37"/>
      <c r="I831" s="37"/>
      <c r="J831" s="37"/>
      <c r="K831" s="37"/>
      <c r="L831" s="37"/>
      <c r="M831" s="37"/>
      <c r="N831" s="37"/>
      <c r="O831" s="37"/>
      <c r="P831" s="37"/>
    </row>
    <row r="832" spans="1:16" ht="15.75" customHeight="1">
      <c r="A832" s="36"/>
      <c r="B832" s="36"/>
      <c r="C832" s="36"/>
      <c r="D832" s="36"/>
      <c r="E832" s="36"/>
      <c r="F832" s="36"/>
      <c r="G832" s="36"/>
      <c r="H832" s="36"/>
      <c r="I832" s="36"/>
      <c r="J832" s="36"/>
      <c r="K832" s="36"/>
      <c r="L832" s="36"/>
      <c r="M832" s="36"/>
      <c r="N832" s="36"/>
      <c r="O832" s="36"/>
      <c r="P832" s="36"/>
    </row>
    <row r="833" spans="1:16" ht="15.75" customHeight="1">
      <c r="A833" s="37"/>
      <c r="B833" s="37"/>
      <c r="C833" s="37"/>
      <c r="D833" s="37"/>
      <c r="E833" s="37"/>
      <c r="F833" s="37"/>
      <c r="G833" s="37"/>
      <c r="H833" s="37"/>
      <c r="I833" s="37"/>
      <c r="J833" s="37"/>
      <c r="K833" s="37"/>
      <c r="L833" s="37"/>
      <c r="M833" s="37"/>
      <c r="N833" s="37"/>
      <c r="O833" s="37"/>
      <c r="P833" s="37"/>
    </row>
    <row r="834" spans="1:16" ht="15.75" customHeight="1">
      <c r="A834" s="36"/>
      <c r="B834" s="36"/>
      <c r="C834" s="36"/>
      <c r="D834" s="36"/>
      <c r="E834" s="36"/>
      <c r="F834" s="36"/>
      <c r="G834" s="36"/>
      <c r="H834" s="36"/>
      <c r="I834" s="36"/>
      <c r="J834" s="36"/>
      <c r="K834" s="36"/>
      <c r="L834" s="36"/>
      <c r="M834" s="36"/>
      <c r="N834" s="36"/>
      <c r="O834" s="36"/>
      <c r="P834" s="36"/>
    </row>
    <row r="835" spans="1:16" ht="15.75" customHeight="1">
      <c r="A835" s="37"/>
      <c r="B835" s="37"/>
      <c r="C835" s="37"/>
      <c r="D835" s="37"/>
      <c r="E835" s="37"/>
      <c r="F835" s="37"/>
      <c r="G835" s="37"/>
      <c r="H835" s="37"/>
      <c r="I835" s="37"/>
      <c r="J835" s="37"/>
      <c r="K835" s="37"/>
      <c r="L835" s="37"/>
      <c r="M835" s="37"/>
      <c r="N835" s="37"/>
      <c r="O835" s="37"/>
      <c r="P835" s="37"/>
    </row>
    <row r="836" spans="1:16" ht="15.75" customHeight="1">
      <c r="A836" s="36"/>
      <c r="B836" s="36"/>
      <c r="C836" s="36"/>
      <c r="D836" s="36"/>
      <c r="E836" s="36"/>
      <c r="F836" s="36"/>
      <c r="G836" s="36"/>
      <c r="H836" s="36"/>
      <c r="I836" s="36"/>
      <c r="J836" s="36"/>
      <c r="K836" s="36"/>
      <c r="L836" s="36"/>
      <c r="M836" s="36"/>
      <c r="N836" s="36"/>
      <c r="O836" s="36"/>
      <c r="P836" s="36"/>
    </row>
    <row r="837" spans="1:16" ht="15.75" customHeight="1">
      <c r="A837" s="37"/>
      <c r="B837" s="37"/>
      <c r="C837" s="37"/>
      <c r="D837" s="37"/>
      <c r="E837" s="37"/>
      <c r="F837" s="37"/>
      <c r="G837" s="37"/>
      <c r="H837" s="37"/>
      <c r="I837" s="37"/>
      <c r="J837" s="37"/>
      <c r="K837" s="37"/>
      <c r="L837" s="37"/>
      <c r="M837" s="37"/>
      <c r="N837" s="37"/>
      <c r="O837" s="37"/>
      <c r="P837" s="37"/>
    </row>
    <row r="838" spans="1:16" ht="15.75" customHeight="1">
      <c r="A838" s="36"/>
      <c r="B838" s="36"/>
      <c r="C838" s="36"/>
      <c r="D838" s="36"/>
      <c r="E838" s="36"/>
      <c r="F838" s="36"/>
      <c r="G838" s="36"/>
      <c r="H838" s="36"/>
      <c r="I838" s="36"/>
      <c r="J838" s="36"/>
      <c r="K838" s="36"/>
      <c r="L838" s="36"/>
      <c r="M838" s="36"/>
      <c r="N838" s="36"/>
      <c r="O838" s="36"/>
      <c r="P838" s="36"/>
    </row>
    <row r="839" spans="1:16" ht="15.75" customHeight="1">
      <c r="A839" s="37"/>
      <c r="B839" s="37"/>
      <c r="C839" s="37"/>
      <c r="D839" s="37"/>
      <c r="E839" s="37"/>
      <c r="F839" s="37"/>
      <c r="G839" s="37"/>
      <c r="H839" s="37"/>
      <c r="I839" s="37"/>
      <c r="J839" s="37"/>
      <c r="K839" s="37"/>
      <c r="L839" s="37"/>
      <c r="M839" s="37"/>
      <c r="N839" s="37"/>
      <c r="O839" s="37"/>
      <c r="P839" s="37"/>
    </row>
    <row r="840" spans="1:16" ht="15.75" customHeight="1">
      <c r="A840" s="36"/>
      <c r="B840" s="36"/>
      <c r="C840" s="36"/>
      <c r="D840" s="36"/>
      <c r="E840" s="36"/>
      <c r="F840" s="36"/>
      <c r="G840" s="36"/>
      <c r="H840" s="36"/>
      <c r="I840" s="36"/>
      <c r="J840" s="36"/>
      <c r="K840" s="36"/>
      <c r="L840" s="36"/>
      <c r="M840" s="36"/>
      <c r="N840" s="36"/>
      <c r="O840" s="36"/>
      <c r="P840" s="36"/>
    </row>
    <row r="841" spans="1:16" ht="15.75" customHeight="1">
      <c r="A841" s="37"/>
      <c r="B841" s="37"/>
      <c r="C841" s="37"/>
      <c r="D841" s="37"/>
      <c r="E841" s="37"/>
      <c r="F841" s="37"/>
      <c r="G841" s="37"/>
      <c r="H841" s="37"/>
      <c r="I841" s="37"/>
      <c r="J841" s="37"/>
      <c r="K841" s="37"/>
      <c r="L841" s="37"/>
      <c r="M841" s="37"/>
      <c r="N841" s="37"/>
      <c r="O841" s="37"/>
      <c r="P841" s="37"/>
    </row>
    <row r="842" spans="1:16" ht="15.75" customHeight="1">
      <c r="A842" s="36"/>
      <c r="B842" s="36"/>
      <c r="C842" s="36"/>
      <c r="D842" s="36"/>
      <c r="E842" s="36"/>
      <c r="F842" s="36"/>
      <c r="G842" s="36"/>
      <c r="H842" s="36"/>
      <c r="I842" s="36"/>
      <c r="J842" s="36"/>
      <c r="K842" s="36"/>
      <c r="L842" s="36"/>
      <c r="M842" s="36"/>
      <c r="N842" s="36"/>
      <c r="O842" s="36"/>
      <c r="P842" s="36"/>
    </row>
    <row r="843" spans="1:16" ht="15.75" customHeight="1">
      <c r="A843" s="37"/>
      <c r="B843" s="37"/>
      <c r="C843" s="37"/>
      <c r="D843" s="37"/>
      <c r="E843" s="37"/>
      <c r="F843" s="37"/>
      <c r="G843" s="37"/>
      <c r="H843" s="37"/>
      <c r="I843" s="37"/>
      <c r="J843" s="37"/>
      <c r="K843" s="37"/>
      <c r="L843" s="37"/>
      <c r="M843" s="37"/>
      <c r="N843" s="37"/>
      <c r="O843" s="37"/>
      <c r="P843" s="37"/>
    </row>
    <row r="844" spans="1:16" ht="15.75" customHeight="1">
      <c r="A844" s="36"/>
      <c r="B844" s="36"/>
      <c r="C844" s="36"/>
      <c r="D844" s="36"/>
      <c r="E844" s="36"/>
      <c r="F844" s="36"/>
      <c r="G844" s="36"/>
      <c r="H844" s="36"/>
      <c r="I844" s="36"/>
      <c r="J844" s="36"/>
      <c r="K844" s="36"/>
      <c r="L844" s="36"/>
      <c r="M844" s="36"/>
      <c r="N844" s="36"/>
      <c r="O844" s="36"/>
      <c r="P844" s="36"/>
    </row>
    <row r="845" spans="1:16" ht="15.75" customHeight="1">
      <c r="A845" s="37"/>
      <c r="B845" s="37"/>
      <c r="C845" s="37"/>
      <c r="D845" s="37"/>
      <c r="E845" s="37"/>
      <c r="F845" s="37"/>
      <c r="G845" s="37"/>
      <c r="H845" s="37"/>
      <c r="I845" s="37"/>
      <c r="J845" s="37"/>
      <c r="K845" s="37"/>
      <c r="L845" s="37"/>
      <c r="M845" s="37"/>
      <c r="N845" s="37"/>
      <c r="O845" s="37"/>
      <c r="P845" s="37"/>
    </row>
    <row r="846" spans="1:16" ht="15.75" customHeight="1">
      <c r="A846" s="36"/>
      <c r="B846" s="36"/>
      <c r="C846" s="36"/>
      <c r="D846" s="36"/>
      <c r="E846" s="36"/>
      <c r="F846" s="36"/>
      <c r="G846" s="36"/>
      <c r="H846" s="36"/>
      <c r="I846" s="36"/>
      <c r="J846" s="36"/>
      <c r="K846" s="36"/>
      <c r="L846" s="36"/>
      <c r="M846" s="36"/>
      <c r="N846" s="36"/>
      <c r="O846" s="36"/>
      <c r="P846" s="36"/>
    </row>
    <row r="847" spans="1:16" ht="15.75" customHeight="1">
      <c r="A847" s="37"/>
      <c r="B847" s="37"/>
      <c r="C847" s="37"/>
      <c r="D847" s="37"/>
      <c r="E847" s="37"/>
      <c r="F847" s="37"/>
      <c r="G847" s="37"/>
      <c r="H847" s="37"/>
      <c r="I847" s="37"/>
      <c r="J847" s="37"/>
      <c r="K847" s="37"/>
      <c r="L847" s="37"/>
      <c r="M847" s="37"/>
      <c r="N847" s="37"/>
      <c r="O847" s="37"/>
      <c r="P847" s="37"/>
    </row>
    <row r="848" spans="1:16" ht="15.75" customHeight="1">
      <c r="A848" s="36"/>
      <c r="B848" s="36"/>
      <c r="C848" s="36"/>
      <c r="D848" s="36"/>
      <c r="E848" s="36"/>
      <c r="F848" s="36"/>
      <c r="G848" s="36"/>
      <c r="H848" s="36"/>
      <c r="I848" s="36"/>
      <c r="J848" s="36"/>
      <c r="K848" s="36"/>
      <c r="L848" s="36"/>
      <c r="M848" s="36"/>
      <c r="N848" s="36"/>
      <c r="O848" s="36"/>
      <c r="P848" s="36"/>
    </row>
    <row r="849" spans="1:16" ht="15.75" customHeight="1">
      <c r="A849" s="37"/>
      <c r="B849" s="37"/>
      <c r="C849" s="37"/>
      <c r="D849" s="37"/>
      <c r="E849" s="37"/>
      <c r="F849" s="37"/>
      <c r="G849" s="37"/>
      <c r="H849" s="37"/>
      <c r="I849" s="37"/>
      <c r="J849" s="37"/>
      <c r="K849" s="37"/>
      <c r="L849" s="37"/>
      <c r="M849" s="37"/>
      <c r="N849" s="37"/>
      <c r="O849" s="37"/>
      <c r="P849" s="37"/>
    </row>
    <row r="850" spans="1:16" ht="15.75" customHeight="1">
      <c r="A850" s="36"/>
      <c r="B850" s="36"/>
      <c r="C850" s="36"/>
      <c r="D850" s="36"/>
      <c r="E850" s="36"/>
      <c r="F850" s="36"/>
      <c r="G850" s="36"/>
      <c r="H850" s="36"/>
      <c r="I850" s="36"/>
      <c r="J850" s="36"/>
      <c r="K850" s="36"/>
      <c r="L850" s="36"/>
      <c r="M850" s="36"/>
      <c r="N850" s="36"/>
      <c r="O850" s="36"/>
      <c r="P850" s="36"/>
    </row>
    <row r="851" spans="1:16" ht="15.75" customHeight="1">
      <c r="A851" s="37"/>
      <c r="B851" s="37"/>
      <c r="C851" s="37"/>
      <c r="D851" s="37"/>
      <c r="E851" s="37"/>
      <c r="F851" s="37"/>
      <c r="G851" s="37"/>
      <c r="H851" s="37"/>
      <c r="I851" s="37"/>
      <c r="J851" s="37"/>
      <c r="K851" s="37"/>
      <c r="L851" s="37"/>
      <c r="M851" s="37"/>
      <c r="N851" s="37"/>
      <c r="O851" s="37"/>
      <c r="P851" s="37"/>
    </row>
    <row r="852" spans="1:16" ht="15.75" customHeight="1">
      <c r="A852" s="36"/>
      <c r="B852" s="36"/>
      <c r="C852" s="36"/>
      <c r="D852" s="36"/>
      <c r="E852" s="36"/>
      <c r="F852" s="36"/>
      <c r="G852" s="36"/>
      <c r="H852" s="36"/>
      <c r="I852" s="36"/>
      <c r="J852" s="36"/>
      <c r="K852" s="36"/>
      <c r="L852" s="36"/>
      <c r="M852" s="36"/>
      <c r="N852" s="36"/>
      <c r="O852" s="36"/>
      <c r="P852" s="36"/>
    </row>
    <row r="853" spans="1:16" ht="15.75" customHeight="1">
      <c r="A853" s="37"/>
      <c r="B853" s="37"/>
      <c r="C853" s="37"/>
      <c r="D853" s="37"/>
      <c r="E853" s="37"/>
      <c r="F853" s="37"/>
      <c r="G853" s="37"/>
      <c r="H853" s="37"/>
      <c r="I853" s="37"/>
      <c r="J853" s="37"/>
      <c r="K853" s="37"/>
      <c r="L853" s="37"/>
      <c r="M853" s="37"/>
      <c r="N853" s="37"/>
      <c r="O853" s="37"/>
      <c r="P853" s="37"/>
    </row>
    <row r="854" spans="1:16" ht="15.75" customHeight="1">
      <c r="A854" s="36"/>
      <c r="B854" s="36"/>
      <c r="C854" s="36"/>
      <c r="D854" s="36"/>
      <c r="E854" s="36"/>
      <c r="F854" s="36"/>
      <c r="G854" s="36"/>
      <c r="H854" s="36"/>
      <c r="I854" s="36"/>
      <c r="J854" s="36"/>
      <c r="K854" s="36"/>
      <c r="L854" s="36"/>
      <c r="M854" s="36"/>
      <c r="N854" s="36"/>
      <c r="O854" s="36"/>
      <c r="P854" s="36"/>
    </row>
    <row r="855" spans="1:16" ht="15.75" customHeight="1">
      <c r="A855" s="37"/>
      <c r="B855" s="37"/>
      <c r="C855" s="37"/>
      <c r="D855" s="37"/>
      <c r="E855" s="37"/>
      <c r="F855" s="37"/>
      <c r="G855" s="37"/>
      <c r="H855" s="37"/>
      <c r="I855" s="37"/>
      <c r="J855" s="37"/>
      <c r="K855" s="37"/>
      <c r="L855" s="37"/>
      <c r="M855" s="37"/>
      <c r="N855" s="37"/>
      <c r="O855" s="37"/>
      <c r="P855" s="37"/>
    </row>
    <row r="856" spans="1:16" ht="15.75" customHeight="1">
      <c r="A856" s="36"/>
      <c r="B856" s="36"/>
      <c r="C856" s="36"/>
      <c r="D856" s="36"/>
      <c r="E856" s="36"/>
      <c r="F856" s="36"/>
      <c r="G856" s="36"/>
      <c r="H856" s="36"/>
      <c r="I856" s="36"/>
      <c r="J856" s="36"/>
      <c r="K856" s="36"/>
      <c r="L856" s="36"/>
      <c r="M856" s="36"/>
      <c r="N856" s="36"/>
      <c r="O856" s="36"/>
      <c r="P856" s="36"/>
    </row>
    <row r="857" spans="1:16" ht="15.75" customHeight="1">
      <c r="A857" s="37"/>
      <c r="B857" s="37"/>
      <c r="C857" s="37"/>
      <c r="D857" s="37"/>
      <c r="E857" s="37"/>
      <c r="F857" s="37"/>
      <c r="G857" s="37"/>
      <c r="H857" s="37"/>
      <c r="I857" s="37"/>
      <c r="J857" s="37"/>
      <c r="K857" s="37"/>
      <c r="L857" s="37"/>
      <c r="M857" s="37"/>
      <c r="N857" s="37"/>
      <c r="O857" s="37"/>
      <c r="P857" s="37"/>
    </row>
    <row r="858" spans="1:16" ht="15.75" customHeight="1">
      <c r="A858" s="36"/>
      <c r="B858" s="36"/>
      <c r="C858" s="36"/>
      <c r="D858" s="36"/>
      <c r="E858" s="36"/>
      <c r="F858" s="36"/>
      <c r="G858" s="36"/>
      <c r="H858" s="36"/>
      <c r="I858" s="36"/>
      <c r="J858" s="36"/>
      <c r="K858" s="36"/>
      <c r="L858" s="36"/>
      <c r="M858" s="36"/>
      <c r="N858" s="36"/>
      <c r="O858" s="36"/>
      <c r="P858" s="36"/>
    </row>
    <row r="859" spans="1:16" ht="15.75" customHeight="1">
      <c r="A859" s="37"/>
      <c r="B859" s="37"/>
      <c r="C859" s="37"/>
      <c r="D859" s="37"/>
      <c r="E859" s="37"/>
      <c r="F859" s="37"/>
      <c r="G859" s="37"/>
      <c r="H859" s="37"/>
      <c r="I859" s="37"/>
      <c r="J859" s="37"/>
      <c r="K859" s="37"/>
      <c r="L859" s="37"/>
      <c r="M859" s="37"/>
      <c r="N859" s="37"/>
      <c r="O859" s="37"/>
      <c r="P859" s="37"/>
    </row>
    <row r="860" spans="1:16" ht="15.75" customHeight="1">
      <c r="A860" s="36"/>
      <c r="B860" s="36"/>
      <c r="C860" s="36"/>
      <c r="D860" s="36"/>
      <c r="E860" s="36"/>
      <c r="F860" s="36"/>
      <c r="G860" s="36"/>
      <c r="H860" s="36"/>
      <c r="I860" s="36"/>
      <c r="J860" s="36"/>
      <c r="K860" s="36"/>
      <c r="L860" s="36"/>
      <c r="M860" s="36"/>
      <c r="N860" s="36"/>
      <c r="O860" s="36"/>
      <c r="P860" s="36"/>
    </row>
    <row r="861" spans="1:16" ht="15.75" customHeight="1">
      <c r="A861" s="37"/>
      <c r="B861" s="37"/>
      <c r="C861" s="37"/>
      <c r="D861" s="37"/>
      <c r="E861" s="37"/>
      <c r="F861" s="37"/>
      <c r="G861" s="37"/>
      <c r="H861" s="37"/>
      <c r="I861" s="37"/>
      <c r="J861" s="37"/>
      <c r="K861" s="37"/>
      <c r="L861" s="37"/>
      <c r="M861" s="37"/>
      <c r="N861" s="37"/>
      <c r="O861" s="37"/>
      <c r="P861" s="37"/>
    </row>
    <row r="862" spans="1:16" ht="15.75" customHeight="1">
      <c r="A862" s="36"/>
      <c r="B862" s="36"/>
      <c r="C862" s="36"/>
      <c r="D862" s="36"/>
      <c r="E862" s="36"/>
      <c r="F862" s="36"/>
      <c r="G862" s="36"/>
      <c r="H862" s="36"/>
      <c r="I862" s="36"/>
      <c r="J862" s="36"/>
      <c r="K862" s="36"/>
      <c r="L862" s="36"/>
      <c r="M862" s="36"/>
      <c r="N862" s="36"/>
      <c r="O862" s="36"/>
      <c r="P862" s="36"/>
    </row>
    <row r="863" spans="1:16" ht="15.75" customHeight="1">
      <c r="A863" s="37"/>
      <c r="B863" s="37"/>
      <c r="C863" s="37"/>
      <c r="D863" s="37"/>
      <c r="E863" s="37"/>
      <c r="F863" s="37"/>
      <c r="G863" s="37"/>
      <c r="H863" s="37"/>
      <c r="I863" s="37"/>
      <c r="J863" s="37"/>
      <c r="K863" s="37"/>
      <c r="L863" s="37"/>
      <c r="M863" s="37"/>
      <c r="N863" s="37"/>
      <c r="O863" s="37"/>
      <c r="P863" s="37"/>
    </row>
    <row r="864" spans="1:16" ht="15.75" customHeight="1">
      <c r="A864" s="36"/>
      <c r="B864" s="36"/>
      <c r="C864" s="36"/>
      <c r="D864" s="36"/>
      <c r="E864" s="36"/>
      <c r="F864" s="36"/>
      <c r="G864" s="36"/>
      <c r="H864" s="36"/>
      <c r="I864" s="36"/>
      <c r="J864" s="36"/>
      <c r="K864" s="36"/>
      <c r="L864" s="36"/>
      <c r="M864" s="36"/>
      <c r="N864" s="36"/>
      <c r="O864" s="36"/>
      <c r="P864" s="36"/>
    </row>
    <row r="865" spans="1:16" ht="15.75" customHeight="1">
      <c r="A865" s="37"/>
      <c r="B865" s="37"/>
      <c r="C865" s="37"/>
      <c r="D865" s="37"/>
      <c r="E865" s="37"/>
      <c r="F865" s="37"/>
      <c r="G865" s="37"/>
      <c r="H865" s="37"/>
      <c r="I865" s="37"/>
      <c r="J865" s="37"/>
      <c r="K865" s="37"/>
      <c r="L865" s="37"/>
      <c r="M865" s="37"/>
      <c r="N865" s="37"/>
      <c r="O865" s="37"/>
      <c r="P865" s="37"/>
    </row>
    <row r="866" spans="1:16" ht="15.75" customHeight="1">
      <c r="A866" s="36"/>
      <c r="B866" s="36"/>
      <c r="C866" s="36"/>
      <c r="D866" s="36"/>
      <c r="E866" s="36"/>
      <c r="F866" s="36"/>
      <c r="G866" s="36"/>
      <c r="H866" s="36"/>
      <c r="I866" s="36"/>
      <c r="J866" s="36"/>
      <c r="K866" s="36"/>
      <c r="L866" s="36"/>
      <c r="M866" s="36"/>
      <c r="N866" s="36"/>
      <c r="O866" s="36"/>
      <c r="P866" s="36"/>
    </row>
    <row r="867" spans="1:16" ht="15.75" customHeight="1">
      <c r="A867" s="37"/>
      <c r="B867" s="37"/>
      <c r="C867" s="37"/>
      <c r="D867" s="37"/>
      <c r="E867" s="37"/>
      <c r="F867" s="37"/>
      <c r="G867" s="37"/>
      <c r="H867" s="37"/>
      <c r="I867" s="37"/>
      <c r="J867" s="37"/>
      <c r="K867" s="37"/>
      <c r="L867" s="37"/>
      <c r="M867" s="37"/>
      <c r="N867" s="37"/>
      <c r="O867" s="37"/>
      <c r="P867" s="37"/>
    </row>
    <row r="868" spans="1:16" ht="15.75" customHeight="1">
      <c r="A868" s="36"/>
      <c r="B868" s="36"/>
      <c r="C868" s="36"/>
      <c r="D868" s="36"/>
      <c r="E868" s="36"/>
      <c r="F868" s="36"/>
      <c r="G868" s="36"/>
      <c r="H868" s="36"/>
      <c r="I868" s="36"/>
      <c r="J868" s="36"/>
      <c r="K868" s="36"/>
      <c r="L868" s="36"/>
      <c r="M868" s="36"/>
      <c r="N868" s="36"/>
      <c r="O868" s="36"/>
      <c r="P868" s="36"/>
    </row>
    <row r="869" spans="1:16" ht="15.75" customHeight="1">
      <c r="A869" s="37"/>
      <c r="B869" s="37"/>
      <c r="C869" s="37"/>
      <c r="D869" s="37"/>
      <c r="E869" s="37"/>
      <c r="F869" s="37"/>
      <c r="G869" s="37"/>
      <c r="H869" s="37"/>
      <c r="I869" s="37"/>
      <c r="J869" s="37"/>
      <c r="K869" s="37"/>
      <c r="L869" s="37"/>
      <c r="M869" s="37"/>
      <c r="N869" s="37"/>
      <c r="O869" s="37"/>
      <c r="P869" s="37"/>
    </row>
    <row r="870" spans="1:16" ht="15.75" customHeight="1">
      <c r="A870" s="36"/>
      <c r="B870" s="36"/>
      <c r="C870" s="36"/>
      <c r="D870" s="36"/>
      <c r="E870" s="36"/>
      <c r="F870" s="36"/>
      <c r="G870" s="36"/>
      <c r="H870" s="36"/>
      <c r="I870" s="36"/>
      <c r="J870" s="36"/>
      <c r="K870" s="36"/>
      <c r="L870" s="36"/>
      <c r="M870" s="36"/>
      <c r="N870" s="36"/>
      <c r="O870" s="36"/>
      <c r="P870" s="36"/>
    </row>
    <row r="871" spans="1:16" ht="15.75" customHeight="1">
      <c r="A871" s="37"/>
      <c r="B871" s="37"/>
      <c r="C871" s="37"/>
      <c r="D871" s="37"/>
      <c r="E871" s="37"/>
      <c r="F871" s="37"/>
      <c r="G871" s="37"/>
      <c r="H871" s="37"/>
      <c r="I871" s="37"/>
      <c r="J871" s="37"/>
      <c r="K871" s="37"/>
      <c r="L871" s="37"/>
      <c r="M871" s="37"/>
      <c r="N871" s="37"/>
      <c r="O871" s="37"/>
      <c r="P871" s="37"/>
    </row>
    <row r="872" spans="1:16" ht="15.75" customHeight="1">
      <c r="A872" s="36"/>
      <c r="B872" s="36"/>
      <c r="C872" s="36"/>
      <c r="D872" s="36"/>
      <c r="E872" s="36"/>
      <c r="F872" s="36"/>
      <c r="G872" s="36"/>
      <c r="H872" s="36"/>
      <c r="I872" s="36"/>
      <c r="J872" s="36"/>
      <c r="K872" s="36"/>
      <c r="L872" s="36"/>
      <c r="M872" s="36"/>
      <c r="N872" s="36"/>
      <c r="O872" s="36"/>
      <c r="P872" s="36"/>
    </row>
    <row r="873" spans="1:16" ht="15.75" customHeight="1">
      <c r="A873" s="37"/>
      <c r="B873" s="37"/>
      <c r="C873" s="37"/>
      <c r="D873" s="37"/>
      <c r="E873" s="37"/>
      <c r="F873" s="37"/>
      <c r="G873" s="37"/>
      <c r="H873" s="37"/>
      <c r="I873" s="37"/>
      <c r="J873" s="37"/>
      <c r="K873" s="37"/>
      <c r="L873" s="37"/>
      <c r="M873" s="37"/>
      <c r="N873" s="37"/>
      <c r="O873" s="37"/>
      <c r="P873" s="37"/>
    </row>
    <row r="874" spans="1:16" ht="15.75" customHeight="1">
      <c r="A874" s="36"/>
      <c r="B874" s="36"/>
      <c r="C874" s="36"/>
      <c r="D874" s="36"/>
      <c r="E874" s="36"/>
      <c r="F874" s="36"/>
      <c r="G874" s="36"/>
      <c r="H874" s="36"/>
      <c r="I874" s="36"/>
      <c r="J874" s="36"/>
      <c r="K874" s="36"/>
      <c r="L874" s="36"/>
      <c r="M874" s="36"/>
      <c r="N874" s="36"/>
      <c r="O874" s="36"/>
      <c r="P874" s="36"/>
    </row>
    <row r="875" spans="1:16" ht="15.75" customHeight="1">
      <c r="A875" s="37"/>
      <c r="B875" s="37"/>
      <c r="C875" s="37"/>
      <c r="D875" s="37"/>
      <c r="E875" s="37"/>
      <c r="F875" s="37"/>
      <c r="G875" s="37"/>
      <c r="H875" s="37"/>
      <c r="I875" s="37"/>
      <c r="J875" s="37"/>
      <c r="K875" s="37"/>
      <c r="L875" s="37"/>
      <c r="M875" s="37"/>
      <c r="N875" s="37"/>
      <c r="O875" s="37"/>
      <c r="P875" s="37"/>
    </row>
    <row r="876" spans="1:16" ht="15.75" customHeight="1">
      <c r="A876" s="36"/>
      <c r="B876" s="36"/>
      <c r="C876" s="36"/>
      <c r="D876" s="36"/>
      <c r="E876" s="36"/>
      <c r="F876" s="36"/>
      <c r="G876" s="36"/>
      <c r="H876" s="36"/>
      <c r="I876" s="36"/>
      <c r="J876" s="36"/>
      <c r="K876" s="36"/>
      <c r="L876" s="36"/>
      <c r="M876" s="36"/>
      <c r="N876" s="36"/>
      <c r="O876" s="36"/>
      <c r="P876" s="36"/>
    </row>
    <row r="877" spans="1:16" ht="15.75" customHeight="1">
      <c r="A877" s="37"/>
      <c r="B877" s="37"/>
      <c r="C877" s="37"/>
      <c r="D877" s="37"/>
      <c r="E877" s="37"/>
      <c r="F877" s="37"/>
      <c r="G877" s="37"/>
      <c r="H877" s="37"/>
      <c r="I877" s="37"/>
      <c r="J877" s="37"/>
      <c r="K877" s="37"/>
      <c r="L877" s="37"/>
      <c r="M877" s="37"/>
      <c r="N877" s="37"/>
      <c r="O877" s="37"/>
      <c r="P877" s="37"/>
    </row>
    <row r="878" spans="1:16" ht="15.75" customHeight="1">
      <c r="A878" s="36"/>
      <c r="B878" s="36"/>
      <c r="C878" s="36"/>
      <c r="D878" s="36"/>
      <c r="E878" s="36"/>
      <c r="F878" s="36"/>
      <c r="G878" s="36"/>
      <c r="H878" s="36"/>
      <c r="I878" s="36"/>
      <c r="J878" s="36"/>
      <c r="K878" s="36"/>
      <c r="L878" s="36"/>
      <c r="M878" s="36"/>
      <c r="N878" s="36"/>
      <c r="O878" s="36"/>
      <c r="P878" s="36"/>
    </row>
    <row r="879" spans="1:16" ht="15.75" customHeight="1">
      <c r="A879" s="37"/>
      <c r="B879" s="37"/>
      <c r="C879" s="37"/>
      <c r="D879" s="37"/>
      <c r="E879" s="37"/>
      <c r="F879" s="37"/>
      <c r="G879" s="37"/>
      <c r="H879" s="37"/>
      <c r="I879" s="37"/>
      <c r="J879" s="37"/>
      <c r="K879" s="37"/>
      <c r="L879" s="37"/>
      <c r="M879" s="37"/>
      <c r="N879" s="37"/>
      <c r="O879" s="37"/>
      <c r="P879" s="37"/>
    </row>
    <row r="880" spans="1:16" ht="15.75" customHeight="1">
      <c r="A880" s="36"/>
      <c r="B880" s="36"/>
      <c r="C880" s="36"/>
      <c r="D880" s="36"/>
      <c r="E880" s="36"/>
      <c r="F880" s="36"/>
      <c r="G880" s="36"/>
      <c r="H880" s="36"/>
      <c r="I880" s="36"/>
      <c r="J880" s="36"/>
      <c r="K880" s="36"/>
      <c r="L880" s="36"/>
      <c r="M880" s="36"/>
      <c r="N880" s="36"/>
      <c r="O880" s="36"/>
      <c r="P880" s="36"/>
    </row>
    <row r="881" spans="1:16" ht="15.75" customHeight="1">
      <c r="A881" s="37"/>
      <c r="B881" s="37"/>
      <c r="C881" s="37"/>
      <c r="D881" s="37"/>
      <c r="E881" s="37"/>
      <c r="F881" s="37"/>
      <c r="G881" s="37"/>
      <c r="H881" s="37"/>
      <c r="I881" s="37"/>
      <c r="J881" s="37"/>
      <c r="K881" s="37"/>
      <c r="L881" s="37"/>
      <c r="M881" s="37"/>
      <c r="N881" s="37"/>
      <c r="O881" s="37"/>
      <c r="P881" s="37"/>
    </row>
    <row r="882" spans="1:16" ht="15.75" customHeight="1">
      <c r="A882" s="36"/>
      <c r="B882" s="36"/>
      <c r="C882" s="36"/>
      <c r="D882" s="36"/>
      <c r="E882" s="36"/>
      <c r="F882" s="36"/>
      <c r="G882" s="36"/>
      <c r="H882" s="36"/>
      <c r="I882" s="36"/>
      <c r="J882" s="36"/>
      <c r="K882" s="36"/>
      <c r="L882" s="36"/>
      <c r="M882" s="36"/>
      <c r="N882" s="36"/>
      <c r="O882" s="36"/>
      <c r="P882" s="36"/>
    </row>
    <row r="883" spans="1:16" ht="15.75" customHeight="1">
      <c r="A883" s="37"/>
      <c r="B883" s="37"/>
      <c r="C883" s="37"/>
      <c r="D883" s="37"/>
      <c r="E883" s="37"/>
      <c r="F883" s="37"/>
      <c r="G883" s="37"/>
      <c r="H883" s="37"/>
      <c r="I883" s="37"/>
      <c r="J883" s="37"/>
      <c r="K883" s="37"/>
      <c r="L883" s="37"/>
      <c r="M883" s="37"/>
      <c r="N883" s="37"/>
      <c r="O883" s="37"/>
      <c r="P883" s="37"/>
    </row>
    <row r="884" spans="1:16" ht="15.75" customHeight="1">
      <c r="A884" s="36"/>
      <c r="B884" s="36"/>
      <c r="C884" s="36"/>
      <c r="D884" s="36"/>
      <c r="E884" s="36"/>
      <c r="F884" s="36"/>
      <c r="G884" s="36"/>
      <c r="H884" s="36"/>
      <c r="I884" s="36"/>
      <c r="J884" s="36"/>
      <c r="K884" s="36"/>
      <c r="L884" s="36"/>
      <c r="M884" s="36"/>
      <c r="N884" s="36"/>
      <c r="O884" s="36"/>
      <c r="P884" s="36"/>
    </row>
    <row r="885" spans="1:16" ht="15.75" customHeight="1">
      <c r="A885" s="37"/>
      <c r="B885" s="37"/>
      <c r="C885" s="37"/>
      <c r="D885" s="37"/>
      <c r="E885" s="37"/>
      <c r="F885" s="37"/>
      <c r="G885" s="37"/>
      <c r="H885" s="37"/>
      <c r="I885" s="37"/>
      <c r="J885" s="37"/>
      <c r="K885" s="37"/>
      <c r="L885" s="37"/>
      <c r="M885" s="37"/>
      <c r="N885" s="37"/>
      <c r="O885" s="37"/>
      <c r="P885" s="37"/>
    </row>
    <row r="886" spans="1:16" ht="15.75" customHeight="1">
      <c r="A886" s="36"/>
      <c r="B886" s="36"/>
      <c r="C886" s="36"/>
      <c r="D886" s="36"/>
      <c r="E886" s="36"/>
      <c r="F886" s="36"/>
      <c r="G886" s="36"/>
      <c r="H886" s="36"/>
      <c r="I886" s="36"/>
      <c r="J886" s="36"/>
      <c r="K886" s="36"/>
      <c r="L886" s="36"/>
      <c r="M886" s="36"/>
      <c r="N886" s="36"/>
      <c r="O886" s="36"/>
      <c r="P886" s="36"/>
    </row>
    <row r="887" spans="1:16" ht="15.75" customHeight="1">
      <c r="A887" s="37"/>
      <c r="B887" s="37"/>
      <c r="C887" s="37"/>
      <c r="D887" s="37"/>
      <c r="E887" s="37"/>
      <c r="F887" s="37"/>
      <c r="G887" s="37"/>
      <c r="H887" s="37"/>
      <c r="I887" s="37"/>
      <c r="J887" s="37"/>
      <c r="K887" s="37"/>
      <c r="L887" s="37"/>
      <c r="M887" s="37"/>
      <c r="N887" s="37"/>
      <c r="O887" s="37"/>
      <c r="P887" s="37"/>
    </row>
    <row r="888" spans="1:16" ht="15.75" customHeight="1">
      <c r="A888" s="36"/>
      <c r="B888" s="36"/>
      <c r="C888" s="36"/>
      <c r="D888" s="36"/>
      <c r="E888" s="36"/>
      <c r="F888" s="36"/>
      <c r="G888" s="36"/>
      <c r="H888" s="36"/>
      <c r="I888" s="36"/>
      <c r="J888" s="36"/>
      <c r="K888" s="36"/>
      <c r="L888" s="36"/>
      <c r="M888" s="36"/>
      <c r="N888" s="36"/>
      <c r="O888" s="36"/>
      <c r="P888" s="36"/>
    </row>
    <row r="889" spans="1:16" ht="15.75" customHeight="1">
      <c r="A889" s="37"/>
      <c r="B889" s="37"/>
      <c r="C889" s="37"/>
      <c r="D889" s="37"/>
      <c r="E889" s="37"/>
      <c r="F889" s="37"/>
      <c r="G889" s="37"/>
      <c r="H889" s="37"/>
      <c r="I889" s="37"/>
      <c r="J889" s="37"/>
      <c r="K889" s="37"/>
      <c r="L889" s="37"/>
      <c r="M889" s="37"/>
      <c r="N889" s="37"/>
      <c r="O889" s="37"/>
      <c r="P889" s="37"/>
    </row>
    <row r="890" spans="1:16" ht="15.75" customHeight="1">
      <c r="A890" s="36"/>
      <c r="B890" s="36"/>
      <c r="C890" s="36"/>
      <c r="D890" s="36"/>
      <c r="E890" s="36"/>
      <c r="F890" s="36"/>
      <c r="G890" s="36"/>
      <c r="H890" s="36"/>
      <c r="I890" s="36"/>
      <c r="J890" s="36"/>
      <c r="K890" s="36"/>
      <c r="L890" s="36"/>
      <c r="M890" s="36"/>
      <c r="N890" s="36"/>
      <c r="O890" s="36"/>
      <c r="P890" s="36"/>
    </row>
    <row r="891" spans="1:16" ht="15.75" customHeight="1">
      <c r="A891" s="37"/>
      <c r="B891" s="37"/>
      <c r="C891" s="37"/>
      <c r="D891" s="37"/>
      <c r="E891" s="37"/>
      <c r="F891" s="37"/>
      <c r="G891" s="37"/>
      <c r="H891" s="37"/>
      <c r="I891" s="37"/>
      <c r="J891" s="37"/>
      <c r="K891" s="37"/>
      <c r="L891" s="37"/>
      <c r="M891" s="37"/>
      <c r="N891" s="37"/>
      <c r="O891" s="37"/>
      <c r="P891" s="37"/>
    </row>
    <row r="892" spans="1:16" ht="15.75" customHeight="1">
      <c r="A892" s="36"/>
      <c r="B892" s="36"/>
      <c r="C892" s="36"/>
      <c r="D892" s="36"/>
      <c r="E892" s="36"/>
      <c r="F892" s="36"/>
      <c r="G892" s="36"/>
      <c r="H892" s="36"/>
      <c r="I892" s="36"/>
      <c r="J892" s="36"/>
      <c r="K892" s="36"/>
      <c r="L892" s="36"/>
      <c r="M892" s="36"/>
      <c r="N892" s="36"/>
      <c r="O892" s="36"/>
      <c r="P892" s="36"/>
    </row>
    <row r="893" spans="1:16" ht="15.75" customHeight="1">
      <c r="A893" s="37"/>
      <c r="B893" s="37"/>
      <c r="C893" s="37"/>
      <c r="D893" s="37"/>
      <c r="E893" s="37"/>
      <c r="F893" s="37"/>
      <c r="G893" s="37"/>
      <c r="H893" s="37"/>
      <c r="I893" s="37"/>
      <c r="J893" s="37"/>
      <c r="K893" s="37"/>
      <c r="L893" s="37"/>
      <c r="M893" s="37"/>
      <c r="N893" s="37"/>
      <c r="O893" s="37"/>
      <c r="P893" s="37"/>
    </row>
    <row r="894" spans="1:16" ht="15.75" customHeight="1">
      <c r="A894" s="36"/>
      <c r="B894" s="36"/>
      <c r="C894" s="36"/>
      <c r="D894" s="36"/>
      <c r="E894" s="36"/>
      <c r="F894" s="36"/>
      <c r="G894" s="36"/>
      <c r="H894" s="36"/>
      <c r="I894" s="36"/>
      <c r="J894" s="36"/>
      <c r="K894" s="36"/>
      <c r="L894" s="36"/>
      <c r="M894" s="36"/>
      <c r="N894" s="36"/>
      <c r="O894" s="36"/>
      <c r="P894" s="36"/>
    </row>
    <row r="895" spans="1:16" ht="15.75" customHeight="1">
      <c r="A895" s="37"/>
      <c r="B895" s="37"/>
      <c r="C895" s="37"/>
      <c r="D895" s="37"/>
      <c r="E895" s="37"/>
      <c r="F895" s="37"/>
      <c r="G895" s="37"/>
      <c r="H895" s="37"/>
      <c r="I895" s="37"/>
      <c r="J895" s="37"/>
      <c r="K895" s="37"/>
      <c r="L895" s="37"/>
      <c r="M895" s="37"/>
      <c r="N895" s="37"/>
      <c r="O895" s="37"/>
      <c r="P895" s="37"/>
    </row>
    <row r="896" spans="1:16" ht="15.75" customHeight="1">
      <c r="A896" s="36"/>
      <c r="B896" s="36"/>
      <c r="C896" s="36"/>
      <c r="D896" s="36"/>
      <c r="E896" s="36"/>
      <c r="F896" s="36"/>
      <c r="G896" s="36"/>
      <c r="H896" s="36"/>
      <c r="I896" s="36"/>
      <c r="J896" s="36"/>
      <c r="K896" s="36"/>
      <c r="L896" s="36"/>
      <c r="M896" s="36"/>
      <c r="N896" s="36"/>
      <c r="O896" s="36"/>
      <c r="P896" s="36"/>
    </row>
    <row r="897" spans="1:16" ht="15.75" customHeight="1">
      <c r="A897" s="37"/>
      <c r="B897" s="37"/>
      <c r="C897" s="37"/>
      <c r="D897" s="37"/>
      <c r="E897" s="37"/>
      <c r="F897" s="37"/>
      <c r="G897" s="37"/>
      <c r="H897" s="37"/>
      <c r="I897" s="37"/>
      <c r="J897" s="37"/>
      <c r="K897" s="37"/>
      <c r="L897" s="37"/>
      <c r="M897" s="37"/>
      <c r="N897" s="37"/>
      <c r="O897" s="37"/>
      <c r="P897" s="37"/>
    </row>
    <row r="898" spans="1:16" ht="15.75" customHeight="1">
      <c r="A898" s="36"/>
      <c r="B898" s="36"/>
      <c r="C898" s="36"/>
      <c r="D898" s="36"/>
      <c r="E898" s="36"/>
      <c r="F898" s="36"/>
      <c r="G898" s="36"/>
      <c r="H898" s="36"/>
      <c r="I898" s="36"/>
      <c r="J898" s="36"/>
      <c r="K898" s="36"/>
      <c r="L898" s="36"/>
      <c r="M898" s="36"/>
      <c r="N898" s="36"/>
      <c r="O898" s="36"/>
      <c r="P898" s="36"/>
    </row>
    <row r="899" spans="1:16" ht="15.75" customHeight="1">
      <c r="A899" s="37"/>
      <c r="B899" s="37"/>
      <c r="C899" s="37"/>
      <c r="D899" s="37"/>
      <c r="E899" s="37"/>
      <c r="F899" s="37"/>
      <c r="G899" s="37"/>
      <c r="H899" s="37"/>
      <c r="I899" s="37"/>
      <c r="J899" s="37"/>
      <c r="K899" s="37"/>
      <c r="L899" s="37"/>
      <c r="M899" s="37"/>
      <c r="N899" s="37"/>
      <c r="O899" s="37"/>
      <c r="P899" s="37"/>
    </row>
    <row r="900" spans="1:16" ht="15.75" customHeight="1">
      <c r="A900" s="36"/>
      <c r="B900" s="36"/>
      <c r="C900" s="36"/>
      <c r="D900" s="36"/>
      <c r="E900" s="36"/>
      <c r="F900" s="36"/>
      <c r="G900" s="36"/>
      <c r="H900" s="36"/>
      <c r="I900" s="36"/>
      <c r="J900" s="36"/>
      <c r="K900" s="36"/>
      <c r="L900" s="36"/>
      <c r="M900" s="36"/>
      <c r="N900" s="36"/>
      <c r="O900" s="36"/>
      <c r="P900" s="36"/>
    </row>
    <row r="901" spans="1:16" ht="15.75" customHeight="1">
      <c r="A901" s="37"/>
      <c r="B901" s="37"/>
      <c r="C901" s="37"/>
      <c r="D901" s="37"/>
      <c r="E901" s="37"/>
      <c r="F901" s="37"/>
      <c r="G901" s="37"/>
      <c r="H901" s="37"/>
      <c r="I901" s="37"/>
      <c r="J901" s="37"/>
      <c r="K901" s="37"/>
      <c r="L901" s="37"/>
      <c r="M901" s="37"/>
      <c r="N901" s="37"/>
      <c r="O901" s="37"/>
      <c r="P901" s="37"/>
    </row>
    <row r="902" spans="1:16" ht="15.75" customHeight="1">
      <c r="A902" s="36"/>
      <c r="B902" s="36"/>
      <c r="C902" s="36"/>
      <c r="D902" s="36"/>
      <c r="E902" s="36"/>
      <c r="F902" s="36"/>
      <c r="G902" s="36"/>
      <c r="H902" s="36"/>
      <c r="I902" s="36"/>
      <c r="J902" s="36"/>
      <c r="K902" s="36"/>
      <c r="L902" s="36"/>
      <c r="M902" s="36"/>
      <c r="N902" s="36"/>
      <c r="O902" s="36"/>
      <c r="P902" s="36"/>
    </row>
    <row r="903" spans="1:16" ht="15.75" customHeight="1">
      <c r="A903" s="37"/>
      <c r="B903" s="37"/>
      <c r="C903" s="37"/>
      <c r="D903" s="37"/>
      <c r="E903" s="37"/>
      <c r="F903" s="37"/>
      <c r="G903" s="37"/>
      <c r="H903" s="37"/>
      <c r="I903" s="37"/>
      <c r="J903" s="37"/>
      <c r="K903" s="37"/>
      <c r="L903" s="37"/>
      <c r="M903" s="37"/>
      <c r="N903" s="37"/>
      <c r="O903" s="37"/>
      <c r="P903" s="37"/>
    </row>
    <row r="904" spans="1:16" ht="15.75" customHeight="1">
      <c r="A904" s="36"/>
      <c r="B904" s="36"/>
      <c r="C904" s="36"/>
      <c r="D904" s="36"/>
      <c r="E904" s="36"/>
      <c r="F904" s="36"/>
      <c r="G904" s="36"/>
      <c r="H904" s="36"/>
      <c r="I904" s="36"/>
      <c r="J904" s="36"/>
      <c r="K904" s="36"/>
      <c r="L904" s="36"/>
      <c r="M904" s="36"/>
      <c r="N904" s="36"/>
      <c r="O904" s="36"/>
      <c r="P904" s="36"/>
    </row>
    <row r="905" spans="1:16" ht="15.75" customHeight="1">
      <c r="A905" s="37"/>
      <c r="B905" s="37"/>
      <c r="C905" s="37"/>
      <c r="D905" s="37"/>
      <c r="E905" s="37"/>
      <c r="F905" s="37"/>
      <c r="G905" s="37"/>
      <c r="H905" s="37"/>
      <c r="I905" s="37"/>
      <c r="J905" s="37"/>
      <c r="K905" s="37"/>
      <c r="L905" s="37"/>
      <c r="M905" s="37"/>
      <c r="N905" s="37"/>
      <c r="O905" s="37"/>
      <c r="P905" s="37"/>
    </row>
    <row r="906" spans="1:16" ht="15.75" customHeight="1">
      <c r="A906" s="36"/>
      <c r="B906" s="36"/>
      <c r="C906" s="36"/>
      <c r="D906" s="36"/>
      <c r="E906" s="36"/>
      <c r="F906" s="36"/>
      <c r="G906" s="36"/>
      <c r="H906" s="36"/>
      <c r="I906" s="36"/>
      <c r="J906" s="36"/>
      <c r="K906" s="36"/>
      <c r="L906" s="36"/>
      <c r="M906" s="36"/>
      <c r="N906" s="36"/>
      <c r="O906" s="36"/>
      <c r="P906" s="36"/>
    </row>
    <row r="907" spans="1:16" ht="15.75" customHeight="1">
      <c r="A907" s="37"/>
      <c r="B907" s="37"/>
      <c r="C907" s="37"/>
      <c r="D907" s="37"/>
      <c r="E907" s="37"/>
      <c r="F907" s="37"/>
      <c r="G907" s="37"/>
      <c r="H907" s="37"/>
      <c r="I907" s="37"/>
      <c r="J907" s="37"/>
      <c r="K907" s="37"/>
      <c r="L907" s="37"/>
      <c r="M907" s="37"/>
      <c r="N907" s="37"/>
      <c r="O907" s="37"/>
      <c r="P907" s="37"/>
    </row>
    <row r="908" spans="1:16" ht="15.75" customHeight="1">
      <c r="A908" s="36"/>
      <c r="B908" s="36"/>
      <c r="C908" s="36"/>
      <c r="D908" s="36"/>
      <c r="E908" s="36"/>
      <c r="F908" s="36"/>
      <c r="G908" s="36"/>
      <c r="H908" s="36"/>
      <c r="I908" s="36"/>
      <c r="J908" s="36"/>
      <c r="K908" s="36"/>
      <c r="L908" s="36"/>
      <c r="M908" s="36"/>
      <c r="N908" s="36"/>
      <c r="O908" s="36"/>
      <c r="P908" s="36"/>
    </row>
    <row r="909" spans="1:16" ht="15.75" customHeight="1">
      <c r="A909" s="37"/>
      <c r="B909" s="37"/>
      <c r="C909" s="37"/>
      <c r="D909" s="37"/>
      <c r="E909" s="37"/>
      <c r="F909" s="37"/>
      <c r="G909" s="37"/>
      <c r="H909" s="37"/>
      <c r="I909" s="37"/>
      <c r="J909" s="37"/>
      <c r="K909" s="37"/>
      <c r="L909" s="37"/>
      <c r="M909" s="37"/>
      <c r="N909" s="37"/>
      <c r="O909" s="37"/>
      <c r="P909" s="37"/>
    </row>
    <row r="910" spans="1:16" ht="15.75" customHeight="1">
      <c r="A910" s="36"/>
      <c r="B910" s="36"/>
      <c r="C910" s="36"/>
      <c r="D910" s="36"/>
      <c r="E910" s="36"/>
      <c r="F910" s="36"/>
      <c r="G910" s="36"/>
      <c r="H910" s="36"/>
      <c r="I910" s="36"/>
      <c r="J910" s="36"/>
      <c r="K910" s="36"/>
      <c r="L910" s="36"/>
      <c r="M910" s="36"/>
      <c r="N910" s="36"/>
      <c r="O910" s="36"/>
      <c r="P910" s="36"/>
    </row>
    <row r="911" spans="1:16" ht="15.75" customHeight="1">
      <c r="A911" s="37"/>
      <c r="B911" s="37"/>
      <c r="C911" s="37"/>
      <c r="D911" s="37"/>
      <c r="E911" s="37"/>
      <c r="F911" s="37"/>
      <c r="G911" s="37"/>
      <c r="H911" s="37"/>
      <c r="I911" s="37"/>
      <c r="J911" s="37"/>
      <c r="K911" s="37"/>
      <c r="L911" s="37"/>
      <c r="M911" s="37"/>
      <c r="N911" s="37"/>
      <c r="O911" s="37"/>
      <c r="P911" s="37"/>
    </row>
    <row r="912" spans="1:16" ht="15.75" customHeight="1">
      <c r="A912" s="36"/>
      <c r="B912" s="36"/>
      <c r="C912" s="36"/>
      <c r="D912" s="36"/>
      <c r="E912" s="36"/>
      <c r="F912" s="36"/>
      <c r="G912" s="36"/>
      <c r="H912" s="36"/>
      <c r="I912" s="36"/>
      <c r="J912" s="36"/>
      <c r="K912" s="36"/>
      <c r="L912" s="36"/>
      <c r="M912" s="36"/>
      <c r="N912" s="36"/>
      <c r="O912" s="36"/>
      <c r="P912" s="36"/>
    </row>
    <row r="913" spans="1:16" ht="15.75" customHeight="1">
      <c r="A913" s="37"/>
      <c r="B913" s="37"/>
      <c r="C913" s="37"/>
      <c r="D913" s="37"/>
      <c r="E913" s="37"/>
      <c r="F913" s="37"/>
      <c r="G913" s="37"/>
      <c r="H913" s="37"/>
      <c r="I913" s="37"/>
      <c r="J913" s="37"/>
      <c r="K913" s="37"/>
      <c r="L913" s="37"/>
      <c r="M913" s="37"/>
      <c r="N913" s="37"/>
      <c r="O913" s="37"/>
      <c r="P913" s="37"/>
    </row>
    <row r="914" spans="1:16" ht="15.75" customHeight="1">
      <c r="A914" s="36"/>
      <c r="B914" s="36"/>
      <c r="C914" s="36"/>
      <c r="D914" s="36"/>
      <c r="E914" s="36"/>
      <c r="F914" s="36"/>
      <c r="G914" s="36"/>
      <c r="H914" s="36"/>
      <c r="I914" s="36"/>
      <c r="J914" s="36"/>
      <c r="K914" s="36"/>
      <c r="L914" s="36"/>
      <c r="M914" s="36"/>
      <c r="N914" s="36"/>
      <c r="O914" s="36"/>
      <c r="P914" s="36"/>
    </row>
    <row r="915" spans="1:16" ht="15.75" customHeight="1">
      <c r="A915" s="37"/>
      <c r="B915" s="37"/>
      <c r="C915" s="37"/>
      <c r="D915" s="37"/>
      <c r="E915" s="37"/>
      <c r="F915" s="37"/>
      <c r="G915" s="37"/>
      <c r="H915" s="37"/>
      <c r="I915" s="37"/>
      <c r="J915" s="37"/>
      <c r="K915" s="37"/>
      <c r="L915" s="37"/>
      <c r="M915" s="37"/>
      <c r="N915" s="37"/>
      <c r="O915" s="37"/>
      <c r="P915" s="37"/>
    </row>
    <row r="916" spans="1:16" ht="15.75" customHeight="1">
      <c r="A916" s="36"/>
      <c r="B916" s="36"/>
      <c r="C916" s="36"/>
      <c r="D916" s="36"/>
      <c r="E916" s="36"/>
      <c r="F916" s="36"/>
      <c r="G916" s="36"/>
      <c r="H916" s="36"/>
      <c r="I916" s="36"/>
      <c r="J916" s="36"/>
      <c r="K916" s="36"/>
      <c r="L916" s="36"/>
      <c r="M916" s="36"/>
      <c r="N916" s="36"/>
      <c r="O916" s="36"/>
      <c r="P916" s="36"/>
    </row>
    <row r="917" spans="1:16" ht="15.75" customHeight="1">
      <c r="A917" s="37"/>
      <c r="B917" s="37"/>
      <c r="C917" s="37"/>
      <c r="D917" s="37"/>
      <c r="E917" s="37"/>
      <c r="F917" s="37"/>
      <c r="G917" s="37"/>
      <c r="H917" s="37"/>
      <c r="I917" s="37"/>
      <c r="J917" s="37"/>
      <c r="K917" s="37"/>
      <c r="L917" s="37"/>
      <c r="M917" s="37"/>
      <c r="N917" s="37"/>
      <c r="O917" s="37"/>
      <c r="P917" s="37"/>
    </row>
    <row r="918" spans="1:16" ht="15.75" customHeight="1">
      <c r="A918" s="36"/>
      <c r="B918" s="36"/>
      <c r="C918" s="36"/>
      <c r="D918" s="36"/>
      <c r="E918" s="36"/>
      <c r="F918" s="36"/>
      <c r="G918" s="36"/>
      <c r="H918" s="36"/>
      <c r="I918" s="36"/>
      <c r="J918" s="36"/>
      <c r="K918" s="36"/>
      <c r="L918" s="36"/>
      <c r="M918" s="36"/>
      <c r="N918" s="36"/>
      <c r="O918" s="36"/>
      <c r="P918" s="36"/>
    </row>
    <row r="919" spans="1:16" ht="15.75" customHeight="1">
      <c r="A919" s="37"/>
      <c r="B919" s="37"/>
      <c r="C919" s="37"/>
      <c r="D919" s="37"/>
      <c r="E919" s="37"/>
      <c r="F919" s="37"/>
      <c r="G919" s="37"/>
      <c r="H919" s="37"/>
      <c r="I919" s="37"/>
      <c r="J919" s="37"/>
      <c r="K919" s="37"/>
      <c r="L919" s="37"/>
      <c r="M919" s="37"/>
      <c r="N919" s="37"/>
      <c r="O919" s="37"/>
      <c r="P919" s="37"/>
    </row>
    <row r="920" spans="1:16" ht="15.75" customHeight="1">
      <c r="A920" s="36"/>
      <c r="B920" s="36"/>
      <c r="C920" s="36"/>
      <c r="D920" s="36"/>
      <c r="E920" s="36"/>
      <c r="F920" s="36"/>
      <c r="G920" s="36"/>
      <c r="H920" s="36"/>
      <c r="I920" s="36"/>
      <c r="J920" s="36"/>
      <c r="K920" s="36"/>
      <c r="L920" s="36"/>
      <c r="M920" s="36"/>
      <c r="N920" s="36"/>
      <c r="O920" s="36"/>
      <c r="P920" s="36"/>
    </row>
    <row r="921" spans="1:16" ht="15.75" customHeight="1">
      <c r="A921" s="37"/>
      <c r="B921" s="37"/>
      <c r="C921" s="37"/>
      <c r="D921" s="37"/>
      <c r="E921" s="37"/>
      <c r="F921" s="37"/>
      <c r="G921" s="37"/>
      <c r="H921" s="37"/>
      <c r="I921" s="37"/>
      <c r="J921" s="37"/>
      <c r="K921" s="37"/>
      <c r="L921" s="37"/>
      <c r="M921" s="37"/>
      <c r="N921" s="37"/>
      <c r="O921" s="37"/>
      <c r="P921" s="37"/>
    </row>
    <row r="922" spans="1:16" ht="15.75" customHeight="1">
      <c r="A922" s="36"/>
      <c r="B922" s="36"/>
      <c r="C922" s="36"/>
      <c r="D922" s="36"/>
      <c r="E922" s="36"/>
      <c r="F922" s="36"/>
      <c r="G922" s="36"/>
      <c r="H922" s="36"/>
      <c r="I922" s="36"/>
      <c r="J922" s="36"/>
      <c r="K922" s="36"/>
      <c r="L922" s="36"/>
      <c r="M922" s="36"/>
      <c r="N922" s="36"/>
      <c r="O922" s="36"/>
      <c r="P922" s="36"/>
    </row>
    <row r="923" spans="1:16" ht="15.75" customHeight="1">
      <c r="A923" s="37"/>
      <c r="B923" s="37"/>
      <c r="C923" s="37"/>
      <c r="D923" s="37"/>
      <c r="E923" s="37"/>
      <c r="F923" s="37"/>
      <c r="G923" s="37"/>
      <c r="H923" s="37"/>
      <c r="I923" s="37"/>
      <c r="J923" s="37"/>
      <c r="K923" s="37"/>
      <c r="L923" s="37"/>
      <c r="M923" s="37"/>
      <c r="N923" s="37"/>
      <c r="O923" s="37"/>
      <c r="P923" s="37"/>
    </row>
    <row r="924" spans="1:16" ht="15.75" customHeight="1">
      <c r="A924" s="36"/>
      <c r="B924" s="36"/>
      <c r="C924" s="36"/>
      <c r="D924" s="36"/>
      <c r="E924" s="36"/>
      <c r="F924" s="36"/>
      <c r="G924" s="36"/>
      <c r="H924" s="36"/>
      <c r="I924" s="36"/>
      <c r="J924" s="36"/>
      <c r="K924" s="36"/>
      <c r="L924" s="36"/>
      <c r="M924" s="36"/>
      <c r="N924" s="36"/>
      <c r="O924" s="36"/>
      <c r="P924" s="36"/>
    </row>
    <row r="925" spans="1:16" ht="15.75" customHeight="1">
      <c r="A925" s="37"/>
      <c r="B925" s="37"/>
      <c r="C925" s="37"/>
      <c r="D925" s="37"/>
      <c r="E925" s="37"/>
      <c r="F925" s="37"/>
      <c r="G925" s="37"/>
      <c r="H925" s="37"/>
      <c r="I925" s="37"/>
      <c r="J925" s="37"/>
      <c r="K925" s="37"/>
      <c r="L925" s="37"/>
      <c r="M925" s="37"/>
      <c r="N925" s="37"/>
      <c r="O925" s="37"/>
      <c r="P925" s="37"/>
    </row>
    <row r="926" spans="1:16" ht="15.75" customHeight="1">
      <c r="A926" s="36"/>
      <c r="B926" s="36"/>
      <c r="C926" s="36"/>
      <c r="D926" s="36"/>
      <c r="E926" s="36"/>
      <c r="F926" s="36"/>
      <c r="G926" s="36"/>
      <c r="H926" s="36"/>
      <c r="I926" s="36"/>
      <c r="J926" s="36"/>
      <c r="K926" s="36"/>
      <c r="L926" s="36"/>
      <c r="M926" s="36"/>
      <c r="N926" s="36"/>
      <c r="O926" s="36"/>
      <c r="P926" s="36"/>
    </row>
    <row r="927" spans="1:16" ht="15.75" customHeight="1">
      <c r="A927" s="37"/>
      <c r="B927" s="37"/>
      <c r="C927" s="37"/>
      <c r="D927" s="37"/>
      <c r="E927" s="37"/>
      <c r="F927" s="37"/>
      <c r="G927" s="37"/>
      <c r="H927" s="37"/>
      <c r="I927" s="37"/>
      <c r="J927" s="37"/>
      <c r="K927" s="37"/>
      <c r="L927" s="37"/>
      <c r="M927" s="37"/>
      <c r="N927" s="37"/>
      <c r="O927" s="37"/>
      <c r="P927" s="37"/>
    </row>
    <row r="928" spans="1:16" ht="15.75" customHeight="1">
      <c r="A928" s="36"/>
      <c r="B928" s="36"/>
      <c r="C928" s="36"/>
      <c r="D928" s="36"/>
      <c r="E928" s="36"/>
      <c r="F928" s="36"/>
      <c r="G928" s="36"/>
      <c r="H928" s="36"/>
      <c r="I928" s="36"/>
      <c r="J928" s="36"/>
      <c r="K928" s="36"/>
      <c r="L928" s="36"/>
      <c r="M928" s="36"/>
      <c r="N928" s="36"/>
      <c r="O928" s="36"/>
      <c r="P928" s="36"/>
    </row>
    <row r="929" spans="1:16" ht="15.75" customHeight="1">
      <c r="A929" s="37"/>
      <c r="B929" s="37"/>
      <c r="C929" s="37"/>
      <c r="D929" s="37"/>
      <c r="E929" s="37"/>
      <c r="F929" s="37"/>
      <c r="G929" s="37"/>
      <c r="H929" s="37"/>
      <c r="I929" s="37"/>
      <c r="J929" s="37"/>
      <c r="K929" s="37"/>
      <c r="L929" s="37"/>
      <c r="M929" s="37"/>
      <c r="N929" s="37"/>
      <c r="O929" s="37"/>
      <c r="P929" s="37"/>
    </row>
    <row r="930" spans="1:16" ht="15.75" customHeight="1">
      <c r="A930" s="36"/>
      <c r="B930" s="36"/>
      <c r="C930" s="36"/>
      <c r="D930" s="36"/>
      <c r="E930" s="36"/>
      <c r="F930" s="36"/>
      <c r="G930" s="36"/>
      <c r="H930" s="36"/>
      <c r="I930" s="36"/>
      <c r="J930" s="36"/>
      <c r="K930" s="36"/>
      <c r="L930" s="36"/>
      <c r="M930" s="36"/>
      <c r="N930" s="36"/>
      <c r="O930" s="36"/>
      <c r="P930" s="36"/>
    </row>
    <row r="931" spans="1:16" ht="15.75" customHeight="1">
      <c r="A931" s="37"/>
      <c r="B931" s="37"/>
      <c r="C931" s="37"/>
      <c r="D931" s="37"/>
      <c r="E931" s="37"/>
      <c r="F931" s="37"/>
      <c r="G931" s="37"/>
      <c r="H931" s="37"/>
      <c r="I931" s="37"/>
      <c r="J931" s="37"/>
      <c r="K931" s="37"/>
      <c r="L931" s="37"/>
      <c r="M931" s="37"/>
      <c r="N931" s="37"/>
      <c r="O931" s="37"/>
      <c r="P931" s="37"/>
    </row>
    <row r="932" spans="1:16" ht="15.75" customHeight="1">
      <c r="A932" s="36"/>
      <c r="B932" s="36"/>
      <c r="C932" s="36"/>
      <c r="D932" s="36"/>
      <c r="E932" s="36"/>
      <c r="F932" s="36"/>
      <c r="G932" s="36"/>
      <c r="H932" s="36"/>
      <c r="I932" s="36"/>
      <c r="J932" s="36"/>
      <c r="K932" s="36"/>
      <c r="L932" s="36"/>
      <c r="M932" s="36"/>
      <c r="N932" s="36"/>
      <c r="O932" s="36"/>
      <c r="P932" s="36"/>
    </row>
    <row r="933" spans="1:16" ht="15.75" customHeight="1">
      <c r="A933" s="37"/>
      <c r="B933" s="37"/>
      <c r="C933" s="37"/>
      <c r="D933" s="37"/>
      <c r="E933" s="37"/>
      <c r="F933" s="37"/>
      <c r="G933" s="37"/>
      <c r="H933" s="37"/>
      <c r="I933" s="37"/>
      <c r="J933" s="37"/>
      <c r="K933" s="37"/>
      <c r="L933" s="37"/>
      <c r="M933" s="37"/>
      <c r="N933" s="37"/>
      <c r="O933" s="37"/>
      <c r="P933" s="37"/>
    </row>
    <row r="934" spans="1:16" ht="15.75" customHeight="1">
      <c r="A934" s="36"/>
      <c r="B934" s="36"/>
      <c r="C934" s="36"/>
      <c r="D934" s="36"/>
      <c r="E934" s="36"/>
      <c r="F934" s="36"/>
      <c r="G934" s="36"/>
      <c r="H934" s="36"/>
      <c r="I934" s="36"/>
      <c r="J934" s="36"/>
      <c r="K934" s="36"/>
      <c r="L934" s="36"/>
      <c r="M934" s="36"/>
      <c r="N934" s="36"/>
      <c r="O934" s="36"/>
      <c r="P934" s="36"/>
    </row>
    <row r="935" spans="1:16" ht="15.75" customHeight="1">
      <c r="A935" s="37"/>
      <c r="B935" s="37"/>
      <c r="C935" s="37"/>
      <c r="D935" s="37"/>
      <c r="E935" s="37"/>
      <c r="F935" s="37"/>
      <c r="G935" s="37"/>
      <c r="H935" s="37"/>
      <c r="I935" s="37"/>
      <c r="J935" s="37"/>
      <c r="K935" s="37"/>
      <c r="L935" s="37"/>
      <c r="M935" s="37"/>
      <c r="N935" s="37"/>
      <c r="O935" s="37"/>
      <c r="P935" s="37"/>
    </row>
    <row r="936" spans="1:16" ht="15.75" customHeight="1">
      <c r="A936" s="36"/>
      <c r="B936" s="36"/>
      <c r="C936" s="36"/>
      <c r="D936" s="36"/>
      <c r="E936" s="36"/>
      <c r="F936" s="36"/>
      <c r="G936" s="36"/>
      <c r="H936" s="36"/>
      <c r="I936" s="36"/>
      <c r="J936" s="36"/>
      <c r="K936" s="36"/>
      <c r="L936" s="36"/>
      <c r="M936" s="36"/>
      <c r="N936" s="36"/>
      <c r="O936" s="36"/>
      <c r="P936" s="36"/>
    </row>
    <row r="937" spans="1:16" ht="15.75" customHeight="1">
      <c r="A937" s="37"/>
      <c r="B937" s="37"/>
      <c r="C937" s="37"/>
      <c r="D937" s="37"/>
      <c r="E937" s="37"/>
      <c r="F937" s="37"/>
      <c r="G937" s="37"/>
      <c r="H937" s="37"/>
      <c r="I937" s="37"/>
      <c r="J937" s="37"/>
      <c r="K937" s="37"/>
      <c r="L937" s="37"/>
      <c r="M937" s="37"/>
      <c r="N937" s="37"/>
      <c r="O937" s="37"/>
      <c r="P937" s="37"/>
    </row>
    <row r="938" spans="1:16" ht="15.75" customHeight="1">
      <c r="A938" s="36"/>
      <c r="B938" s="36"/>
      <c r="C938" s="36"/>
      <c r="D938" s="36"/>
      <c r="E938" s="36"/>
      <c r="F938" s="36"/>
      <c r="G938" s="36"/>
      <c r="H938" s="36"/>
      <c r="I938" s="36"/>
      <c r="J938" s="36"/>
      <c r="K938" s="36"/>
      <c r="L938" s="36"/>
      <c r="M938" s="36"/>
      <c r="N938" s="36"/>
      <c r="O938" s="36"/>
      <c r="P938" s="36"/>
    </row>
    <row r="939" spans="1:16" ht="15.75" customHeight="1">
      <c r="A939" s="37"/>
      <c r="B939" s="37"/>
      <c r="C939" s="37"/>
      <c r="D939" s="37"/>
      <c r="E939" s="37"/>
      <c r="F939" s="37"/>
      <c r="G939" s="37"/>
      <c r="H939" s="37"/>
      <c r="I939" s="37"/>
      <c r="J939" s="37"/>
      <c r="K939" s="37"/>
      <c r="L939" s="37"/>
      <c r="M939" s="37"/>
      <c r="N939" s="37"/>
      <c r="O939" s="37"/>
      <c r="P939" s="37"/>
    </row>
    <row r="940" spans="1:16" ht="15.75" customHeight="1">
      <c r="A940" s="36"/>
      <c r="B940" s="36"/>
      <c r="C940" s="36"/>
      <c r="D940" s="36"/>
      <c r="E940" s="36"/>
      <c r="F940" s="36"/>
      <c r="G940" s="36"/>
      <c r="H940" s="36"/>
      <c r="I940" s="36"/>
      <c r="J940" s="36"/>
      <c r="K940" s="36"/>
      <c r="L940" s="36"/>
      <c r="M940" s="36"/>
      <c r="N940" s="36"/>
      <c r="O940" s="36"/>
      <c r="P940" s="36"/>
    </row>
    <row r="941" spans="1:16" ht="15.75" customHeight="1">
      <c r="A941" s="37"/>
      <c r="B941" s="37"/>
      <c r="C941" s="37"/>
      <c r="D941" s="37"/>
      <c r="E941" s="37"/>
      <c r="F941" s="37"/>
      <c r="G941" s="37"/>
      <c r="H941" s="37"/>
      <c r="I941" s="37"/>
      <c r="J941" s="37"/>
      <c r="K941" s="37"/>
      <c r="L941" s="37"/>
      <c r="M941" s="37"/>
      <c r="N941" s="37"/>
      <c r="O941" s="37"/>
      <c r="P941" s="37"/>
    </row>
    <row r="942" spans="1:16" ht="15.75" customHeight="1">
      <c r="A942" s="36"/>
      <c r="B942" s="36"/>
      <c r="C942" s="36"/>
      <c r="D942" s="36"/>
      <c r="E942" s="36"/>
      <c r="F942" s="36"/>
      <c r="G942" s="36"/>
      <c r="H942" s="36"/>
      <c r="I942" s="36"/>
      <c r="J942" s="36"/>
      <c r="K942" s="36"/>
      <c r="L942" s="36"/>
      <c r="M942" s="36"/>
      <c r="N942" s="36"/>
      <c r="O942" s="36"/>
      <c r="P942" s="36"/>
    </row>
    <row r="943" spans="1:16" ht="15.75" customHeight="1">
      <c r="A943" s="37"/>
      <c r="B943" s="37"/>
      <c r="C943" s="37"/>
      <c r="D943" s="37"/>
      <c r="E943" s="37"/>
      <c r="F943" s="37"/>
      <c r="G943" s="37"/>
      <c r="H943" s="37"/>
      <c r="I943" s="37"/>
      <c r="J943" s="37"/>
      <c r="K943" s="37"/>
      <c r="L943" s="37"/>
      <c r="M943" s="37"/>
      <c r="N943" s="37"/>
      <c r="O943" s="37"/>
      <c r="P943" s="37"/>
    </row>
    <row r="944" spans="1:16" ht="15.75" customHeight="1">
      <c r="A944" s="36"/>
      <c r="B944" s="36"/>
      <c r="C944" s="36"/>
      <c r="D944" s="36"/>
      <c r="E944" s="36"/>
      <c r="F944" s="36"/>
      <c r="G944" s="36"/>
      <c r="H944" s="36"/>
      <c r="I944" s="36"/>
      <c r="J944" s="36"/>
      <c r="K944" s="36"/>
      <c r="L944" s="36"/>
      <c r="M944" s="36"/>
      <c r="N944" s="36"/>
      <c r="O944" s="36"/>
      <c r="P944" s="36"/>
    </row>
    <row r="945" spans="1:16" ht="15.75" customHeight="1">
      <c r="A945" s="37"/>
      <c r="B945" s="37"/>
      <c r="C945" s="37"/>
      <c r="D945" s="37"/>
      <c r="E945" s="37"/>
      <c r="F945" s="37"/>
      <c r="G945" s="37"/>
      <c r="H945" s="37"/>
      <c r="I945" s="37"/>
      <c r="J945" s="37"/>
      <c r="K945" s="37"/>
      <c r="L945" s="37"/>
      <c r="M945" s="37"/>
      <c r="N945" s="37"/>
      <c r="O945" s="37"/>
      <c r="P945" s="37"/>
    </row>
    <row r="946" spans="1:16" ht="15.75" customHeight="1">
      <c r="A946" s="36"/>
      <c r="B946" s="36"/>
      <c r="C946" s="36"/>
      <c r="D946" s="36"/>
      <c r="E946" s="36"/>
      <c r="F946" s="36"/>
      <c r="G946" s="36"/>
      <c r="H946" s="36"/>
      <c r="I946" s="36"/>
      <c r="J946" s="36"/>
      <c r="K946" s="36"/>
      <c r="L946" s="36"/>
      <c r="M946" s="36"/>
      <c r="N946" s="36"/>
      <c r="O946" s="36"/>
      <c r="P946" s="36"/>
    </row>
    <row r="947" spans="1:16" ht="15.75" customHeight="1">
      <c r="A947" s="37"/>
      <c r="B947" s="37"/>
      <c r="C947" s="37"/>
      <c r="D947" s="37"/>
      <c r="E947" s="37"/>
      <c r="F947" s="37"/>
      <c r="G947" s="37"/>
      <c r="H947" s="37"/>
      <c r="I947" s="37"/>
      <c r="J947" s="37"/>
      <c r="K947" s="37"/>
      <c r="L947" s="37"/>
      <c r="M947" s="37"/>
      <c r="N947" s="37"/>
      <c r="O947" s="37"/>
      <c r="P947" s="37"/>
    </row>
    <row r="948" spans="1:16" ht="15.75" customHeight="1">
      <c r="A948" s="36"/>
      <c r="B948" s="36"/>
      <c r="C948" s="36"/>
      <c r="D948" s="36"/>
      <c r="E948" s="36"/>
      <c r="F948" s="36"/>
      <c r="G948" s="36"/>
      <c r="H948" s="36"/>
      <c r="I948" s="36"/>
      <c r="J948" s="36"/>
      <c r="K948" s="36"/>
      <c r="L948" s="36"/>
      <c r="M948" s="36"/>
      <c r="N948" s="36"/>
      <c r="O948" s="36"/>
      <c r="P948" s="36"/>
    </row>
    <row r="949" spans="1:16" ht="15.75" customHeight="1">
      <c r="A949" s="37"/>
      <c r="B949" s="37"/>
      <c r="C949" s="37"/>
      <c r="D949" s="37"/>
      <c r="E949" s="37"/>
      <c r="F949" s="37"/>
      <c r="G949" s="37"/>
      <c r="H949" s="37"/>
      <c r="I949" s="37"/>
      <c r="J949" s="37"/>
      <c r="K949" s="37"/>
      <c r="L949" s="37"/>
      <c r="M949" s="37"/>
      <c r="N949" s="37"/>
      <c r="O949" s="37"/>
      <c r="P949" s="37"/>
    </row>
    <row r="950" spans="1:16" ht="15.75" customHeight="1">
      <c r="A950" s="36"/>
      <c r="B950" s="36"/>
      <c r="C950" s="36"/>
      <c r="D950" s="36"/>
      <c r="E950" s="36"/>
      <c r="F950" s="36"/>
      <c r="G950" s="36"/>
      <c r="H950" s="36"/>
      <c r="I950" s="36"/>
      <c r="J950" s="36"/>
      <c r="K950" s="36"/>
      <c r="L950" s="36"/>
      <c r="M950" s="36"/>
      <c r="N950" s="36"/>
      <c r="O950" s="36"/>
      <c r="P950" s="36"/>
    </row>
    <row r="951" spans="1:16" ht="15.75" customHeight="1">
      <c r="A951" s="37"/>
      <c r="B951" s="37"/>
      <c r="C951" s="37"/>
      <c r="D951" s="37"/>
      <c r="E951" s="37"/>
      <c r="F951" s="37"/>
      <c r="G951" s="37"/>
      <c r="H951" s="37"/>
      <c r="I951" s="37"/>
      <c r="J951" s="37"/>
      <c r="K951" s="37"/>
      <c r="L951" s="37"/>
      <c r="M951" s="37"/>
      <c r="N951" s="37"/>
      <c r="O951" s="37"/>
      <c r="P951" s="37"/>
    </row>
    <row r="952" spans="1:16" ht="15.75" customHeight="1">
      <c r="A952" s="36"/>
      <c r="B952" s="36"/>
      <c r="C952" s="36"/>
      <c r="D952" s="36"/>
      <c r="E952" s="36"/>
      <c r="F952" s="36"/>
      <c r="G952" s="36"/>
      <c r="H952" s="36"/>
      <c r="I952" s="36"/>
      <c r="J952" s="36"/>
      <c r="K952" s="36"/>
      <c r="L952" s="36"/>
      <c r="M952" s="36"/>
      <c r="N952" s="36"/>
      <c r="O952" s="36"/>
      <c r="P952" s="36"/>
    </row>
    <row r="953" spans="1:16" ht="15.75" customHeight="1">
      <c r="A953" s="37"/>
      <c r="B953" s="37"/>
      <c r="C953" s="37"/>
      <c r="D953" s="37"/>
      <c r="E953" s="37"/>
      <c r="F953" s="37"/>
      <c r="G953" s="37"/>
      <c r="H953" s="37"/>
      <c r="I953" s="37"/>
      <c r="J953" s="37"/>
      <c r="K953" s="37"/>
      <c r="L953" s="37"/>
      <c r="M953" s="37"/>
      <c r="N953" s="37"/>
      <c r="O953" s="37"/>
      <c r="P953" s="37"/>
    </row>
    <row r="954" spans="1:16" ht="15.75" customHeight="1">
      <c r="A954" s="36"/>
      <c r="B954" s="36"/>
      <c r="C954" s="36"/>
      <c r="D954" s="36"/>
      <c r="E954" s="36"/>
      <c r="F954" s="36"/>
      <c r="G954" s="36"/>
      <c r="H954" s="36"/>
      <c r="I954" s="36"/>
      <c r="J954" s="36"/>
      <c r="K954" s="36"/>
      <c r="L954" s="36"/>
      <c r="M954" s="36"/>
      <c r="N954" s="36"/>
      <c r="O954" s="36"/>
      <c r="P954" s="36"/>
    </row>
    <row r="955" spans="1:16" ht="15.75" customHeight="1">
      <c r="A955" s="37"/>
      <c r="B955" s="37"/>
      <c r="C955" s="37"/>
      <c r="D955" s="37"/>
      <c r="E955" s="37"/>
      <c r="F955" s="37"/>
      <c r="G955" s="37"/>
      <c r="H955" s="37"/>
      <c r="I955" s="37"/>
      <c r="J955" s="37"/>
      <c r="K955" s="37"/>
      <c r="L955" s="37"/>
      <c r="M955" s="37"/>
      <c r="N955" s="37"/>
      <c r="O955" s="37"/>
      <c r="P955" s="37"/>
    </row>
    <row r="956" spans="1:16" ht="15.75" customHeight="1">
      <c r="A956" s="36"/>
      <c r="B956" s="36"/>
      <c r="C956" s="36"/>
      <c r="D956" s="36"/>
      <c r="E956" s="36"/>
      <c r="F956" s="36"/>
      <c r="G956" s="36"/>
      <c r="H956" s="36"/>
      <c r="I956" s="36"/>
      <c r="J956" s="36"/>
      <c r="K956" s="36"/>
      <c r="L956" s="36"/>
      <c r="M956" s="36"/>
      <c r="N956" s="36"/>
      <c r="O956" s="36"/>
      <c r="P956" s="36"/>
    </row>
    <row r="957" spans="1:16" ht="15.75" customHeight="1">
      <c r="A957" s="37"/>
      <c r="B957" s="37"/>
      <c r="C957" s="37"/>
      <c r="D957" s="37"/>
      <c r="E957" s="37"/>
      <c r="F957" s="37"/>
      <c r="G957" s="37"/>
      <c r="H957" s="37"/>
      <c r="I957" s="37"/>
      <c r="J957" s="37"/>
      <c r="K957" s="37"/>
      <c r="L957" s="37"/>
      <c r="M957" s="37"/>
      <c r="N957" s="37"/>
      <c r="O957" s="37"/>
      <c r="P957" s="37"/>
    </row>
    <row r="958" spans="1:16" ht="15.75" customHeight="1">
      <c r="A958" s="36"/>
      <c r="B958" s="36"/>
      <c r="C958" s="36"/>
      <c r="D958" s="36"/>
      <c r="E958" s="36"/>
      <c r="F958" s="36"/>
      <c r="G958" s="36"/>
      <c r="H958" s="36"/>
      <c r="I958" s="36"/>
      <c r="J958" s="36"/>
      <c r="K958" s="36"/>
      <c r="L958" s="36"/>
      <c r="M958" s="36"/>
      <c r="N958" s="36"/>
      <c r="O958" s="36"/>
      <c r="P958" s="36"/>
    </row>
    <row r="959" spans="1:16" ht="15.75" customHeight="1">
      <c r="A959" s="37"/>
      <c r="B959" s="37"/>
      <c r="C959" s="37"/>
      <c r="D959" s="37"/>
      <c r="E959" s="37"/>
      <c r="F959" s="37"/>
      <c r="G959" s="37"/>
      <c r="H959" s="37"/>
      <c r="I959" s="37"/>
      <c r="J959" s="37"/>
      <c r="K959" s="37"/>
      <c r="L959" s="37"/>
      <c r="M959" s="37"/>
      <c r="N959" s="37"/>
      <c r="O959" s="37"/>
      <c r="P959" s="37"/>
    </row>
    <row r="960" spans="1:16" ht="15.75" customHeight="1">
      <c r="A960" s="36"/>
      <c r="B960" s="36"/>
      <c r="C960" s="36"/>
      <c r="D960" s="36"/>
      <c r="E960" s="36"/>
      <c r="F960" s="36"/>
      <c r="G960" s="36"/>
      <c r="H960" s="36"/>
      <c r="I960" s="36"/>
      <c r="J960" s="36"/>
      <c r="K960" s="36"/>
      <c r="L960" s="36"/>
      <c r="M960" s="36"/>
      <c r="N960" s="36"/>
      <c r="O960" s="36"/>
      <c r="P960" s="36"/>
    </row>
    <row r="961" spans="1:16" ht="15.75" customHeight="1">
      <c r="A961" s="37"/>
      <c r="B961" s="37"/>
      <c r="C961" s="37"/>
      <c r="D961" s="37"/>
      <c r="E961" s="37"/>
      <c r="F961" s="37"/>
      <c r="G961" s="37"/>
      <c r="H961" s="37"/>
      <c r="I961" s="37"/>
      <c r="J961" s="37"/>
      <c r="K961" s="37"/>
      <c r="L961" s="37"/>
      <c r="M961" s="37"/>
      <c r="N961" s="37"/>
      <c r="O961" s="37"/>
      <c r="P961" s="37"/>
    </row>
    <row r="962" spans="1:16" ht="15.75" customHeight="1">
      <c r="A962" s="36"/>
      <c r="B962" s="36"/>
      <c r="C962" s="36"/>
      <c r="D962" s="36"/>
      <c r="E962" s="36"/>
      <c r="F962" s="36"/>
      <c r="G962" s="36"/>
      <c r="H962" s="36"/>
      <c r="I962" s="36"/>
      <c r="J962" s="36"/>
      <c r="K962" s="36"/>
      <c r="L962" s="36"/>
      <c r="M962" s="36"/>
      <c r="N962" s="36"/>
      <c r="O962" s="36"/>
      <c r="P962" s="36"/>
    </row>
    <row r="963" spans="1:16" ht="15.75" customHeight="1">
      <c r="A963" s="37"/>
      <c r="B963" s="37"/>
      <c r="C963" s="37"/>
      <c r="D963" s="37"/>
      <c r="E963" s="37"/>
      <c r="F963" s="37"/>
      <c r="G963" s="37"/>
      <c r="H963" s="37"/>
      <c r="I963" s="37"/>
      <c r="J963" s="37"/>
      <c r="K963" s="37"/>
      <c r="L963" s="37"/>
      <c r="M963" s="37"/>
      <c r="N963" s="37"/>
      <c r="O963" s="37"/>
      <c r="P963" s="37"/>
    </row>
    <row r="964" spans="1:16" ht="15.75" customHeight="1">
      <c r="A964" s="36"/>
      <c r="B964" s="36"/>
      <c r="C964" s="36"/>
      <c r="D964" s="36"/>
      <c r="E964" s="36"/>
      <c r="F964" s="36"/>
      <c r="G964" s="36"/>
      <c r="H964" s="36"/>
      <c r="I964" s="36"/>
      <c r="J964" s="36"/>
      <c r="K964" s="36"/>
      <c r="L964" s="36"/>
      <c r="M964" s="36"/>
      <c r="N964" s="36"/>
      <c r="O964" s="36"/>
      <c r="P964" s="36"/>
    </row>
    <row r="965" spans="1:16" ht="15.75" customHeight="1">
      <c r="A965" s="37"/>
      <c r="B965" s="37"/>
      <c r="C965" s="37"/>
      <c r="D965" s="37"/>
      <c r="E965" s="37"/>
      <c r="F965" s="37"/>
      <c r="G965" s="37"/>
      <c r="H965" s="37"/>
      <c r="I965" s="37"/>
      <c r="J965" s="37"/>
      <c r="K965" s="37"/>
      <c r="L965" s="37"/>
      <c r="M965" s="37"/>
      <c r="N965" s="37"/>
      <c r="O965" s="37"/>
      <c r="P965" s="37"/>
    </row>
    <row r="966" spans="1:16" ht="15.75" customHeight="1">
      <c r="A966" s="36"/>
      <c r="B966" s="36"/>
      <c r="C966" s="36"/>
      <c r="D966" s="36"/>
      <c r="E966" s="36"/>
      <c r="F966" s="36"/>
      <c r="G966" s="36"/>
      <c r="H966" s="36"/>
      <c r="I966" s="36"/>
      <c r="J966" s="36"/>
      <c r="K966" s="36"/>
      <c r="L966" s="36"/>
      <c r="M966" s="36"/>
      <c r="N966" s="36"/>
      <c r="O966" s="36"/>
      <c r="P966" s="36"/>
    </row>
    <row r="967" spans="1:16" ht="15.75" customHeight="1">
      <c r="A967" s="37"/>
      <c r="B967" s="37"/>
      <c r="C967" s="37"/>
      <c r="D967" s="37"/>
      <c r="E967" s="37"/>
      <c r="F967" s="37"/>
      <c r="G967" s="37"/>
      <c r="H967" s="37"/>
      <c r="I967" s="37"/>
      <c r="J967" s="37"/>
      <c r="K967" s="37"/>
      <c r="L967" s="37"/>
      <c r="M967" s="37"/>
      <c r="N967" s="37"/>
      <c r="O967" s="37"/>
      <c r="P967" s="37"/>
    </row>
    <row r="968" spans="1:16" ht="15.75" customHeight="1">
      <c r="A968" s="36"/>
      <c r="B968" s="36"/>
      <c r="C968" s="36"/>
      <c r="D968" s="36"/>
      <c r="E968" s="36"/>
      <c r="F968" s="36"/>
      <c r="G968" s="36"/>
      <c r="H968" s="36"/>
      <c r="I968" s="36"/>
      <c r="J968" s="36"/>
      <c r="K968" s="36"/>
      <c r="L968" s="36"/>
      <c r="M968" s="36"/>
      <c r="N968" s="36"/>
      <c r="O968" s="36"/>
      <c r="P968" s="36"/>
    </row>
    <row r="969" spans="1:16" ht="15.75" customHeight="1">
      <c r="A969" s="37"/>
      <c r="B969" s="37"/>
      <c r="C969" s="37"/>
      <c r="D969" s="37"/>
      <c r="E969" s="37"/>
      <c r="F969" s="37"/>
      <c r="G969" s="37"/>
      <c r="H969" s="37"/>
      <c r="I969" s="37"/>
      <c r="J969" s="37"/>
      <c r="K969" s="37"/>
      <c r="L969" s="37"/>
      <c r="M969" s="37"/>
      <c r="N969" s="37"/>
      <c r="O969" s="37"/>
      <c r="P969" s="37"/>
    </row>
    <row r="970" spans="1:16" ht="15.75" customHeight="1">
      <c r="A970" s="36"/>
      <c r="B970" s="36"/>
      <c r="C970" s="36"/>
      <c r="D970" s="36"/>
      <c r="E970" s="36"/>
      <c r="F970" s="36"/>
      <c r="G970" s="36"/>
      <c r="H970" s="36"/>
      <c r="I970" s="36"/>
      <c r="J970" s="36"/>
      <c r="K970" s="36"/>
      <c r="L970" s="36"/>
      <c r="M970" s="36"/>
      <c r="N970" s="36"/>
      <c r="O970" s="36"/>
      <c r="P970" s="36"/>
    </row>
    <row r="971" spans="1:16" ht="15.75" customHeight="1">
      <c r="A971" s="37"/>
      <c r="B971" s="37"/>
      <c r="C971" s="37"/>
      <c r="D971" s="37"/>
      <c r="E971" s="37"/>
      <c r="F971" s="37"/>
      <c r="G971" s="37"/>
      <c r="H971" s="37"/>
      <c r="I971" s="37"/>
      <c r="J971" s="37"/>
      <c r="K971" s="37"/>
      <c r="L971" s="37"/>
      <c r="M971" s="37"/>
      <c r="N971" s="37"/>
      <c r="O971" s="37"/>
      <c r="P971" s="37"/>
    </row>
    <row r="972" spans="1:16" ht="15.75" customHeight="1">
      <c r="A972" s="36"/>
      <c r="B972" s="36"/>
      <c r="C972" s="36"/>
      <c r="D972" s="36"/>
      <c r="E972" s="36"/>
      <c r="F972" s="36"/>
      <c r="G972" s="36"/>
      <c r="H972" s="36"/>
      <c r="I972" s="36"/>
      <c r="J972" s="36"/>
      <c r="K972" s="36"/>
      <c r="L972" s="36"/>
      <c r="M972" s="36"/>
      <c r="N972" s="36"/>
      <c r="O972" s="36"/>
      <c r="P972" s="36"/>
    </row>
    <row r="973" spans="1:16" ht="15.75" customHeight="1">
      <c r="A973" s="37"/>
      <c r="B973" s="37"/>
      <c r="C973" s="37"/>
      <c r="D973" s="37"/>
      <c r="E973" s="37"/>
      <c r="F973" s="37"/>
      <c r="G973" s="37"/>
      <c r="H973" s="37"/>
      <c r="I973" s="37"/>
      <c r="J973" s="37"/>
      <c r="K973" s="37"/>
      <c r="L973" s="37"/>
      <c r="M973" s="37"/>
      <c r="N973" s="37"/>
      <c r="O973" s="37"/>
      <c r="P973" s="37"/>
    </row>
    <row r="974" spans="1:16" ht="15.75" customHeight="1">
      <c r="A974" s="36"/>
      <c r="B974" s="36"/>
      <c r="C974" s="36"/>
      <c r="D974" s="36"/>
      <c r="E974" s="36"/>
      <c r="F974" s="36"/>
      <c r="G974" s="36"/>
      <c r="H974" s="36"/>
      <c r="I974" s="36"/>
      <c r="J974" s="36"/>
      <c r="K974" s="36"/>
      <c r="L974" s="36"/>
      <c r="M974" s="36"/>
      <c r="N974" s="36"/>
      <c r="O974" s="36"/>
      <c r="P974" s="36"/>
    </row>
    <row r="975" spans="1:16" ht="15.75" customHeight="1">
      <c r="A975" s="37"/>
      <c r="B975" s="37"/>
      <c r="C975" s="37"/>
      <c r="D975" s="37"/>
      <c r="E975" s="37"/>
      <c r="F975" s="37"/>
      <c r="G975" s="37"/>
      <c r="H975" s="37"/>
      <c r="I975" s="37"/>
      <c r="J975" s="37"/>
      <c r="K975" s="37"/>
      <c r="L975" s="37"/>
      <c r="M975" s="37"/>
      <c r="N975" s="37"/>
      <c r="O975" s="37"/>
      <c r="P975" s="37"/>
    </row>
    <row r="976" spans="1:16" ht="15.75" customHeight="1">
      <c r="A976" s="36"/>
      <c r="B976" s="36"/>
      <c r="C976" s="36"/>
      <c r="D976" s="36"/>
      <c r="E976" s="36"/>
      <c r="F976" s="36"/>
      <c r="G976" s="36"/>
      <c r="H976" s="36"/>
      <c r="I976" s="36"/>
      <c r="J976" s="36"/>
      <c r="K976" s="36"/>
      <c r="L976" s="36"/>
      <c r="M976" s="36"/>
      <c r="N976" s="36"/>
      <c r="O976" s="36"/>
      <c r="P976" s="36"/>
    </row>
    <row r="977" spans="1:16" ht="15.75" customHeight="1">
      <c r="A977" s="37"/>
      <c r="B977" s="37"/>
      <c r="C977" s="37"/>
      <c r="D977" s="37"/>
      <c r="E977" s="37"/>
      <c r="F977" s="37"/>
      <c r="G977" s="37"/>
      <c r="H977" s="37"/>
      <c r="I977" s="37"/>
      <c r="J977" s="37"/>
      <c r="K977" s="37"/>
      <c r="L977" s="37"/>
      <c r="M977" s="37"/>
      <c r="N977" s="37"/>
      <c r="O977" s="37"/>
      <c r="P977" s="37"/>
    </row>
    <row r="978" spans="1:16" ht="15.75" customHeight="1">
      <c r="A978" s="36"/>
      <c r="B978" s="36"/>
      <c r="C978" s="36"/>
      <c r="D978" s="36"/>
      <c r="E978" s="36"/>
      <c r="F978" s="36"/>
      <c r="G978" s="36"/>
      <c r="H978" s="36"/>
      <c r="I978" s="36"/>
      <c r="J978" s="36"/>
      <c r="K978" s="36"/>
      <c r="L978" s="36"/>
      <c r="M978" s="36"/>
      <c r="N978" s="36"/>
      <c r="O978" s="36"/>
      <c r="P978" s="36"/>
    </row>
    <row r="979" spans="1:16" ht="15.75" customHeight="1">
      <c r="A979" s="37"/>
      <c r="B979" s="37"/>
      <c r="C979" s="37"/>
      <c r="D979" s="37"/>
      <c r="E979" s="37"/>
      <c r="F979" s="37"/>
      <c r="G979" s="37"/>
      <c r="H979" s="37"/>
      <c r="I979" s="37"/>
      <c r="J979" s="37"/>
      <c r="K979" s="37"/>
      <c r="L979" s="37"/>
      <c r="M979" s="37"/>
      <c r="N979" s="37"/>
      <c r="O979" s="37"/>
      <c r="P979" s="37"/>
    </row>
    <row r="980" spans="1:16" ht="15.75" customHeight="1">
      <c r="A980" s="36"/>
      <c r="B980" s="36"/>
      <c r="C980" s="36"/>
      <c r="D980" s="36"/>
      <c r="E980" s="36"/>
      <c r="F980" s="36"/>
      <c r="G980" s="36"/>
      <c r="H980" s="36"/>
      <c r="I980" s="36"/>
      <c r="J980" s="36"/>
      <c r="K980" s="36"/>
      <c r="L980" s="36"/>
      <c r="M980" s="36"/>
      <c r="N980" s="36"/>
      <c r="O980" s="36"/>
      <c r="P980" s="36"/>
    </row>
    <row r="981" spans="1:16" ht="15.75" customHeight="1">
      <c r="A981" s="37"/>
      <c r="B981" s="37"/>
      <c r="C981" s="37"/>
      <c r="D981" s="37"/>
      <c r="E981" s="37"/>
      <c r="F981" s="37"/>
      <c r="G981" s="37"/>
      <c r="H981" s="37"/>
      <c r="I981" s="37"/>
      <c r="J981" s="37"/>
      <c r="K981" s="37"/>
      <c r="L981" s="37"/>
      <c r="M981" s="37"/>
      <c r="N981" s="37"/>
      <c r="O981" s="37"/>
      <c r="P981" s="37"/>
    </row>
    <row r="982" spans="1:16" ht="15.75" customHeight="1">
      <c r="A982" s="36"/>
      <c r="B982" s="36"/>
      <c r="C982" s="36"/>
      <c r="D982" s="36"/>
      <c r="E982" s="36"/>
      <c r="F982" s="36"/>
      <c r="G982" s="36"/>
      <c r="H982" s="36"/>
      <c r="I982" s="36"/>
      <c r="J982" s="36"/>
      <c r="K982" s="36"/>
      <c r="L982" s="36"/>
      <c r="M982" s="36"/>
      <c r="N982" s="36"/>
      <c r="O982" s="36"/>
      <c r="P982" s="36"/>
    </row>
    <row r="983" spans="1:16" ht="15.75" customHeight="1">
      <c r="A983" s="37"/>
      <c r="B983" s="37"/>
      <c r="C983" s="37"/>
      <c r="D983" s="37"/>
      <c r="E983" s="37"/>
      <c r="F983" s="37"/>
      <c r="G983" s="37"/>
      <c r="H983" s="37"/>
      <c r="I983" s="37"/>
      <c r="J983" s="37"/>
      <c r="K983" s="37"/>
      <c r="L983" s="37"/>
      <c r="M983" s="37"/>
      <c r="N983" s="37"/>
      <c r="O983" s="37"/>
      <c r="P983" s="37"/>
    </row>
    <row r="984" spans="1:16" ht="15.75" customHeight="1">
      <c r="A984" s="36"/>
      <c r="B984" s="36"/>
      <c r="C984" s="36"/>
      <c r="D984" s="36"/>
      <c r="E984" s="36"/>
      <c r="F984" s="36"/>
      <c r="G984" s="36"/>
      <c r="H984" s="36"/>
      <c r="I984" s="36"/>
      <c r="J984" s="36"/>
      <c r="K984" s="36"/>
      <c r="L984" s="36"/>
      <c r="M984" s="36"/>
      <c r="N984" s="36"/>
      <c r="O984" s="36"/>
      <c r="P984" s="36"/>
    </row>
    <row r="985" spans="1:16" ht="15.75" customHeight="1">
      <c r="A985" s="37"/>
      <c r="B985" s="37"/>
      <c r="C985" s="37"/>
      <c r="D985" s="37"/>
      <c r="E985" s="37"/>
      <c r="F985" s="37"/>
      <c r="G985" s="37"/>
      <c r="H985" s="37"/>
      <c r="I985" s="37"/>
      <c r="J985" s="37"/>
      <c r="K985" s="37"/>
      <c r="L985" s="37"/>
      <c r="M985" s="37"/>
      <c r="N985" s="37"/>
      <c r="O985" s="37"/>
      <c r="P985" s="37"/>
    </row>
    <row r="986" spans="1:16" ht="15.75" customHeight="1">
      <c r="A986" s="36"/>
      <c r="B986" s="36"/>
      <c r="C986" s="36"/>
      <c r="D986" s="36"/>
      <c r="E986" s="36"/>
      <c r="F986" s="36"/>
      <c r="G986" s="36"/>
      <c r="H986" s="36"/>
      <c r="I986" s="36"/>
      <c r="J986" s="36"/>
      <c r="K986" s="36"/>
      <c r="L986" s="36"/>
      <c r="M986" s="36"/>
      <c r="N986" s="36"/>
      <c r="O986" s="36"/>
      <c r="P986" s="36"/>
    </row>
    <row r="987" spans="1:16" ht="15.75" customHeight="1">
      <c r="A987" s="37"/>
      <c r="B987" s="37"/>
      <c r="C987" s="37"/>
      <c r="D987" s="37"/>
      <c r="E987" s="37"/>
      <c r="F987" s="37"/>
      <c r="G987" s="37"/>
      <c r="H987" s="37"/>
      <c r="I987" s="37"/>
      <c r="J987" s="37"/>
      <c r="K987" s="37"/>
      <c r="L987" s="37"/>
      <c r="M987" s="37"/>
      <c r="N987" s="37"/>
      <c r="O987" s="37"/>
      <c r="P987" s="37"/>
    </row>
    <row r="988" spans="1:16" ht="15.75" customHeight="1">
      <c r="A988" s="36"/>
      <c r="B988" s="36"/>
      <c r="C988" s="36"/>
      <c r="D988" s="36"/>
      <c r="E988" s="36"/>
      <c r="F988" s="36"/>
      <c r="G988" s="36"/>
      <c r="H988" s="36"/>
      <c r="I988" s="36"/>
      <c r="J988" s="36"/>
      <c r="K988" s="36"/>
      <c r="L988" s="36"/>
      <c r="M988" s="36"/>
      <c r="N988" s="36"/>
      <c r="O988" s="36"/>
      <c r="P988" s="36"/>
    </row>
    <row r="989" spans="1:16" ht="15.75" customHeight="1">
      <c r="A989" s="37"/>
      <c r="B989" s="37"/>
      <c r="C989" s="37"/>
      <c r="D989" s="37"/>
      <c r="E989" s="37"/>
      <c r="F989" s="37"/>
      <c r="G989" s="37"/>
      <c r="H989" s="37"/>
      <c r="I989" s="37"/>
      <c r="J989" s="37"/>
      <c r="K989" s="37"/>
      <c r="L989" s="37"/>
      <c r="M989" s="37"/>
      <c r="N989" s="37"/>
      <c r="O989" s="37"/>
      <c r="P989" s="37"/>
    </row>
    <row r="990" spans="1:16" ht="15.75" customHeight="1">
      <c r="A990" s="36"/>
      <c r="B990" s="36"/>
      <c r="C990" s="36"/>
      <c r="D990" s="36"/>
      <c r="E990" s="36"/>
      <c r="F990" s="36"/>
      <c r="G990" s="36"/>
      <c r="H990" s="36"/>
      <c r="I990" s="36"/>
      <c r="J990" s="36"/>
      <c r="K990" s="36"/>
      <c r="L990" s="36"/>
      <c r="M990" s="36"/>
      <c r="N990" s="36"/>
      <c r="O990" s="36"/>
      <c r="P990" s="36"/>
    </row>
    <row r="991" spans="1:16" ht="15.75" customHeight="1">
      <c r="A991" s="37"/>
      <c r="B991" s="37"/>
      <c r="C991" s="37"/>
      <c r="D991" s="37"/>
      <c r="E991" s="37"/>
      <c r="F991" s="37"/>
      <c r="G991" s="37"/>
      <c r="H991" s="37"/>
      <c r="I991" s="37"/>
      <c r="J991" s="37"/>
      <c r="K991" s="37"/>
      <c r="L991" s="37"/>
      <c r="M991" s="37"/>
      <c r="N991" s="37"/>
      <c r="O991" s="37"/>
      <c r="P991" s="37"/>
    </row>
    <row r="992" spans="1:16" ht="15.75" customHeight="1">
      <c r="A992" s="36"/>
      <c r="B992" s="36"/>
      <c r="C992" s="36"/>
      <c r="D992" s="36"/>
      <c r="E992" s="36"/>
      <c r="F992" s="36"/>
      <c r="G992" s="36"/>
      <c r="H992" s="36"/>
      <c r="I992" s="36"/>
      <c r="J992" s="36"/>
      <c r="K992" s="36"/>
      <c r="L992" s="36"/>
      <c r="M992" s="36"/>
      <c r="N992" s="36"/>
      <c r="O992" s="36"/>
      <c r="P992" s="36"/>
    </row>
    <row r="993" spans="1:16" ht="15.75" customHeight="1">
      <c r="A993" s="37"/>
      <c r="B993" s="37"/>
      <c r="C993" s="37"/>
      <c r="D993" s="37"/>
      <c r="E993" s="37"/>
      <c r="F993" s="37"/>
      <c r="G993" s="37"/>
      <c r="H993" s="37"/>
      <c r="I993" s="37"/>
      <c r="J993" s="37"/>
      <c r="K993" s="37"/>
      <c r="L993" s="37"/>
      <c r="M993" s="37"/>
      <c r="N993" s="37"/>
      <c r="O993" s="37"/>
      <c r="P993" s="37"/>
    </row>
    <row r="994" spans="1:16" ht="15.75" customHeight="1">
      <c r="A994" s="36"/>
      <c r="B994" s="36"/>
      <c r="C994" s="36"/>
      <c r="D994" s="36"/>
      <c r="E994" s="36"/>
      <c r="F994" s="36"/>
      <c r="G994" s="36"/>
      <c r="H994" s="36"/>
      <c r="I994" s="36"/>
      <c r="J994" s="36"/>
      <c r="K994" s="36"/>
      <c r="L994" s="36"/>
      <c r="M994" s="36"/>
      <c r="N994" s="36"/>
      <c r="O994" s="36"/>
      <c r="P994" s="36"/>
    </row>
    <row r="995" spans="1:16" ht="15.75" customHeight="1">
      <c r="A995" s="37"/>
      <c r="B995" s="37"/>
      <c r="C995" s="37"/>
      <c r="D995" s="37"/>
      <c r="E995" s="37"/>
      <c r="F995" s="37"/>
      <c r="G995" s="37"/>
      <c r="H995" s="37"/>
      <c r="I995" s="37"/>
      <c r="J995" s="37"/>
      <c r="K995" s="37"/>
      <c r="L995" s="37"/>
      <c r="M995" s="37"/>
      <c r="N995" s="37"/>
      <c r="O995" s="37"/>
      <c r="P995" s="37"/>
    </row>
    <row r="996" spans="1:16" ht="15.75" customHeight="1">
      <c r="A996" s="36"/>
      <c r="B996" s="36"/>
      <c r="C996" s="36"/>
      <c r="D996" s="36"/>
      <c r="E996" s="36"/>
      <c r="F996" s="36"/>
      <c r="G996" s="36"/>
      <c r="H996" s="36"/>
      <c r="I996" s="36"/>
      <c r="J996" s="36"/>
      <c r="K996" s="36"/>
      <c r="L996" s="36"/>
      <c r="M996" s="36"/>
      <c r="N996" s="36"/>
      <c r="O996" s="36"/>
      <c r="P996" s="36"/>
    </row>
    <row r="997" spans="1:16" ht="15.75" customHeight="1">
      <c r="A997" s="37"/>
      <c r="B997" s="37"/>
      <c r="C997" s="37"/>
      <c r="D997" s="37"/>
      <c r="E997" s="37"/>
      <c r="F997" s="37"/>
      <c r="G997" s="37"/>
      <c r="H997" s="37"/>
      <c r="I997" s="37"/>
      <c r="J997" s="37"/>
      <c r="K997" s="37"/>
      <c r="L997" s="37"/>
      <c r="M997" s="37"/>
      <c r="N997" s="37"/>
      <c r="O997" s="37"/>
      <c r="P997" s="37"/>
    </row>
    <row r="998" spans="1:16" ht="15.75" customHeight="1">
      <c r="A998" s="36"/>
      <c r="B998" s="36"/>
      <c r="C998" s="36"/>
      <c r="D998" s="36"/>
      <c r="E998" s="36"/>
      <c r="F998" s="36"/>
      <c r="G998" s="36"/>
      <c r="H998" s="36"/>
      <c r="I998" s="36"/>
      <c r="J998" s="36"/>
      <c r="K998" s="36"/>
      <c r="L998" s="36"/>
      <c r="M998" s="36"/>
      <c r="N998" s="36"/>
      <c r="O998" s="36"/>
      <c r="P998" s="36"/>
    </row>
    <row r="999" spans="1:16" ht="15.75" customHeight="1">
      <c r="A999" s="37"/>
      <c r="B999" s="37"/>
      <c r="C999" s="37"/>
      <c r="D999" s="37"/>
      <c r="E999" s="37"/>
      <c r="F999" s="37"/>
      <c r="G999" s="37"/>
      <c r="H999" s="37"/>
      <c r="I999" s="37"/>
      <c r="J999" s="37"/>
      <c r="K999" s="37"/>
      <c r="L999" s="37"/>
      <c r="M999" s="37"/>
      <c r="N999" s="37"/>
      <c r="O999" s="37"/>
      <c r="P999" s="37"/>
    </row>
    <row r="1000" spans="1:16" ht="15.75" customHeight="1">
      <c r="A1000" s="30"/>
      <c r="B1000" s="36"/>
      <c r="C1000" s="36"/>
      <c r="D1000" s="36"/>
      <c r="E1000" s="36"/>
      <c r="F1000" s="36"/>
      <c r="G1000" s="36"/>
      <c r="H1000" s="36"/>
      <c r="I1000" s="36"/>
      <c r="J1000" s="36"/>
      <c r="K1000" s="36"/>
      <c r="L1000" s="36"/>
      <c r="M1000" s="36"/>
      <c r="N1000" s="36"/>
      <c r="O1000" s="36"/>
      <c r="P1000" s="36"/>
    </row>
  </sheetData>
  <dataValidations count="5">
    <dataValidation type="list" allowBlank="1" showErrorMessage="1" errorTitle="Controlled vocabulary" error="Use a value from the protocol's controlled vocabulary." sqref="F2:F400" xr:uid="{00000000-0002-0000-0600-000000000000}">
      <formula1>"RETRIEVED,Not retrieved"</formula1>
    </dataValidation>
    <dataValidation type="list" allowBlank="1" showErrorMessage="1" errorTitle="Controlled vocabulary" error="Use a value from the protocol's controlled vocabulary." sqref="J2:J400" xr:uid="{00000000-0002-0000-0600-000001000000}">
      <formula1>"INCLUDE,EXCLUDE"</formula1>
    </dataValidation>
    <dataValidation type="list" allowBlank="1" showErrorMessage="1" errorTitle="Controlled vocabulary" error="Use a value from the protocol's controlled vocabulary." sqref="K2:K400" xr:uid="{00000000-0002-0000-0600-000002000000}">
      <formula1>"FT-EC1,FT-EC2,FT-EC3,FT-EC4,FT-EC5,FT-EC6,FT-EC7,FT-EC8,FT-EC9,FT-EC10,FT-EC11"</formula1>
    </dataValidation>
    <dataValidation type="list" allowBlank="1" showErrorMessage="1" errorTitle="Controlled vocabulary" error="Use a value from the protocol's controlled vocabulary." sqref="N2:N400" xr:uid="{00000000-0002-0000-0600-000003000000}">
      <formula1>"YES,NO"</formula1>
    </dataValidation>
    <dataValidation type="list" allowBlank="1" showErrorMessage="1" errorTitle="Controlled vocabulary" error="Use a value from the protocol's controlled vocabulary." sqref="O2:O400" xr:uid="{00000000-0002-0000-0600-000004000000}">
      <formula1>"Pending,Validated,Disputed"</formula1>
    </dataValidation>
  </dataValidation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T1000"/>
  <sheetViews>
    <sheetView workbookViewId="0">
      <pane xSplit="2" ySplit="3" topLeftCell="C4" activePane="bottomRight" state="frozen"/>
      <selection pane="topRight"/>
      <selection pane="bottomLeft"/>
      <selection pane="bottomRight"/>
    </sheetView>
  </sheetViews>
  <sheetFormatPr baseColWidth="10" defaultColWidth="12.6640625" defaultRowHeight="15" customHeight="1"/>
  <cols>
    <col min="1" max="1" width="14" customWidth="1"/>
    <col min="2" max="2" width="38" customWidth="1"/>
    <col min="3" max="3" width="14" customWidth="1"/>
    <col min="4" max="5" width="22" customWidth="1"/>
    <col min="6" max="7" width="14" customWidth="1"/>
    <col min="8" max="9" width="30" customWidth="1"/>
    <col min="10" max="11" width="22" customWidth="1"/>
    <col min="12" max="24" width="30" customWidth="1"/>
    <col min="25" max="25" width="22" customWidth="1"/>
    <col min="26" max="29" width="14" customWidth="1"/>
    <col min="30" max="30" width="30" customWidth="1"/>
    <col min="31" max="31" width="14" customWidth="1"/>
    <col min="32" max="32" width="22" customWidth="1"/>
    <col min="33" max="38" width="14" customWidth="1"/>
    <col min="39" max="39" width="22" customWidth="1"/>
    <col min="40" max="47" width="14" customWidth="1"/>
    <col min="48" max="48" width="30" customWidth="1"/>
    <col min="49" max="49" width="22" customWidth="1"/>
    <col min="50" max="56" width="30" customWidth="1"/>
    <col min="57" max="57" width="14" customWidth="1"/>
    <col min="58" max="58" width="30" customWidth="1"/>
    <col min="59" max="63" width="14" customWidth="1"/>
    <col min="64" max="69" width="30" customWidth="1"/>
    <col min="70" max="70" width="22" customWidth="1"/>
    <col min="71" max="71" width="14" customWidth="1"/>
    <col min="72" max="72" width="30" customWidth="1"/>
  </cols>
  <sheetData>
    <row r="1" spans="1:72" ht="25.5" customHeight="1">
      <c r="A1" s="61" t="s">
        <v>7049</v>
      </c>
      <c r="B1" s="59"/>
      <c r="C1" s="59"/>
      <c r="D1" s="59"/>
      <c r="E1" s="59"/>
      <c r="F1" s="59"/>
      <c r="G1" s="59"/>
      <c r="H1" s="59"/>
      <c r="I1" s="59"/>
      <c r="J1" s="59"/>
      <c r="K1" s="59"/>
      <c r="L1" s="59"/>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row>
    <row r="2" spans="1:72" ht="33.75" customHeight="1">
      <c r="A2" s="46" t="s">
        <v>7050</v>
      </c>
      <c r="B2" s="46"/>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6"/>
      <c r="AH2" s="46"/>
      <c r="AI2" s="46"/>
      <c r="AJ2" s="46"/>
      <c r="AK2" s="46"/>
      <c r="AL2" s="46"/>
      <c r="AM2" s="46"/>
      <c r="AN2" s="46"/>
      <c r="AO2" s="46"/>
      <c r="AP2" s="46"/>
      <c r="AQ2" s="46"/>
      <c r="AR2" s="46"/>
      <c r="AS2" s="46"/>
      <c r="AT2" s="46"/>
      <c r="AU2" s="46"/>
      <c r="AV2" s="46"/>
      <c r="AW2" s="46"/>
      <c r="AX2" s="46"/>
      <c r="AY2" s="46"/>
      <c r="AZ2" s="46"/>
      <c r="BA2" s="46"/>
      <c r="BB2" s="46"/>
      <c r="BC2" s="46"/>
      <c r="BD2" s="46"/>
      <c r="BE2" s="46"/>
      <c r="BF2" s="46"/>
      <c r="BG2" s="46"/>
      <c r="BH2" s="46"/>
      <c r="BI2" s="46"/>
      <c r="BJ2" s="46"/>
      <c r="BK2" s="46"/>
      <c r="BL2" s="46"/>
      <c r="BM2" s="46"/>
      <c r="BN2" s="46"/>
      <c r="BO2" s="46"/>
      <c r="BP2" s="46"/>
      <c r="BQ2" s="46"/>
      <c r="BR2" s="46"/>
      <c r="BS2" s="46"/>
      <c r="BT2" s="46"/>
    </row>
    <row r="3" spans="1:72" ht="42" customHeight="1">
      <c r="A3" s="48" t="s">
        <v>124</v>
      </c>
      <c r="B3" s="48" t="s">
        <v>126</v>
      </c>
      <c r="C3" s="48" t="s">
        <v>128</v>
      </c>
      <c r="D3" s="48" t="s">
        <v>129</v>
      </c>
      <c r="E3" s="48" t="s">
        <v>130</v>
      </c>
      <c r="F3" s="48" t="s">
        <v>4012</v>
      </c>
      <c r="G3" s="48" t="s">
        <v>4013</v>
      </c>
      <c r="H3" s="48" t="s">
        <v>4014</v>
      </c>
      <c r="I3" s="48" t="s">
        <v>4015</v>
      </c>
      <c r="J3" s="48" t="s">
        <v>4016</v>
      </c>
      <c r="K3" s="48" t="s">
        <v>4017</v>
      </c>
      <c r="L3" s="48" t="s">
        <v>4018</v>
      </c>
      <c r="M3" s="48" t="s">
        <v>4019</v>
      </c>
      <c r="N3" s="48" t="s">
        <v>4020</v>
      </c>
      <c r="O3" s="48" t="s">
        <v>4021</v>
      </c>
      <c r="P3" s="48" t="s">
        <v>4022</v>
      </c>
      <c r="Q3" s="48" t="s">
        <v>4023</v>
      </c>
      <c r="R3" s="48" t="s">
        <v>4024</v>
      </c>
      <c r="S3" s="48" t="s">
        <v>4025</v>
      </c>
      <c r="T3" s="48" t="s">
        <v>4026</v>
      </c>
      <c r="U3" s="48" t="s">
        <v>4027</v>
      </c>
      <c r="V3" s="48" t="s">
        <v>4028</v>
      </c>
      <c r="W3" s="48" t="s">
        <v>4029</v>
      </c>
      <c r="X3" s="48" t="s">
        <v>4030</v>
      </c>
      <c r="Y3" s="48" t="s">
        <v>4031</v>
      </c>
      <c r="Z3" s="48" t="s">
        <v>4032</v>
      </c>
      <c r="AA3" s="48" t="s">
        <v>4033</v>
      </c>
      <c r="AB3" s="48" t="s">
        <v>4034</v>
      </c>
      <c r="AC3" s="48" t="s">
        <v>4035</v>
      </c>
      <c r="AD3" s="48" t="s">
        <v>4036</v>
      </c>
      <c r="AE3" s="48" t="s">
        <v>4037</v>
      </c>
      <c r="AF3" s="48" t="s">
        <v>4038</v>
      </c>
      <c r="AG3" s="48" t="s">
        <v>4039</v>
      </c>
      <c r="AH3" s="48" t="s">
        <v>4040</v>
      </c>
      <c r="AI3" s="48" t="s">
        <v>4041</v>
      </c>
      <c r="AJ3" s="48" t="s">
        <v>4042</v>
      </c>
      <c r="AK3" s="48" t="s">
        <v>4043</v>
      </c>
      <c r="AL3" s="48" t="s">
        <v>4044</v>
      </c>
      <c r="AM3" s="48" t="s">
        <v>4045</v>
      </c>
      <c r="AN3" s="48" t="s">
        <v>4046</v>
      </c>
      <c r="AO3" s="48" t="s">
        <v>4047</v>
      </c>
      <c r="AP3" s="48" t="s">
        <v>4048</v>
      </c>
      <c r="AQ3" s="48" t="s">
        <v>4049</v>
      </c>
      <c r="AR3" s="48" t="s">
        <v>4050</v>
      </c>
      <c r="AS3" s="48" t="s">
        <v>4051</v>
      </c>
      <c r="AT3" s="48" t="s">
        <v>4052</v>
      </c>
      <c r="AU3" s="48" t="s">
        <v>4053</v>
      </c>
      <c r="AV3" s="48" t="s">
        <v>4054</v>
      </c>
      <c r="AW3" s="48" t="s">
        <v>4055</v>
      </c>
      <c r="AX3" s="48" t="s">
        <v>4056</v>
      </c>
      <c r="AY3" s="48" t="s">
        <v>4057</v>
      </c>
      <c r="AZ3" s="48" t="s">
        <v>4058</v>
      </c>
      <c r="BA3" s="48" t="s">
        <v>4059</v>
      </c>
      <c r="BB3" s="48" t="s">
        <v>4060</v>
      </c>
      <c r="BC3" s="48" t="s">
        <v>4061</v>
      </c>
      <c r="BD3" s="48" t="s">
        <v>4062</v>
      </c>
      <c r="BE3" s="48" t="s">
        <v>4063</v>
      </c>
      <c r="BF3" s="48" t="s">
        <v>4064</v>
      </c>
      <c r="BG3" s="48" t="s">
        <v>4065</v>
      </c>
      <c r="BH3" s="48" t="s">
        <v>4066</v>
      </c>
      <c r="BI3" s="48" t="s">
        <v>4067</v>
      </c>
      <c r="BJ3" s="48" t="s">
        <v>4068</v>
      </c>
      <c r="BK3" s="48" t="s">
        <v>4069</v>
      </c>
      <c r="BL3" s="48" t="s">
        <v>4070</v>
      </c>
      <c r="BM3" s="48" t="s">
        <v>4071</v>
      </c>
      <c r="BN3" s="48" t="s">
        <v>4072</v>
      </c>
      <c r="BO3" s="48" t="s">
        <v>4073</v>
      </c>
      <c r="BP3" s="48" t="s">
        <v>4074</v>
      </c>
      <c r="BQ3" s="48" t="s">
        <v>4075</v>
      </c>
      <c r="BR3" s="48" t="s">
        <v>2932</v>
      </c>
      <c r="BS3" s="48" t="s">
        <v>2936</v>
      </c>
      <c r="BT3" s="48" t="s">
        <v>2937</v>
      </c>
    </row>
    <row r="4" spans="1:72" ht="45" customHeight="1">
      <c r="A4" s="49" t="s">
        <v>141</v>
      </c>
      <c r="B4" s="49" t="s">
        <v>142</v>
      </c>
      <c r="C4" s="49">
        <v>2026</v>
      </c>
      <c r="D4" s="49" t="s">
        <v>144</v>
      </c>
      <c r="E4" s="49" t="s">
        <v>145</v>
      </c>
      <c r="F4" s="49" t="s">
        <v>4076</v>
      </c>
      <c r="G4" s="49" t="s">
        <v>4077</v>
      </c>
      <c r="H4" s="49" t="s">
        <v>4078</v>
      </c>
      <c r="I4" s="49" t="s">
        <v>4079</v>
      </c>
      <c r="J4" s="49" t="s">
        <v>4080</v>
      </c>
      <c r="K4" s="49" t="s">
        <v>4081</v>
      </c>
      <c r="L4" s="49" t="s">
        <v>4082</v>
      </c>
      <c r="M4" s="49" t="s">
        <v>3813</v>
      </c>
      <c r="N4" s="49" t="s">
        <v>4083</v>
      </c>
      <c r="O4" s="49" t="s">
        <v>3813</v>
      </c>
      <c r="P4" s="49" t="s">
        <v>4084</v>
      </c>
      <c r="Q4" s="49" t="s">
        <v>4085</v>
      </c>
      <c r="R4" s="49" t="s">
        <v>4086</v>
      </c>
      <c r="S4" s="49" t="s">
        <v>4087</v>
      </c>
      <c r="T4" s="49" t="s">
        <v>4088</v>
      </c>
      <c r="U4" s="49" t="s">
        <v>4089</v>
      </c>
      <c r="V4" s="49" t="s">
        <v>4090</v>
      </c>
      <c r="W4" s="49" t="s">
        <v>4091</v>
      </c>
      <c r="X4" s="49" t="s">
        <v>4092</v>
      </c>
      <c r="Y4" s="49" t="s">
        <v>4093</v>
      </c>
      <c r="Z4" s="49" t="s">
        <v>3813</v>
      </c>
      <c r="AA4" s="49" t="s">
        <v>3768</v>
      </c>
      <c r="AB4" s="49" t="s">
        <v>3813</v>
      </c>
      <c r="AC4" s="49" t="s">
        <v>3768</v>
      </c>
      <c r="AD4" s="49" t="s">
        <v>4094</v>
      </c>
      <c r="AE4" s="49" t="s">
        <v>3813</v>
      </c>
      <c r="AF4" s="49" t="s">
        <v>4095</v>
      </c>
      <c r="AG4" s="49" t="s">
        <v>3768</v>
      </c>
      <c r="AH4" s="49" t="s">
        <v>3813</v>
      </c>
      <c r="AI4" s="49" t="s">
        <v>3813</v>
      </c>
      <c r="AJ4" s="49" t="s">
        <v>3813</v>
      </c>
      <c r="AK4" s="49" t="s">
        <v>3813</v>
      </c>
      <c r="AL4" s="49" t="s">
        <v>3813</v>
      </c>
      <c r="AM4" s="49" t="s">
        <v>4096</v>
      </c>
      <c r="AN4" s="49" t="s">
        <v>3813</v>
      </c>
      <c r="AO4" s="49" t="s">
        <v>3813</v>
      </c>
      <c r="AP4" s="49" t="s">
        <v>3813</v>
      </c>
      <c r="AQ4" s="49" t="s">
        <v>3813</v>
      </c>
      <c r="AR4" s="49" t="s">
        <v>3813</v>
      </c>
      <c r="AS4" s="49" t="s">
        <v>3813</v>
      </c>
      <c r="AT4" s="49" t="s">
        <v>3813</v>
      </c>
      <c r="AU4" s="49" t="s">
        <v>3813</v>
      </c>
      <c r="AV4" s="49" t="s">
        <v>4097</v>
      </c>
      <c r="AW4" s="49" t="s">
        <v>4098</v>
      </c>
      <c r="AX4" s="49" t="s">
        <v>4099</v>
      </c>
      <c r="AY4" s="49" t="s">
        <v>4100</v>
      </c>
      <c r="AZ4" s="49" t="s">
        <v>4101</v>
      </c>
      <c r="BA4" s="49" t="s">
        <v>4102</v>
      </c>
      <c r="BB4" s="49" t="s">
        <v>4103</v>
      </c>
      <c r="BC4" s="49" t="s">
        <v>4104</v>
      </c>
      <c r="BD4" s="49" t="s">
        <v>4105</v>
      </c>
      <c r="BE4" s="49" t="s">
        <v>3768</v>
      </c>
      <c r="BF4" s="49" t="s">
        <v>3813</v>
      </c>
      <c r="BG4" s="49" t="s">
        <v>3768</v>
      </c>
      <c r="BH4" s="49" t="s">
        <v>3768</v>
      </c>
      <c r="BI4" s="49" t="s">
        <v>3768</v>
      </c>
      <c r="BJ4" s="49" t="s">
        <v>3768</v>
      </c>
      <c r="BK4" s="49" t="s">
        <v>4106</v>
      </c>
      <c r="BL4" s="49" t="s">
        <v>4107</v>
      </c>
      <c r="BM4" s="49" t="s">
        <v>4108</v>
      </c>
      <c r="BN4" s="49" t="s">
        <v>4109</v>
      </c>
      <c r="BO4" s="49" t="s">
        <v>4110</v>
      </c>
      <c r="BP4" s="49" t="s">
        <v>4111</v>
      </c>
      <c r="BQ4" s="49" t="s">
        <v>4112</v>
      </c>
      <c r="BR4" s="49" t="s">
        <v>4113</v>
      </c>
      <c r="BS4" s="49" t="s">
        <v>4114</v>
      </c>
      <c r="BT4" s="49" t="s">
        <v>4115</v>
      </c>
    </row>
    <row r="5" spans="1:72" ht="45" customHeight="1">
      <c r="A5" s="49" t="s">
        <v>150</v>
      </c>
      <c r="B5" s="49" t="s">
        <v>151</v>
      </c>
      <c r="C5" s="49">
        <v>2026</v>
      </c>
      <c r="D5" s="49" t="s">
        <v>153</v>
      </c>
      <c r="E5" s="49" t="s">
        <v>154</v>
      </c>
      <c r="F5" s="49" t="s">
        <v>4076</v>
      </c>
      <c r="G5" s="49" t="s">
        <v>4077</v>
      </c>
      <c r="H5" s="49" t="s">
        <v>6328</v>
      </c>
      <c r="I5" s="49" t="s">
        <v>6329</v>
      </c>
      <c r="J5" s="49" t="s">
        <v>6330</v>
      </c>
      <c r="K5" s="49" t="s">
        <v>6331</v>
      </c>
      <c r="L5" s="49" t="s">
        <v>6332</v>
      </c>
      <c r="M5" s="49" t="s">
        <v>3813</v>
      </c>
      <c r="N5" s="49" t="s">
        <v>3813</v>
      </c>
      <c r="O5" s="49" t="s">
        <v>3813</v>
      </c>
      <c r="P5" s="49" t="s">
        <v>6333</v>
      </c>
      <c r="Q5" s="49" t="s">
        <v>6334</v>
      </c>
      <c r="R5" s="49" t="s">
        <v>6335</v>
      </c>
      <c r="S5" s="49" t="s">
        <v>83</v>
      </c>
      <c r="T5" s="49" t="s">
        <v>6336</v>
      </c>
      <c r="U5" s="49" t="s">
        <v>6337</v>
      </c>
      <c r="V5" s="49" t="s">
        <v>6338</v>
      </c>
      <c r="W5" s="49" t="s">
        <v>6339</v>
      </c>
      <c r="X5" s="49" t="s">
        <v>6340</v>
      </c>
      <c r="Y5" s="49" t="s">
        <v>4194</v>
      </c>
      <c r="Z5" s="49" t="s">
        <v>3768</v>
      </c>
      <c r="AA5" s="49" t="s">
        <v>3768</v>
      </c>
      <c r="AB5" s="49" t="s">
        <v>3768</v>
      </c>
      <c r="AC5" s="49" t="s">
        <v>3768</v>
      </c>
      <c r="AD5" s="49" t="s">
        <v>6341</v>
      </c>
      <c r="AE5" s="49" t="s">
        <v>3813</v>
      </c>
      <c r="AF5" s="49" t="s">
        <v>4196</v>
      </c>
      <c r="AG5" s="49" t="s">
        <v>3768</v>
      </c>
      <c r="AH5" s="49" t="s">
        <v>3768</v>
      </c>
      <c r="AI5" s="49" t="s">
        <v>3768</v>
      </c>
      <c r="AJ5" s="49" t="s">
        <v>3768</v>
      </c>
      <c r="AK5" s="49" t="s">
        <v>3813</v>
      </c>
      <c r="AL5" s="49" t="s">
        <v>3813</v>
      </c>
      <c r="AM5" s="49" t="s">
        <v>4096</v>
      </c>
      <c r="AN5" s="49" t="s">
        <v>3813</v>
      </c>
      <c r="AO5" s="49" t="s">
        <v>3768</v>
      </c>
      <c r="AP5" s="49" t="s">
        <v>3768</v>
      </c>
      <c r="AQ5" s="49" t="s">
        <v>3768</v>
      </c>
      <c r="AR5" s="49" t="s">
        <v>3813</v>
      </c>
      <c r="AS5" s="49" t="s">
        <v>3768</v>
      </c>
      <c r="AT5" s="49" t="s">
        <v>3768</v>
      </c>
      <c r="AU5" s="49" t="s">
        <v>3813</v>
      </c>
      <c r="AV5" s="49" t="s">
        <v>6342</v>
      </c>
      <c r="AW5" s="49" t="s">
        <v>6343</v>
      </c>
      <c r="AX5" s="49" t="s">
        <v>6344</v>
      </c>
      <c r="AY5" s="49" t="s">
        <v>6345</v>
      </c>
      <c r="AZ5" s="49" t="s">
        <v>6346</v>
      </c>
      <c r="BA5" s="49" t="s">
        <v>6347</v>
      </c>
      <c r="BB5" s="49" t="s">
        <v>6348</v>
      </c>
      <c r="BC5" s="49" t="s">
        <v>6349</v>
      </c>
      <c r="BD5" s="49" t="s">
        <v>6350</v>
      </c>
      <c r="BE5" s="49" t="s">
        <v>3768</v>
      </c>
      <c r="BF5" s="49" t="s">
        <v>6351</v>
      </c>
      <c r="BG5" s="49" t="s">
        <v>4243</v>
      </c>
      <c r="BH5" s="49" t="s">
        <v>3768</v>
      </c>
      <c r="BI5" s="49" t="s">
        <v>3768</v>
      </c>
      <c r="BJ5" s="49" t="s">
        <v>3768</v>
      </c>
      <c r="BK5" s="49" t="s">
        <v>4106</v>
      </c>
      <c r="BL5" s="49" t="s">
        <v>6352</v>
      </c>
      <c r="BM5" s="49" t="s">
        <v>6353</v>
      </c>
      <c r="BN5" s="49" t="s">
        <v>6354</v>
      </c>
      <c r="BO5" s="49" t="s">
        <v>6355</v>
      </c>
      <c r="BP5" s="49" t="s">
        <v>6356</v>
      </c>
      <c r="BQ5" s="49" t="s">
        <v>6357</v>
      </c>
      <c r="BR5" s="49" t="s">
        <v>4113</v>
      </c>
      <c r="BS5" s="49" t="s">
        <v>4114</v>
      </c>
      <c r="BT5" s="49" t="s">
        <v>7550</v>
      </c>
    </row>
    <row r="6" spans="1:72" ht="45" customHeight="1">
      <c r="A6" s="49" t="s">
        <v>158</v>
      </c>
      <c r="B6" s="49" t="s">
        <v>159</v>
      </c>
      <c r="C6" s="49">
        <v>2024</v>
      </c>
      <c r="D6" s="49" t="s">
        <v>161</v>
      </c>
      <c r="E6" s="49" t="s">
        <v>162</v>
      </c>
      <c r="F6" s="49" t="s">
        <v>4076</v>
      </c>
      <c r="G6" s="49" t="s">
        <v>4077</v>
      </c>
      <c r="H6" s="49" t="s">
        <v>4116</v>
      </c>
      <c r="I6" s="49" t="s">
        <v>4117</v>
      </c>
      <c r="J6" s="49" t="s">
        <v>4118</v>
      </c>
      <c r="K6" s="49" t="s">
        <v>4119</v>
      </c>
      <c r="L6" s="49" t="s">
        <v>4120</v>
      </c>
      <c r="M6" s="49" t="s">
        <v>3813</v>
      </c>
      <c r="N6" s="49" t="s">
        <v>3813</v>
      </c>
      <c r="O6" s="49" t="s">
        <v>3813</v>
      </c>
      <c r="P6" s="49" t="s">
        <v>3813</v>
      </c>
      <c r="Q6" s="49" t="s">
        <v>4121</v>
      </c>
      <c r="R6" s="49" t="s">
        <v>4122</v>
      </c>
      <c r="S6" s="49" t="s">
        <v>4123</v>
      </c>
      <c r="T6" s="49" t="s">
        <v>4124</v>
      </c>
      <c r="U6" s="49" t="s">
        <v>4125</v>
      </c>
      <c r="V6" s="49" t="s">
        <v>4122</v>
      </c>
      <c r="W6" s="49" t="s">
        <v>4126</v>
      </c>
      <c r="X6" s="49" t="s">
        <v>4101</v>
      </c>
      <c r="Y6" s="49" t="s">
        <v>4127</v>
      </c>
      <c r="Z6" s="49" t="s">
        <v>3768</v>
      </c>
      <c r="AA6" s="49" t="s">
        <v>3813</v>
      </c>
      <c r="AB6" s="49" t="s">
        <v>3813</v>
      </c>
      <c r="AC6" s="49" t="s">
        <v>3813</v>
      </c>
      <c r="AD6" s="49" t="s">
        <v>4128</v>
      </c>
      <c r="AE6" s="49" t="s">
        <v>3768</v>
      </c>
      <c r="AF6" s="49" t="s">
        <v>4129</v>
      </c>
      <c r="AG6" s="49" t="s">
        <v>3813</v>
      </c>
      <c r="AH6" s="49" t="s">
        <v>3813</v>
      </c>
      <c r="AI6" s="49" t="s">
        <v>3813</v>
      </c>
      <c r="AJ6" s="49" t="s">
        <v>3813</v>
      </c>
      <c r="AK6" s="49" t="s">
        <v>3813</v>
      </c>
      <c r="AL6" s="49" t="s">
        <v>3813</v>
      </c>
      <c r="AM6" s="49" t="s">
        <v>84</v>
      </c>
      <c r="AN6" s="49" t="s">
        <v>84</v>
      </c>
      <c r="AO6" s="49" t="s">
        <v>3813</v>
      </c>
      <c r="AP6" s="49" t="s">
        <v>3813</v>
      </c>
      <c r="AQ6" s="49" t="s">
        <v>3813</v>
      </c>
      <c r="AR6" s="49" t="s">
        <v>3813</v>
      </c>
      <c r="AS6" s="49" t="s">
        <v>3813</v>
      </c>
      <c r="AT6" s="49" t="s">
        <v>3813</v>
      </c>
      <c r="AU6" s="49" t="s">
        <v>3813</v>
      </c>
      <c r="AV6" s="49" t="s">
        <v>4130</v>
      </c>
      <c r="AW6" s="49" t="s">
        <v>4131</v>
      </c>
      <c r="AX6" s="49" t="s">
        <v>4132</v>
      </c>
      <c r="AY6" s="49" t="s">
        <v>4133</v>
      </c>
      <c r="AZ6" s="49" t="s">
        <v>4101</v>
      </c>
      <c r="BA6" s="49" t="s">
        <v>4134</v>
      </c>
      <c r="BB6" s="49" t="s">
        <v>4135</v>
      </c>
      <c r="BC6" s="49" t="s">
        <v>4136</v>
      </c>
      <c r="BD6" s="49" t="s">
        <v>4137</v>
      </c>
      <c r="BE6" s="49" t="s">
        <v>3813</v>
      </c>
      <c r="BF6" s="49" t="s">
        <v>3813</v>
      </c>
      <c r="BG6" s="49" t="s">
        <v>3813</v>
      </c>
      <c r="BH6" s="49" t="s">
        <v>3768</v>
      </c>
      <c r="BI6" s="49" t="s">
        <v>3768</v>
      </c>
      <c r="BJ6" s="49" t="s">
        <v>3813</v>
      </c>
      <c r="BK6" s="49" t="s">
        <v>4138</v>
      </c>
      <c r="BL6" s="49" t="s">
        <v>4139</v>
      </c>
      <c r="BM6" s="49" t="s">
        <v>4140</v>
      </c>
      <c r="BN6" s="49" t="s">
        <v>4141</v>
      </c>
      <c r="BO6" s="49" t="s">
        <v>4142</v>
      </c>
      <c r="BP6" s="49" t="s">
        <v>4143</v>
      </c>
      <c r="BQ6" s="49" t="s">
        <v>4144</v>
      </c>
      <c r="BR6" s="49" t="s">
        <v>4113</v>
      </c>
      <c r="BS6" s="49" t="s">
        <v>4114</v>
      </c>
      <c r="BT6" s="49" t="s">
        <v>4145</v>
      </c>
    </row>
    <row r="7" spans="1:72" ht="45" customHeight="1">
      <c r="A7" s="49" t="s">
        <v>165</v>
      </c>
      <c r="B7" s="49" t="s">
        <v>166</v>
      </c>
      <c r="C7" s="49">
        <v>2026</v>
      </c>
      <c r="D7" s="49" t="s">
        <v>168</v>
      </c>
      <c r="E7" s="49" t="s">
        <v>169</v>
      </c>
      <c r="F7" s="49" t="s">
        <v>4076</v>
      </c>
      <c r="G7" s="49" t="s">
        <v>4077</v>
      </c>
      <c r="H7" s="49" t="s">
        <v>6358</v>
      </c>
      <c r="I7" s="49" t="s">
        <v>6359</v>
      </c>
      <c r="J7" s="49" t="s">
        <v>6360</v>
      </c>
      <c r="K7" s="49" t="s">
        <v>6361</v>
      </c>
      <c r="L7" s="49" t="s">
        <v>6362</v>
      </c>
      <c r="M7" s="49" t="s">
        <v>6363</v>
      </c>
      <c r="N7" s="49" t="s">
        <v>6364</v>
      </c>
      <c r="O7" s="49" t="s">
        <v>3813</v>
      </c>
      <c r="P7" s="49" t="s">
        <v>6365</v>
      </c>
      <c r="Q7" s="49" t="s">
        <v>6366</v>
      </c>
      <c r="R7" s="49" t="s">
        <v>6367</v>
      </c>
      <c r="S7" s="49" t="s">
        <v>6368</v>
      </c>
      <c r="T7" s="49" t="s">
        <v>6369</v>
      </c>
      <c r="U7" s="49" t="s">
        <v>6370</v>
      </c>
      <c r="V7" s="49" t="s">
        <v>6371</v>
      </c>
      <c r="W7" s="49" t="s">
        <v>6372</v>
      </c>
      <c r="X7" s="49" t="s">
        <v>6373</v>
      </c>
      <c r="Y7" s="49" t="s">
        <v>4160</v>
      </c>
      <c r="Z7" s="49" t="s">
        <v>3768</v>
      </c>
      <c r="AA7" s="49" t="s">
        <v>3768</v>
      </c>
      <c r="AB7" s="49" t="s">
        <v>3813</v>
      </c>
      <c r="AC7" s="49" t="s">
        <v>3813</v>
      </c>
      <c r="AD7" s="49" t="s">
        <v>6374</v>
      </c>
      <c r="AE7" s="49" t="s">
        <v>3813</v>
      </c>
      <c r="AF7" s="49" t="s">
        <v>4095</v>
      </c>
      <c r="AG7" s="49" t="s">
        <v>3768</v>
      </c>
      <c r="AH7" s="49" t="s">
        <v>3768</v>
      </c>
      <c r="AI7" s="49" t="s">
        <v>3813</v>
      </c>
      <c r="AJ7" s="49" t="s">
        <v>3813</v>
      </c>
      <c r="AK7" s="49" t="s">
        <v>3813</v>
      </c>
      <c r="AL7" s="49" t="s">
        <v>3813</v>
      </c>
      <c r="AM7" s="49" t="s">
        <v>4096</v>
      </c>
      <c r="AN7" s="49" t="s">
        <v>3813</v>
      </c>
      <c r="AO7" s="49" t="s">
        <v>3768</v>
      </c>
      <c r="AP7" s="49" t="s">
        <v>3768</v>
      </c>
      <c r="AQ7" s="49" t="s">
        <v>3768</v>
      </c>
      <c r="AR7" s="49" t="s">
        <v>3813</v>
      </c>
      <c r="AS7" s="49" t="s">
        <v>3768</v>
      </c>
      <c r="AT7" s="49" t="s">
        <v>3813</v>
      </c>
      <c r="AU7" s="49" t="s">
        <v>3813</v>
      </c>
      <c r="AV7" s="49" t="s">
        <v>6375</v>
      </c>
      <c r="AW7" s="49" t="s">
        <v>6376</v>
      </c>
      <c r="AX7" s="49" t="s">
        <v>6377</v>
      </c>
      <c r="AY7" s="49" t="s">
        <v>6378</v>
      </c>
      <c r="AZ7" s="49" t="s">
        <v>6379</v>
      </c>
      <c r="BA7" s="49" t="s">
        <v>6380</v>
      </c>
      <c r="BB7" s="49" t="s">
        <v>6381</v>
      </c>
      <c r="BC7" s="49" t="s">
        <v>6382</v>
      </c>
      <c r="BD7" s="49" t="s">
        <v>6383</v>
      </c>
      <c r="BE7" s="49" t="s">
        <v>3768</v>
      </c>
      <c r="BF7" s="49" t="s">
        <v>3813</v>
      </c>
      <c r="BG7" s="49" t="s">
        <v>3813</v>
      </c>
      <c r="BH7" s="49" t="s">
        <v>3768</v>
      </c>
      <c r="BI7" s="49" t="s">
        <v>3768</v>
      </c>
      <c r="BJ7" s="49" t="s">
        <v>3813</v>
      </c>
      <c r="BK7" s="49" t="s">
        <v>4171</v>
      </c>
      <c r="BL7" s="49" t="s">
        <v>6384</v>
      </c>
      <c r="BM7" s="49" t="s">
        <v>6385</v>
      </c>
      <c r="BN7" s="49" t="s">
        <v>6386</v>
      </c>
      <c r="BO7" s="49" t="s">
        <v>6387</v>
      </c>
      <c r="BP7" s="49" t="s">
        <v>6388</v>
      </c>
      <c r="BQ7" s="49" t="s">
        <v>6389</v>
      </c>
      <c r="BR7" s="49" t="s">
        <v>4113</v>
      </c>
      <c r="BS7" s="49" t="s">
        <v>4114</v>
      </c>
      <c r="BT7" s="49" t="s">
        <v>7551</v>
      </c>
    </row>
    <row r="8" spans="1:72" ht="45" customHeight="1">
      <c r="A8" s="49" t="s">
        <v>172</v>
      </c>
      <c r="B8" s="49" t="s">
        <v>173</v>
      </c>
      <c r="C8" s="49">
        <v>2026</v>
      </c>
      <c r="D8" s="49" t="s">
        <v>175</v>
      </c>
      <c r="E8" s="49" t="s">
        <v>176</v>
      </c>
      <c r="F8" s="49" t="s">
        <v>4076</v>
      </c>
      <c r="G8" s="49" t="s">
        <v>4077</v>
      </c>
      <c r="H8" s="49" t="s">
        <v>4146</v>
      </c>
      <c r="I8" s="49" t="s">
        <v>4147</v>
      </c>
      <c r="J8" s="49" t="s">
        <v>4148</v>
      </c>
      <c r="K8" s="49" t="s">
        <v>4081</v>
      </c>
      <c r="L8" s="49" t="s">
        <v>4149</v>
      </c>
      <c r="M8" s="49" t="s">
        <v>3813</v>
      </c>
      <c r="N8" s="49" t="s">
        <v>4150</v>
      </c>
      <c r="O8" s="49" t="s">
        <v>3813</v>
      </c>
      <c r="P8" s="49" t="s">
        <v>4151</v>
      </c>
      <c r="Q8" s="49" t="s">
        <v>4152</v>
      </c>
      <c r="R8" s="49" t="s">
        <v>4153</v>
      </c>
      <c r="S8" s="49" t="s">
        <v>4154</v>
      </c>
      <c r="T8" s="49" t="s">
        <v>4155</v>
      </c>
      <c r="U8" s="49" t="s">
        <v>4156</v>
      </c>
      <c r="V8" s="49" t="s">
        <v>4157</v>
      </c>
      <c r="W8" s="49" t="s">
        <v>4158</v>
      </c>
      <c r="X8" s="49" t="s">
        <v>4159</v>
      </c>
      <c r="Y8" s="49" t="s">
        <v>4160</v>
      </c>
      <c r="Z8" s="49" t="s">
        <v>3768</v>
      </c>
      <c r="AA8" s="49" t="s">
        <v>3768</v>
      </c>
      <c r="AB8" s="49" t="s">
        <v>3813</v>
      </c>
      <c r="AC8" s="49" t="s">
        <v>3768</v>
      </c>
      <c r="AD8" s="49" t="s">
        <v>4161</v>
      </c>
      <c r="AE8" s="49" t="s">
        <v>3813</v>
      </c>
      <c r="AF8" s="49" t="s">
        <v>4095</v>
      </c>
      <c r="AG8" s="49" t="s">
        <v>3768</v>
      </c>
      <c r="AH8" s="49" t="s">
        <v>3768</v>
      </c>
      <c r="AI8" s="49" t="s">
        <v>3813</v>
      </c>
      <c r="AJ8" s="49" t="s">
        <v>3813</v>
      </c>
      <c r="AK8" s="49" t="s">
        <v>3813</v>
      </c>
      <c r="AL8" s="49" t="s">
        <v>3813</v>
      </c>
      <c r="AM8" s="49" t="s">
        <v>4162</v>
      </c>
      <c r="AN8" s="49" t="s">
        <v>3813</v>
      </c>
      <c r="AO8" s="49" t="s">
        <v>3813</v>
      </c>
      <c r="AP8" s="49" t="s">
        <v>3813</v>
      </c>
      <c r="AQ8" s="49" t="s">
        <v>3813</v>
      </c>
      <c r="AR8" s="49" t="s">
        <v>3813</v>
      </c>
      <c r="AS8" s="49" t="s">
        <v>3813</v>
      </c>
      <c r="AT8" s="49" t="s">
        <v>3813</v>
      </c>
      <c r="AU8" s="49" t="s">
        <v>3813</v>
      </c>
      <c r="AV8" s="49" t="s">
        <v>4163</v>
      </c>
      <c r="AW8" s="49" t="s">
        <v>4164</v>
      </c>
      <c r="AX8" s="49" t="s">
        <v>4165</v>
      </c>
      <c r="AY8" s="49" t="s">
        <v>4166</v>
      </c>
      <c r="AZ8" s="49" t="s">
        <v>4101</v>
      </c>
      <c r="BA8" s="49" t="s">
        <v>4167</v>
      </c>
      <c r="BB8" s="49" t="s">
        <v>4168</v>
      </c>
      <c r="BC8" s="49" t="s">
        <v>4169</v>
      </c>
      <c r="BD8" s="49" t="s">
        <v>4170</v>
      </c>
      <c r="BE8" s="49" t="s">
        <v>3768</v>
      </c>
      <c r="BF8" s="49" t="s">
        <v>3813</v>
      </c>
      <c r="BG8" s="49" t="s">
        <v>3813</v>
      </c>
      <c r="BH8" s="49" t="s">
        <v>3768</v>
      </c>
      <c r="BI8" s="49" t="s">
        <v>3768</v>
      </c>
      <c r="BJ8" s="49" t="s">
        <v>3768</v>
      </c>
      <c r="BK8" s="49" t="s">
        <v>4171</v>
      </c>
      <c r="BL8" s="49" t="s">
        <v>4172</v>
      </c>
      <c r="BM8" s="49" t="s">
        <v>4173</v>
      </c>
      <c r="BN8" s="49" t="s">
        <v>4174</v>
      </c>
      <c r="BO8" s="49" t="s">
        <v>4175</v>
      </c>
      <c r="BP8" s="49" t="s">
        <v>4176</v>
      </c>
      <c r="BQ8" s="49" t="s">
        <v>4177</v>
      </c>
      <c r="BR8" s="49" t="s">
        <v>4113</v>
      </c>
      <c r="BS8" s="49" t="s">
        <v>4114</v>
      </c>
      <c r="BT8" s="49" t="s">
        <v>4178</v>
      </c>
    </row>
    <row r="9" spans="1:72" ht="45" customHeight="1">
      <c r="A9" s="49" t="s">
        <v>179</v>
      </c>
      <c r="B9" s="49" t="s">
        <v>180</v>
      </c>
      <c r="C9" s="49">
        <v>2026</v>
      </c>
      <c r="D9" s="49" t="s">
        <v>182</v>
      </c>
      <c r="E9" s="49" t="s">
        <v>183</v>
      </c>
      <c r="F9" s="49" t="s">
        <v>4076</v>
      </c>
      <c r="G9" s="49" t="s">
        <v>4077</v>
      </c>
      <c r="H9" s="49" t="s">
        <v>4179</v>
      </c>
      <c r="I9" s="49" t="s">
        <v>4180</v>
      </c>
      <c r="J9" s="49" t="s">
        <v>4181</v>
      </c>
      <c r="K9" s="49" t="s">
        <v>4182</v>
      </c>
      <c r="L9" s="49" t="s">
        <v>4183</v>
      </c>
      <c r="M9" s="49" t="s">
        <v>4184</v>
      </c>
      <c r="N9" s="49" t="s">
        <v>3813</v>
      </c>
      <c r="O9" s="49" t="s">
        <v>3813</v>
      </c>
      <c r="P9" s="49" t="s">
        <v>4185</v>
      </c>
      <c r="Q9" s="49" t="s">
        <v>4186</v>
      </c>
      <c r="R9" s="49" t="s">
        <v>4187</v>
      </c>
      <c r="S9" s="49" t="s">
        <v>4188</v>
      </c>
      <c r="T9" s="49" t="s">
        <v>4189</v>
      </c>
      <c r="U9" s="49" t="s">
        <v>4190</v>
      </c>
      <c r="V9" s="49" t="s">
        <v>4191</v>
      </c>
      <c r="W9" s="49" t="s">
        <v>4192</v>
      </c>
      <c r="X9" s="49" t="s">
        <v>4193</v>
      </c>
      <c r="Y9" s="49" t="s">
        <v>4194</v>
      </c>
      <c r="Z9" s="49" t="s">
        <v>3768</v>
      </c>
      <c r="AA9" s="49" t="s">
        <v>3768</v>
      </c>
      <c r="AB9" s="49" t="s">
        <v>3768</v>
      </c>
      <c r="AC9" s="49" t="s">
        <v>3768</v>
      </c>
      <c r="AD9" s="49" t="s">
        <v>4195</v>
      </c>
      <c r="AE9" s="49" t="s">
        <v>3813</v>
      </c>
      <c r="AF9" s="49" t="s">
        <v>4196</v>
      </c>
      <c r="AG9" s="49" t="s">
        <v>3768</v>
      </c>
      <c r="AH9" s="49" t="s">
        <v>3768</v>
      </c>
      <c r="AI9" s="49" t="s">
        <v>3768</v>
      </c>
      <c r="AJ9" s="49" t="s">
        <v>3768</v>
      </c>
      <c r="AK9" s="49" t="s">
        <v>3813</v>
      </c>
      <c r="AL9" s="49" t="s">
        <v>3813</v>
      </c>
      <c r="AM9" s="49" t="s">
        <v>4096</v>
      </c>
      <c r="AN9" s="49" t="s">
        <v>3813</v>
      </c>
      <c r="AO9" s="49" t="s">
        <v>3768</v>
      </c>
      <c r="AP9" s="49" t="s">
        <v>3768</v>
      </c>
      <c r="AQ9" s="49" t="s">
        <v>3768</v>
      </c>
      <c r="AR9" s="49" t="s">
        <v>3813</v>
      </c>
      <c r="AS9" s="49" t="s">
        <v>3768</v>
      </c>
      <c r="AT9" s="49" t="s">
        <v>3813</v>
      </c>
      <c r="AU9" s="49" t="s">
        <v>3813</v>
      </c>
      <c r="AV9" s="49" t="s">
        <v>4197</v>
      </c>
      <c r="AW9" s="49" t="s">
        <v>4198</v>
      </c>
      <c r="AX9" s="49" t="s">
        <v>4199</v>
      </c>
      <c r="AY9" s="49" t="s">
        <v>4200</v>
      </c>
      <c r="AZ9" s="49" t="s">
        <v>4201</v>
      </c>
      <c r="BA9" s="49" t="s">
        <v>4202</v>
      </c>
      <c r="BB9" s="49" t="s">
        <v>4203</v>
      </c>
      <c r="BC9" s="49" t="s">
        <v>4204</v>
      </c>
      <c r="BD9" s="49" t="s">
        <v>4205</v>
      </c>
      <c r="BE9" s="49" t="s">
        <v>3768</v>
      </c>
      <c r="BF9" s="49" t="s">
        <v>4206</v>
      </c>
      <c r="BG9" s="49" t="s">
        <v>3768</v>
      </c>
      <c r="BH9" s="49" t="s">
        <v>3768</v>
      </c>
      <c r="BI9" s="49" t="s">
        <v>3768</v>
      </c>
      <c r="BJ9" s="49" t="s">
        <v>3768</v>
      </c>
      <c r="BK9" s="49" t="s">
        <v>4207</v>
      </c>
      <c r="BL9" s="49" t="s">
        <v>4208</v>
      </c>
      <c r="BM9" s="49" t="s">
        <v>4209</v>
      </c>
      <c r="BN9" s="49" t="s">
        <v>4210</v>
      </c>
      <c r="BO9" s="49" t="s">
        <v>4211</v>
      </c>
      <c r="BP9" s="49" t="s">
        <v>4212</v>
      </c>
      <c r="BQ9" s="49" t="s">
        <v>4213</v>
      </c>
      <c r="BR9" s="49" t="s">
        <v>4113</v>
      </c>
      <c r="BS9" s="49" t="s">
        <v>4114</v>
      </c>
      <c r="BT9" s="49" t="s">
        <v>4214</v>
      </c>
    </row>
    <row r="10" spans="1:72" ht="45" customHeight="1">
      <c r="A10" s="49" t="s">
        <v>196</v>
      </c>
      <c r="B10" s="49" t="s">
        <v>110</v>
      </c>
      <c r="C10" s="49">
        <v>2026</v>
      </c>
      <c r="D10" s="49" t="s">
        <v>198</v>
      </c>
      <c r="E10" s="49" t="s">
        <v>199</v>
      </c>
      <c r="F10" s="49" t="s">
        <v>4076</v>
      </c>
      <c r="G10" s="49" t="s">
        <v>4077</v>
      </c>
      <c r="H10" s="49" t="s">
        <v>4215</v>
      </c>
      <c r="I10" s="49" t="s">
        <v>4216</v>
      </c>
      <c r="J10" s="49" t="s">
        <v>4217</v>
      </c>
      <c r="K10" s="49" t="s">
        <v>4218</v>
      </c>
      <c r="L10" s="49" t="s">
        <v>4219</v>
      </c>
      <c r="M10" s="49" t="s">
        <v>4220</v>
      </c>
      <c r="N10" s="49" t="s">
        <v>4221</v>
      </c>
      <c r="O10" s="49" t="s">
        <v>4222</v>
      </c>
      <c r="P10" s="49" t="s">
        <v>4223</v>
      </c>
      <c r="Q10" s="49" t="s">
        <v>4224</v>
      </c>
      <c r="R10" s="49" t="s">
        <v>4225</v>
      </c>
      <c r="S10" s="49" t="s">
        <v>4226</v>
      </c>
      <c r="T10" s="49" t="s">
        <v>4227</v>
      </c>
      <c r="U10" s="49" t="s">
        <v>4228</v>
      </c>
      <c r="V10" s="49" t="s">
        <v>4229</v>
      </c>
      <c r="W10" s="49" t="s">
        <v>4230</v>
      </c>
      <c r="X10" s="49" t="s">
        <v>4231</v>
      </c>
      <c r="Y10" s="49" t="s">
        <v>4160</v>
      </c>
      <c r="Z10" s="49" t="s">
        <v>3768</v>
      </c>
      <c r="AA10" s="49" t="s">
        <v>3768</v>
      </c>
      <c r="AB10" s="49" t="s">
        <v>3813</v>
      </c>
      <c r="AC10" s="49" t="s">
        <v>3768</v>
      </c>
      <c r="AD10" s="49" t="s">
        <v>4232</v>
      </c>
      <c r="AE10" s="49" t="s">
        <v>3813</v>
      </c>
      <c r="AF10" s="49" t="s">
        <v>4196</v>
      </c>
      <c r="AG10" s="49" t="s">
        <v>3768</v>
      </c>
      <c r="AH10" s="49" t="s">
        <v>3768</v>
      </c>
      <c r="AI10" s="49" t="s">
        <v>3768</v>
      </c>
      <c r="AJ10" s="49" t="s">
        <v>3768</v>
      </c>
      <c r="AK10" s="49" t="s">
        <v>3813</v>
      </c>
      <c r="AL10" s="49" t="s">
        <v>3813</v>
      </c>
      <c r="AM10" s="49" t="s">
        <v>4096</v>
      </c>
      <c r="AN10" s="49" t="s">
        <v>3813</v>
      </c>
      <c r="AO10" s="49" t="s">
        <v>3768</v>
      </c>
      <c r="AP10" s="49" t="s">
        <v>3768</v>
      </c>
      <c r="AQ10" s="49" t="s">
        <v>3813</v>
      </c>
      <c r="AR10" s="49" t="s">
        <v>3813</v>
      </c>
      <c r="AS10" s="49" t="s">
        <v>3768</v>
      </c>
      <c r="AT10" s="49" t="s">
        <v>3813</v>
      </c>
      <c r="AU10" s="49" t="s">
        <v>3813</v>
      </c>
      <c r="AV10" s="49" t="s">
        <v>4233</v>
      </c>
      <c r="AW10" s="49" t="s">
        <v>4234</v>
      </c>
      <c r="AX10" s="49" t="s">
        <v>4235</v>
      </c>
      <c r="AY10" s="49" t="s">
        <v>4236</v>
      </c>
      <c r="AZ10" s="49" t="s">
        <v>4237</v>
      </c>
      <c r="BA10" s="49" t="s">
        <v>4238</v>
      </c>
      <c r="BB10" s="49" t="s">
        <v>4239</v>
      </c>
      <c r="BC10" s="49" t="s">
        <v>4240</v>
      </c>
      <c r="BD10" s="49" t="s">
        <v>4241</v>
      </c>
      <c r="BE10" s="49" t="s">
        <v>3768</v>
      </c>
      <c r="BF10" s="49" t="s">
        <v>4242</v>
      </c>
      <c r="BG10" s="49" t="s">
        <v>4243</v>
      </c>
      <c r="BH10" s="49" t="s">
        <v>3768</v>
      </c>
      <c r="BI10" s="49" t="s">
        <v>3768</v>
      </c>
      <c r="BJ10" s="49" t="s">
        <v>3768</v>
      </c>
      <c r="BK10" s="49" t="s">
        <v>4207</v>
      </c>
      <c r="BL10" s="49" t="s">
        <v>4244</v>
      </c>
      <c r="BM10" s="49" t="s">
        <v>4245</v>
      </c>
      <c r="BN10" s="49" t="s">
        <v>4246</v>
      </c>
      <c r="BO10" s="49" t="s">
        <v>4247</v>
      </c>
      <c r="BP10" s="49" t="s">
        <v>4248</v>
      </c>
      <c r="BQ10" s="49" t="s">
        <v>4249</v>
      </c>
      <c r="BR10" s="49" t="s">
        <v>4113</v>
      </c>
      <c r="BS10" s="49" t="s">
        <v>4114</v>
      </c>
      <c r="BT10" s="49" t="s">
        <v>4250</v>
      </c>
    </row>
    <row r="11" spans="1:72" ht="45" customHeight="1">
      <c r="A11" s="49" t="s">
        <v>203</v>
      </c>
      <c r="B11" s="49" t="s">
        <v>204</v>
      </c>
      <c r="C11" s="49">
        <v>2026</v>
      </c>
      <c r="D11" s="49" t="s">
        <v>206</v>
      </c>
      <c r="E11" s="49" t="s">
        <v>207</v>
      </c>
      <c r="F11" s="49" t="s">
        <v>4076</v>
      </c>
      <c r="G11" s="49" t="s">
        <v>4077</v>
      </c>
      <c r="H11" s="49" t="s">
        <v>4251</v>
      </c>
      <c r="I11" s="49" t="s">
        <v>4252</v>
      </c>
      <c r="J11" s="49" t="s">
        <v>4253</v>
      </c>
      <c r="K11" s="49" t="s">
        <v>4119</v>
      </c>
      <c r="L11" s="49" t="s">
        <v>4254</v>
      </c>
      <c r="M11" s="49" t="s">
        <v>3813</v>
      </c>
      <c r="N11" s="49" t="s">
        <v>3813</v>
      </c>
      <c r="O11" s="49" t="s">
        <v>3813</v>
      </c>
      <c r="P11" s="49" t="s">
        <v>4255</v>
      </c>
      <c r="Q11" s="49" t="s">
        <v>4256</v>
      </c>
      <c r="R11" s="49" t="s">
        <v>4257</v>
      </c>
      <c r="S11" s="49" t="s">
        <v>4258</v>
      </c>
      <c r="T11" s="49" t="s">
        <v>4259</v>
      </c>
      <c r="U11" s="49" t="s">
        <v>4256</v>
      </c>
      <c r="V11" s="49" t="s">
        <v>4260</v>
      </c>
      <c r="W11" s="49" t="s">
        <v>4261</v>
      </c>
      <c r="X11" s="49" t="s">
        <v>4262</v>
      </c>
      <c r="Y11" s="49" t="s">
        <v>4093</v>
      </c>
      <c r="Z11" s="49" t="s">
        <v>4243</v>
      </c>
      <c r="AA11" s="49" t="s">
        <v>3768</v>
      </c>
      <c r="AB11" s="49" t="s">
        <v>3813</v>
      </c>
      <c r="AC11" s="49" t="s">
        <v>3768</v>
      </c>
      <c r="AD11" s="49" t="s">
        <v>4263</v>
      </c>
      <c r="AE11" s="49" t="s">
        <v>3813</v>
      </c>
      <c r="AF11" s="49" t="s">
        <v>4129</v>
      </c>
      <c r="AG11" s="49" t="s">
        <v>3813</v>
      </c>
      <c r="AH11" s="49" t="s">
        <v>3813</v>
      </c>
      <c r="AI11" s="49" t="s">
        <v>3813</v>
      </c>
      <c r="AJ11" s="49" t="s">
        <v>3813</v>
      </c>
      <c r="AK11" s="49" t="s">
        <v>3813</v>
      </c>
      <c r="AL11" s="49" t="s">
        <v>3813</v>
      </c>
      <c r="AM11" s="49" t="s">
        <v>84</v>
      </c>
      <c r="AN11" s="49" t="s">
        <v>84</v>
      </c>
      <c r="AO11" s="49" t="s">
        <v>3768</v>
      </c>
      <c r="AP11" s="49" t="s">
        <v>3813</v>
      </c>
      <c r="AQ11" s="49" t="s">
        <v>3813</v>
      </c>
      <c r="AR11" s="49" t="s">
        <v>3813</v>
      </c>
      <c r="AS11" s="49" t="s">
        <v>3813</v>
      </c>
      <c r="AT11" s="49" t="s">
        <v>3813</v>
      </c>
      <c r="AU11" s="49" t="s">
        <v>3813</v>
      </c>
      <c r="AV11" s="49" t="s">
        <v>4264</v>
      </c>
      <c r="AW11" s="49" t="s">
        <v>4265</v>
      </c>
      <c r="AX11" s="49" t="s">
        <v>4266</v>
      </c>
      <c r="AY11" s="49" t="s">
        <v>4267</v>
      </c>
      <c r="AZ11" s="49" t="s">
        <v>4268</v>
      </c>
      <c r="BA11" s="49" t="s">
        <v>4269</v>
      </c>
      <c r="BB11" s="49" t="s">
        <v>4270</v>
      </c>
      <c r="BC11" s="49" t="s">
        <v>4271</v>
      </c>
      <c r="BD11" s="49" t="s">
        <v>4272</v>
      </c>
      <c r="BE11" s="49" t="s">
        <v>3768</v>
      </c>
      <c r="BF11" s="49" t="s">
        <v>3813</v>
      </c>
      <c r="BG11" s="49" t="s">
        <v>3813</v>
      </c>
      <c r="BH11" s="49" t="s">
        <v>3768</v>
      </c>
      <c r="BI11" s="49" t="s">
        <v>3768</v>
      </c>
      <c r="BJ11" s="49" t="s">
        <v>3813</v>
      </c>
      <c r="BK11" s="49" t="s">
        <v>4138</v>
      </c>
      <c r="BL11" s="49" t="s">
        <v>4273</v>
      </c>
      <c r="BM11" s="49" t="s">
        <v>4274</v>
      </c>
      <c r="BN11" s="49" t="s">
        <v>4275</v>
      </c>
      <c r="BO11" s="49" t="s">
        <v>4276</v>
      </c>
      <c r="BP11" s="49" t="s">
        <v>4277</v>
      </c>
      <c r="BQ11" s="49" t="s">
        <v>4278</v>
      </c>
      <c r="BR11" s="49" t="s">
        <v>4113</v>
      </c>
      <c r="BS11" s="49" t="s">
        <v>4114</v>
      </c>
      <c r="BT11" s="49" t="s">
        <v>4279</v>
      </c>
    </row>
    <row r="12" spans="1:72" ht="45" customHeight="1">
      <c r="A12" s="49" t="s">
        <v>211</v>
      </c>
      <c r="B12" s="49" t="s">
        <v>212</v>
      </c>
      <c r="C12" s="49">
        <v>2024</v>
      </c>
      <c r="D12" s="49" t="s">
        <v>214</v>
      </c>
      <c r="E12" s="49" t="s">
        <v>215</v>
      </c>
      <c r="F12" s="49" t="s">
        <v>4076</v>
      </c>
      <c r="G12" s="49" t="s">
        <v>4077</v>
      </c>
      <c r="H12" s="49" t="s">
        <v>4280</v>
      </c>
      <c r="I12" s="49" t="s">
        <v>4281</v>
      </c>
      <c r="J12" s="49" t="s">
        <v>4282</v>
      </c>
      <c r="K12" s="49" t="s">
        <v>4119</v>
      </c>
      <c r="L12" s="49" t="s">
        <v>4283</v>
      </c>
      <c r="M12" s="49" t="s">
        <v>3813</v>
      </c>
      <c r="N12" s="49" t="s">
        <v>3813</v>
      </c>
      <c r="O12" s="49" t="s">
        <v>3813</v>
      </c>
      <c r="P12" s="49" t="s">
        <v>4284</v>
      </c>
      <c r="Q12" s="49" t="s">
        <v>4285</v>
      </c>
      <c r="R12" s="49" t="s">
        <v>4286</v>
      </c>
      <c r="S12" s="49" t="s">
        <v>4188</v>
      </c>
      <c r="T12" s="49" t="s">
        <v>4287</v>
      </c>
      <c r="U12" s="49" t="s">
        <v>4288</v>
      </c>
      <c r="V12" s="49" t="s">
        <v>4289</v>
      </c>
      <c r="W12" s="49" t="s">
        <v>4290</v>
      </c>
      <c r="X12" s="49" t="s">
        <v>4101</v>
      </c>
      <c r="Y12" s="49" t="s">
        <v>4194</v>
      </c>
      <c r="Z12" s="49" t="s">
        <v>3768</v>
      </c>
      <c r="AA12" s="49" t="s">
        <v>3768</v>
      </c>
      <c r="AB12" s="49" t="s">
        <v>3813</v>
      </c>
      <c r="AC12" s="49" t="s">
        <v>3768</v>
      </c>
      <c r="AD12" s="49" t="s">
        <v>4291</v>
      </c>
      <c r="AE12" s="49" t="s">
        <v>3813</v>
      </c>
      <c r="AF12" s="49" t="s">
        <v>4196</v>
      </c>
      <c r="AG12" s="49" t="s">
        <v>3768</v>
      </c>
      <c r="AH12" s="49" t="s">
        <v>3768</v>
      </c>
      <c r="AI12" s="49" t="s">
        <v>3768</v>
      </c>
      <c r="AJ12" s="49" t="s">
        <v>3813</v>
      </c>
      <c r="AK12" s="49" t="s">
        <v>3813</v>
      </c>
      <c r="AL12" s="49" t="s">
        <v>3813</v>
      </c>
      <c r="AM12" s="49" t="s">
        <v>4096</v>
      </c>
      <c r="AN12" s="49" t="s">
        <v>3813</v>
      </c>
      <c r="AO12" s="49" t="s">
        <v>3768</v>
      </c>
      <c r="AP12" s="49" t="s">
        <v>3768</v>
      </c>
      <c r="AQ12" s="49" t="s">
        <v>3768</v>
      </c>
      <c r="AR12" s="49" t="s">
        <v>3813</v>
      </c>
      <c r="AS12" s="49" t="s">
        <v>3813</v>
      </c>
      <c r="AT12" s="49" t="s">
        <v>3813</v>
      </c>
      <c r="AU12" s="49" t="s">
        <v>3813</v>
      </c>
      <c r="AV12" s="49" t="s">
        <v>4292</v>
      </c>
      <c r="AW12" s="49" t="s">
        <v>4293</v>
      </c>
      <c r="AX12" s="49" t="s">
        <v>4294</v>
      </c>
      <c r="AY12" s="49" t="s">
        <v>4295</v>
      </c>
      <c r="AZ12" s="49" t="s">
        <v>4296</v>
      </c>
      <c r="BA12" s="49" t="s">
        <v>4297</v>
      </c>
      <c r="BB12" s="49" t="s">
        <v>4298</v>
      </c>
      <c r="BC12" s="49" t="s">
        <v>4299</v>
      </c>
      <c r="BD12" s="49" t="s">
        <v>4300</v>
      </c>
      <c r="BE12" s="49" t="s">
        <v>3768</v>
      </c>
      <c r="BF12" s="49" t="s">
        <v>4301</v>
      </c>
      <c r="BG12" s="49" t="s">
        <v>3813</v>
      </c>
      <c r="BH12" s="49" t="s">
        <v>3768</v>
      </c>
      <c r="BI12" s="49" t="s">
        <v>3768</v>
      </c>
      <c r="BJ12" s="49" t="s">
        <v>3768</v>
      </c>
      <c r="BK12" s="49" t="s">
        <v>4207</v>
      </c>
      <c r="BL12" s="49" t="s">
        <v>4302</v>
      </c>
      <c r="BM12" s="49" t="s">
        <v>4303</v>
      </c>
      <c r="BN12" s="49" t="s">
        <v>4304</v>
      </c>
      <c r="BO12" s="49" t="s">
        <v>4305</v>
      </c>
      <c r="BP12" s="49" t="s">
        <v>4306</v>
      </c>
      <c r="BQ12" s="49" t="s">
        <v>4307</v>
      </c>
      <c r="BR12" s="49" t="s">
        <v>4113</v>
      </c>
      <c r="BS12" s="49" t="s">
        <v>4114</v>
      </c>
      <c r="BT12" s="49" t="s">
        <v>4308</v>
      </c>
    </row>
    <row r="13" spans="1:72" ht="45" customHeight="1">
      <c r="A13" s="49" t="s">
        <v>228</v>
      </c>
      <c r="B13" s="49" t="s">
        <v>229</v>
      </c>
      <c r="C13" s="49">
        <v>2026</v>
      </c>
      <c r="D13" s="49" t="s">
        <v>231</v>
      </c>
      <c r="E13" s="49" t="s">
        <v>232</v>
      </c>
      <c r="F13" s="49" t="s">
        <v>4076</v>
      </c>
      <c r="G13" s="49" t="s">
        <v>4077</v>
      </c>
      <c r="H13" s="49" t="s">
        <v>6390</v>
      </c>
      <c r="I13" s="49" t="s">
        <v>6391</v>
      </c>
      <c r="J13" s="49" t="s">
        <v>6392</v>
      </c>
      <c r="K13" s="49" t="s">
        <v>5155</v>
      </c>
      <c r="L13" s="49" t="s">
        <v>6393</v>
      </c>
      <c r="M13" s="49" t="s">
        <v>3813</v>
      </c>
      <c r="N13" s="49" t="s">
        <v>6394</v>
      </c>
      <c r="O13" s="49" t="s">
        <v>3813</v>
      </c>
      <c r="P13" s="49" t="s">
        <v>3813</v>
      </c>
      <c r="Q13" s="49" t="s">
        <v>6395</v>
      </c>
      <c r="R13" s="49" t="s">
        <v>6396</v>
      </c>
      <c r="S13" s="49" t="s">
        <v>4565</v>
      </c>
      <c r="T13" s="49" t="s">
        <v>6397</v>
      </c>
      <c r="U13" s="49" t="s">
        <v>6398</v>
      </c>
      <c r="V13" s="49" t="s">
        <v>6399</v>
      </c>
      <c r="W13" s="49" t="s">
        <v>6400</v>
      </c>
      <c r="X13" s="49" t="s">
        <v>6401</v>
      </c>
      <c r="Y13" s="49" t="s">
        <v>4194</v>
      </c>
      <c r="Z13" s="49" t="s">
        <v>3768</v>
      </c>
      <c r="AA13" s="49" t="s">
        <v>3768</v>
      </c>
      <c r="AB13" s="49" t="s">
        <v>3768</v>
      </c>
      <c r="AC13" s="49" t="s">
        <v>3768</v>
      </c>
      <c r="AD13" s="49" t="s">
        <v>6402</v>
      </c>
      <c r="AE13" s="49" t="s">
        <v>3813</v>
      </c>
      <c r="AF13" s="49" t="s">
        <v>4196</v>
      </c>
      <c r="AG13" s="49" t="s">
        <v>3768</v>
      </c>
      <c r="AH13" s="49" t="s">
        <v>3768</v>
      </c>
      <c r="AI13" s="49" t="s">
        <v>3768</v>
      </c>
      <c r="AJ13" s="49" t="s">
        <v>3768</v>
      </c>
      <c r="AK13" s="49" t="s">
        <v>3813</v>
      </c>
      <c r="AL13" s="49" t="s">
        <v>3813</v>
      </c>
      <c r="AM13" s="49" t="s">
        <v>4096</v>
      </c>
      <c r="AN13" s="49" t="s">
        <v>3813</v>
      </c>
      <c r="AO13" s="49" t="s">
        <v>3813</v>
      </c>
      <c r="AP13" s="49" t="s">
        <v>3813</v>
      </c>
      <c r="AQ13" s="49" t="s">
        <v>3813</v>
      </c>
      <c r="AR13" s="49" t="s">
        <v>3813</v>
      </c>
      <c r="AS13" s="49" t="s">
        <v>3813</v>
      </c>
      <c r="AT13" s="49" t="s">
        <v>3813</v>
      </c>
      <c r="AU13" s="49" t="s">
        <v>3813</v>
      </c>
      <c r="AV13" s="49" t="s">
        <v>6403</v>
      </c>
      <c r="AW13" s="49" t="s">
        <v>6404</v>
      </c>
      <c r="AX13" s="49" t="s">
        <v>6405</v>
      </c>
      <c r="AY13" s="49" t="s">
        <v>6406</v>
      </c>
      <c r="AZ13" s="49" t="s">
        <v>4101</v>
      </c>
      <c r="BA13" s="49" t="s">
        <v>6407</v>
      </c>
      <c r="BB13" s="49" t="s">
        <v>6408</v>
      </c>
      <c r="BC13" s="49" t="s">
        <v>6409</v>
      </c>
      <c r="BD13" s="49" t="s">
        <v>6410</v>
      </c>
      <c r="BE13" s="49" t="s">
        <v>3768</v>
      </c>
      <c r="BF13" s="49" t="s">
        <v>3813</v>
      </c>
      <c r="BG13" s="49" t="s">
        <v>3768</v>
      </c>
      <c r="BH13" s="49" t="s">
        <v>3768</v>
      </c>
      <c r="BI13" s="49" t="s">
        <v>3768</v>
      </c>
      <c r="BJ13" s="49" t="s">
        <v>3768</v>
      </c>
      <c r="BK13" s="49" t="s">
        <v>4106</v>
      </c>
      <c r="BL13" s="49" t="s">
        <v>6411</v>
      </c>
      <c r="BM13" s="49" t="s">
        <v>6412</v>
      </c>
      <c r="BN13" s="49" t="s">
        <v>6413</v>
      </c>
      <c r="BO13" s="49" t="s">
        <v>6414</v>
      </c>
      <c r="BP13" s="49" t="s">
        <v>6415</v>
      </c>
      <c r="BQ13" s="49" t="s">
        <v>6416</v>
      </c>
      <c r="BR13" s="49" t="s">
        <v>4113</v>
      </c>
      <c r="BS13" s="49" t="s">
        <v>4114</v>
      </c>
      <c r="BT13" s="49" t="s">
        <v>7552</v>
      </c>
    </row>
    <row r="14" spans="1:72" ht="45" customHeight="1">
      <c r="A14" s="49" t="s">
        <v>236</v>
      </c>
      <c r="B14" s="49" t="s">
        <v>237</v>
      </c>
      <c r="C14" s="49">
        <v>2026</v>
      </c>
      <c r="D14" s="49" t="s">
        <v>239</v>
      </c>
      <c r="E14" s="49" t="s">
        <v>240</v>
      </c>
      <c r="F14" s="49" t="s">
        <v>4496</v>
      </c>
      <c r="G14" s="49" t="s">
        <v>4077</v>
      </c>
      <c r="H14" s="49" t="s">
        <v>6417</v>
      </c>
      <c r="I14" s="49" t="s">
        <v>6418</v>
      </c>
      <c r="J14" s="49" t="s">
        <v>6419</v>
      </c>
      <c r="K14" s="49" t="s">
        <v>6420</v>
      </c>
      <c r="L14" s="49" t="s">
        <v>6421</v>
      </c>
      <c r="M14" s="49" t="s">
        <v>6422</v>
      </c>
      <c r="N14" s="49" t="s">
        <v>6423</v>
      </c>
      <c r="O14" s="49" t="s">
        <v>6424</v>
      </c>
      <c r="P14" s="49" t="s">
        <v>6425</v>
      </c>
      <c r="Q14" s="49" t="s">
        <v>6426</v>
      </c>
      <c r="R14" s="49" t="s">
        <v>6427</v>
      </c>
      <c r="S14" s="49" t="s">
        <v>6428</v>
      </c>
      <c r="T14" s="49" t="s">
        <v>6429</v>
      </c>
      <c r="U14" s="49" t="s">
        <v>6430</v>
      </c>
      <c r="V14" s="49" t="s">
        <v>6427</v>
      </c>
      <c r="W14" s="49" t="s">
        <v>6431</v>
      </c>
      <c r="X14" s="49" t="s">
        <v>4101</v>
      </c>
      <c r="Y14" s="49" t="s">
        <v>4160</v>
      </c>
      <c r="Z14" s="49" t="s">
        <v>3768</v>
      </c>
      <c r="AA14" s="49" t="s">
        <v>3768</v>
      </c>
      <c r="AB14" s="49" t="s">
        <v>3813</v>
      </c>
      <c r="AC14" s="49" t="s">
        <v>3768</v>
      </c>
      <c r="AD14" s="49" t="s">
        <v>6432</v>
      </c>
      <c r="AE14" s="49" t="s">
        <v>3813</v>
      </c>
      <c r="AF14" s="49" t="s">
        <v>4095</v>
      </c>
      <c r="AG14" s="49" t="s">
        <v>3768</v>
      </c>
      <c r="AH14" s="49" t="s">
        <v>3768</v>
      </c>
      <c r="AI14" s="49" t="s">
        <v>3813</v>
      </c>
      <c r="AJ14" s="49" t="s">
        <v>3813</v>
      </c>
      <c r="AK14" s="49" t="s">
        <v>3813</v>
      </c>
      <c r="AL14" s="49" t="s">
        <v>3813</v>
      </c>
      <c r="AM14" s="49" t="s">
        <v>4096</v>
      </c>
      <c r="AN14" s="49" t="s">
        <v>3813</v>
      </c>
      <c r="AO14" s="49" t="s">
        <v>3768</v>
      </c>
      <c r="AP14" s="49" t="s">
        <v>3768</v>
      </c>
      <c r="AQ14" s="49" t="s">
        <v>3813</v>
      </c>
      <c r="AR14" s="49" t="s">
        <v>3813</v>
      </c>
      <c r="AS14" s="49" t="s">
        <v>3813</v>
      </c>
      <c r="AT14" s="49" t="s">
        <v>3813</v>
      </c>
      <c r="AU14" s="49" t="s">
        <v>3768</v>
      </c>
      <c r="AV14" s="49" t="s">
        <v>6433</v>
      </c>
      <c r="AW14" s="49" t="s">
        <v>6434</v>
      </c>
      <c r="AX14" s="49" t="s">
        <v>6435</v>
      </c>
      <c r="AY14" s="49" t="s">
        <v>6436</v>
      </c>
      <c r="AZ14" s="49" t="s">
        <v>6437</v>
      </c>
      <c r="BA14" s="49" t="s">
        <v>6438</v>
      </c>
      <c r="BB14" s="49" t="s">
        <v>6439</v>
      </c>
      <c r="BC14" s="49" t="s">
        <v>6440</v>
      </c>
      <c r="BD14" s="49" t="s">
        <v>6441</v>
      </c>
      <c r="BE14" s="49" t="s">
        <v>3768</v>
      </c>
      <c r="BF14" s="49" t="s">
        <v>6442</v>
      </c>
      <c r="BG14" s="49" t="s">
        <v>3768</v>
      </c>
      <c r="BH14" s="49" t="s">
        <v>3768</v>
      </c>
      <c r="BI14" s="49" t="s">
        <v>3813</v>
      </c>
      <c r="BJ14" s="49" t="s">
        <v>3813</v>
      </c>
      <c r="BK14" s="49" t="s">
        <v>4171</v>
      </c>
      <c r="BL14" s="49" t="s">
        <v>6443</v>
      </c>
      <c r="BM14" s="49" t="s">
        <v>6444</v>
      </c>
      <c r="BN14" s="49" t="s">
        <v>6445</v>
      </c>
      <c r="BO14" s="49" t="s">
        <v>6446</v>
      </c>
      <c r="BP14" s="49" t="s">
        <v>6447</v>
      </c>
      <c r="BQ14" s="49" t="s">
        <v>6448</v>
      </c>
      <c r="BR14" s="49" t="s">
        <v>4113</v>
      </c>
      <c r="BS14" s="49" t="s">
        <v>4114</v>
      </c>
      <c r="BT14" s="49" t="s">
        <v>7553</v>
      </c>
    </row>
    <row r="15" spans="1:72" ht="45" customHeight="1">
      <c r="A15" s="49" t="s">
        <v>244</v>
      </c>
      <c r="B15" s="49" t="s">
        <v>245</v>
      </c>
      <c r="C15" s="49">
        <v>2026</v>
      </c>
      <c r="D15" s="49" t="s">
        <v>247</v>
      </c>
      <c r="E15" s="49" t="s">
        <v>248</v>
      </c>
      <c r="F15" s="49" t="s">
        <v>4076</v>
      </c>
      <c r="G15" s="49" t="s">
        <v>4077</v>
      </c>
      <c r="H15" s="49" t="s">
        <v>4309</v>
      </c>
      <c r="I15" s="49" t="s">
        <v>4310</v>
      </c>
      <c r="J15" s="49" t="s">
        <v>4311</v>
      </c>
      <c r="K15" s="49" t="s">
        <v>4119</v>
      </c>
      <c r="L15" s="49" t="s">
        <v>4312</v>
      </c>
      <c r="M15" s="49" t="s">
        <v>3813</v>
      </c>
      <c r="N15" s="49" t="s">
        <v>3813</v>
      </c>
      <c r="O15" s="49" t="s">
        <v>3813</v>
      </c>
      <c r="P15" s="49" t="s">
        <v>4313</v>
      </c>
      <c r="Q15" s="49" t="s">
        <v>4314</v>
      </c>
      <c r="R15" s="49" t="s">
        <v>4315</v>
      </c>
      <c r="S15" s="49" t="s">
        <v>4316</v>
      </c>
      <c r="T15" s="49" t="s">
        <v>4317</v>
      </c>
      <c r="U15" s="49" t="s">
        <v>4318</v>
      </c>
      <c r="V15" s="49" t="s">
        <v>4319</v>
      </c>
      <c r="W15" s="49" t="s">
        <v>4320</v>
      </c>
      <c r="X15" s="49" t="s">
        <v>4321</v>
      </c>
      <c r="Y15" s="49" t="s">
        <v>4160</v>
      </c>
      <c r="Z15" s="49" t="s">
        <v>3768</v>
      </c>
      <c r="AA15" s="49" t="s">
        <v>3768</v>
      </c>
      <c r="AB15" s="49" t="s">
        <v>3813</v>
      </c>
      <c r="AC15" s="49" t="s">
        <v>3768</v>
      </c>
      <c r="AD15" s="49" t="s">
        <v>4322</v>
      </c>
      <c r="AE15" s="49" t="s">
        <v>3768</v>
      </c>
      <c r="AF15" s="49" t="s">
        <v>4095</v>
      </c>
      <c r="AG15" s="49" t="s">
        <v>3768</v>
      </c>
      <c r="AH15" s="49" t="s">
        <v>3813</v>
      </c>
      <c r="AI15" s="49" t="s">
        <v>3813</v>
      </c>
      <c r="AJ15" s="49" t="s">
        <v>3813</v>
      </c>
      <c r="AK15" s="49" t="s">
        <v>3813</v>
      </c>
      <c r="AL15" s="49" t="s">
        <v>3813</v>
      </c>
      <c r="AM15" s="49" t="s">
        <v>4162</v>
      </c>
      <c r="AN15" s="49" t="s">
        <v>3813</v>
      </c>
      <c r="AO15" s="49" t="s">
        <v>3768</v>
      </c>
      <c r="AP15" s="49" t="s">
        <v>3768</v>
      </c>
      <c r="AQ15" s="49" t="s">
        <v>3768</v>
      </c>
      <c r="AR15" s="49" t="s">
        <v>3768</v>
      </c>
      <c r="AS15" s="49" t="s">
        <v>3768</v>
      </c>
      <c r="AT15" s="49" t="s">
        <v>3768</v>
      </c>
      <c r="AU15" s="49" t="s">
        <v>3813</v>
      </c>
      <c r="AV15" s="49" t="s">
        <v>4323</v>
      </c>
      <c r="AW15" s="49" t="s">
        <v>4324</v>
      </c>
      <c r="AX15" s="49" t="s">
        <v>4325</v>
      </c>
      <c r="AY15" s="49" t="s">
        <v>4326</v>
      </c>
      <c r="AZ15" s="49" t="s">
        <v>4327</v>
      </c>
      <c r="BA15" s="49" t="s">
        <v>4328</v>
      </c>
      <c r="BB15" s="49" t="s">
        <v>4329</v>
      </c>
      <c r="BC15" s="49" t="s">
        <v>4330</v>
      </c>
      <c r="BD15" s="49" t="s">
        <v>4331</v>
      </c>
      <c r="BE15" s="49" t="s">
        <v>3768</v>
      </c>
      <c r="BF15" s="49" t="s">
        <v>4332</v>
      </c>
      <c r="BG15" s="49" t="s">
        <v>3813</v>
      </c>
      <c r="BH15" s="49" t="s">
        <v>3768</v>
      </c>
      <c r="BI15" s="49" t="s">
        <v>3768</v>
      </c>
      <c r="BJ15" s="49" t="s">
        <v>3768</v>
      </c>
      <c r="BK15" s="49" t="s">
        <v>4171</v>
      </c>
      <c r="BL15" s="49" t="s">
        <v>4333</v>
      </c>
      <c r="BM15" s="49" t="s">
        <v>4334</v>
      </c>
      <c r="BN15" s="49" t="s">
        <v>4335</v>
      </c>
      <c r="BO15" s="49" t="s">
        <v>4336</v>
      </c>
      <c r="BP15" s="49" t="s">
        <v>4337</v>
      </c>
      <c r="BQ15" s="49" t="s">
        <v>4338</v>
      </c>
      <c r="BR15" s="49" t="s">
        <v>4113</v>
      </c>
      <c r="BS15" s="49" t="s">
        <v>4114</v>
      </c>
      <c r="BT15" s="49" t="s">
        <v>4339</v>
      </c>
    </row>
    <row r="16" spans="1:72" ht="45" customHeight="1">
      <c r="A16" s="49" t="s">
        <v>260</v>
      </c>
      <c r="B16" s="49" t="s">
        <v>261</v>
      </c>
      <c r="C16" s="49">
        <v>2025</v>
      </c>
      <c r="D16" s="49" t="s">
        <v>144</v>
      </c>
      <c r="E16" s="49" t="s">
        <v>263</v>
      </c>
      <c r="F16" s="49" t="s">
        <v>4076</v>
      </c>
      <c r="G16" s="49" t="s">
        <v>4077</v>
      </c>
      <c r="H16" s="49" t="s">
        <v>4340</v>
      </c>
      <c r="I16" s="49" t="s">
        <v>4341</v>
      </c>
      <c r="J16" s="49" t="s">
        <v>4342</v>
      </c>
      <c r="K16" s="49" t="s">
        <v>4081</v>
      </c>
      <c r="L16" s="49" t="s">
        <v>4343</v>
      </c>
      <c r="M16" s="49" t="s">
        <v>3813</v>
      </c>
      <c r="N16" s="49" t="s">
        <v>4344</v>
      </c>
      <c r="O16" s="49" t="s">
        <v>3813</v>
      </c>
      <c r="P16" s="49" t="s">
        <v>4345</v>
      </c>
      <c r="Q16" s="49" t="s">
        <v>4346</v>
      </c>
      <c r="R16" s="49" t="s">
        <v>4347</v>
      </c>
      <c r="S16" s="49" t="s">
        <v>4348</v>
      </c>
      <c r="T16" s="49" t="s">
        <v>4349</v>
      </c>
      <c r="U16" s="49" t="s">
        <v>4350</v>
      </c>
      <c r="V16" s="49" t="s">
        <v>4351</v>
      </c>
      <c r="W16" s="49" t="s">
        <v>4352</v>
      </c>
      <c r="X16" s="49" t="s">
        <v>4353</v>
      </c>
      <c r="Y16" s="49" t="s">
        <v>4127</v>
      </c>
      <c r="Z16" s="49" t="s">
        <v>3768</v>
      </c>
      <c r="AA16" s="49" t="s">
        <v>3813</v>
      </c>
      <c r="AB16" s="49" t="s">
        <v>3813</v>
      </c>
      <c r="AC16" s="49" t="s">
        <v>3813</v>
      </c>
      <c r="AD16" s="49" t="s">
        <v>4354</v>
      </c>
      <c r="AE16" s="49" t="s">
        <v>3768</v>
      </c>
      <c r="AF16" s="49" t="s">
        <v>4196</v>
      </c>
      <c r="AG16" s="49" t="s">
        <v>3768</v>
      </c>
      <c r="AH16" s="49" t="s">
        <v>3813</v>
      </c>
      <c r="AI16" s="49" t="s">
        <v>3768</v>
      </c>
      <c r="AJ16" s="49" t="s">
        <v>3813</v>
      </c>
      <c r="AK16" s="49" t="s">
        <v>3813</v>
      </c>
      <c r="AL16" s="49" t="s">
        <v>3813</v>
      </c>
      <c r="AM16" s="49" t="s">
        <v>4096</v>
      </c>
      <c r="AN16" s="49" t="s">
        <v>3813</v>
      </c>
      <c r="AO16" s="49" t="s">
        <v>3813</v>
      </c>
      <c r="AP16" s="49" t="s">
        <v>3813</v>
      </c>
      <c r="AQ16" s="49" t="s">
        <v>3813</v>
      </c>
      <c r="AR16" s="49" t="s">
        <v>3813</v>
      </c>
      <c r="AS16" s="49" t="s">
        <v>3813</v>
      </c>
      <c r="AT16" s="49" t="s">
        <v>3813</v>
      </c>
      <c r="AU16" s="49" t="s">
        <v>3813</v>
      </c>
      <c r="AV16" s="49" t="s">
        <v>4356</v>
      </c>
      <c r="AW16" s="49" t="s">
        <v>4265</v>
      </c>
      <c r="AX16" s="49" t="s">
        <v>4357</v>
      </c>
      <c r="AY16" s="49" t="s">
        <v>4358</v>
      </c>
      <c r="AZ16" s="49" t="s">
        <v>4101</v>
      </c>
      <c r="BA16" s="49" t="s">
        <v>4359</v>
      </c>
      <c r="BB16" s="49" t="s">
        <v>4360</v>
      </c>
      <c r="BC16" s="49" t="s">
        <v>4361</v>
      </c>
      <c r="BD16" s="49" t="s">
        <v>4362</v>
      </c>
      <c r="BE16" s="49" t="s">
        <v>3768</v>
      </c>
      <c r="BF16" s="49" t="s">
        <v>4363</v>
      </c>
      <c r="BG16" s="49" t="s">
        <v>3813</v>
      </c>
      <c r="BH16" s="49" t="s">
        <v>3768</v>
      </c>
      <c r="BI16" s="49" t="s">
        <v>3768</v>
      </c>
      <c r="BJ16" s="49" t="s">
        <v>3768</v>
      </c>
      <c r="BK16" s="49" t="s">
        <v>4171</v>
      </c>
      <c r="BL16" s="49" t="s">
        <v>4364</v>
      </c>
      <c r="BM16" s="49" t="s">
        <v>4365</v>
      </c>
      <c r="BN16" s="49" t="s">
        <v>4366</v>
      </c>
      <c r="BO16" s="49" t="s">
        <v>4367</v>
      </c>
      <c r="BP16" s="49" t="s">
        <v>4368</v>
      </c>
      <c r="BQ16" s="49" t="s">
        <v>4369</v>
      </c>
      <c r="BR16" s="49" t="s">
        <v>4113</v>
      </c>
      <c r="BS16" s="49" t="s">
        <v>4114</v>
      </c>
      <c r="BT16" s="49" t="s">
        <v>4370</v>
      </c>
    </row>
    <row r="17" spans="1:72" ht="45" customHeight="1">
      <c r="A17" s="49" t="s">
        <v>266</v>
      </c>
      <c r="B17" s="49" t="s">
        <v>267</v>
      </c>
      <c r="C17" s="49">
        <v>2024</v>
      </c>
      <c r="D17" s="49" t="s">
        <v>269</v>
      </c>
      <c r="E17" s="49" t="s">
        <v>270</v>
      </c>
      <c r="F17" s="49" t="s">
        <v>4076</v>
      </c>
      <c r="G17" s="49" t="s">
        <v>4077</v>
      </c>
      <c r="H17" s="49" t="s">
        <v>4371</v>
      </c>
      <c r="I17" s="49" t="s">
        <v>4372</v>
      </c>
      <c r="J17" s="49" t="s">
        <v>4373</v>
      </c>
      <c r="K17" s="49" t="s">
        <v>4182</v>
      </c>
      <c r="L17" s="49" t="s">
        <v>4374</v>
      </c>
      <c r="M17" s="49" t="s">
        <v>4375</v>
      </c>
      <c r="N17" s="49" t="s">
        <v>3813</v>
      </c>
      <c r="O17" s="49" t="s">
        <v>3813</v>
      </c>
      <c r="P17" s="49" t="s">
        <v>4376</v>
      </c>
      <c r="Q17" s="49" t="s">
        <v>4377</v>
      </c>
      <c r="R17" s="49" t="s">
        <v>4378</v>
      </c>
      <c r="S17" s="49" t="s">
        <v>4379</v>
      </c>
      <c r="T17" s="49" t="s">
        <v>4380</v>
      </c>
      <c r="U17" s="49" t="s">
        <v>4381</v>
      </c>
      <c r="V17" s="49" t="s">
        <v>4382</v>
      </c>
      <c r="W17" s="49" t="s">
        <v>4383</v>
      </c>
      <c r="X17" s="49" t="s">
        <v>4384</v>
      </c>
      <c r="Y17" s="49" t="s">
        <v>4127</v>
      </c>
      <c r="Z17" s="49" t="s">
        <v>3768</v>
      </c>
      <c r="AA17" s="49" t="s">
        <v>3813</v>
      </c>
      <c r="AB17" s="49" t="s">
        <v>3813</v>
      </c>
      <c r="AC17" s="49" t="s">
        <v>3813</v>
      </c>
      <c r="AD17" s="49" t="s">
        <v>4385</v>
      </c>
      <c r="AE17" s="49" t="s">
        <v>3813</v>
      </c>
      <c r="AF17" s="49" t="s">
        <v>4196</v>
      </c>
      <c r="AG17" s="49" t="s">
        <v>3768</v>
      </c>
      <c r="AH17" s="49" t="s">
        <v>3813</v>
      </c>
      <c r="AI17" s="49" t="s">
        <v>3813</v>
      </c>
      <c r="AJ17" s="49" t="s">
        <v>3768</v>
      </c>
      <c r="AK17" s="49" t="s">
        <v>3813</v>
      </c>
      <c r="AL17" s="49" t="s">
        <v>3813</v>
      </c>
      <c r="AM17" s="49" t="s">
        <v>4096</v>
      </c>
      <c r="AN17" s="49" t="s">
        <v>3813</v>
      </c>
      <c r="AO17" s="49" t="s">
        <v>3768</v>
      </c>
      <c r="AP17" s="49" t="s">
        <v>3813</v>
      </c>
      <c r="AQ17" s="49" t="s">
        <v>3813</v>
      </c>
      <c r="AR17" s="49" t="s">
        <v>3813</v>
      </c>
      <c r="AS17" s="49" t="s">
        <v>3813</v>
      </c>
      <c r="AT17" s="49" t="s">
        <v>3813</v>
      </c>
      <c r="AU17" s="49" t="s">
        <v>3813</v>
      </c>
      <c r="AV17" s="49" t="s">
        <v>4386</v>
      </c>
      <c r="AW17" s="49" t="s">
        <v>4387</v>
      </c>
      <c r="AX17" s="49" t="s">
        <v>4388</v>
      </c>
      <c r="AY17" s="49" t="s">
        <v>4389</v>
      </c>
      <c r="AZ17" s="49" t="s">
        <v>4390</v>
      </c>
      <c r="BA17" s="49" t="s">
        <v>4391</v>
      </c>
      <c r="BB17" s="49" t="s">
        <v>4392</v>
      </c>
      <c r="BC17" s="49" t="s">
        <v>4393</v>
      </c>
      <c r="BD17" s="49" t="s">
        <v>4394</v>
      </c>
      <c r="BE17" s="49" t="s">
        <v>3768</v>
      </c>
      <c r="BF17" s="49" t="s">
        <v>4395</v>
      </c>
      <c r="BG17" s="49" t="s">
        <v>3813</v>
      </c>
      <c r="BH17" s="49" t="s">
        <v>3768</v>
      </c>
      <c r="BI17" s="49" t="s">
        <v>3768</v>
      </c>
      <c r="BJ17" s="49" t="s">
        <v>3768</v>
      </c>
      <c r="BK17" s="49" t="s">
        <v>4106</v>
      </c>
      <c r="BL17" s="49" t="s">
        <v>4396</v>
      </c>
      <c r="BM17" s="49" t="s">
        <v>4397</v>
      </c>
      <c r="BN17" s="49" t="s">
        <v>4398</v>
      </c>
      <c r="BO17" s="49" t="s">
        <v>4399</v>
      </c>
      <c r="BP17" s="49" t="s">
        <v>4400</v>
      </c>
      <c r="BQ17" s="49" t="s">
        <v>4401</v>
      </c>
      <c r="BR17" s="49" t="s">
        <v>4113</v>
      </c>
      <c r="BS17" s="49" t="s">
        <v>4114</v>
      </c>
      <c r="BT17" s="49" t="s">
        <v>4402</v>
      </c>
    </row>
    <row r="18" spans="1:72" ht="45" customHeight="1">
      <c r="A18" s="49" t="s">
        <v>274</v>
      </c>
      <c r="B18" s="49" t="s">
        <v>275</v>
      </c>
      <c r="C18" s="49">
        <v>2026</v>
      </c>
      <c r="D18" s="49" t="s">
        <v>277</v>
      </c>
      <c r="E18" s="49" t="s">
        <v>278</v>
      </c>
      <c r="F18" s="49" t="s">
        <v>4076</v>
      </c>
      <c r="G18" s="49" t="s">
        <v>4077</v>
      </c>
      <c r="H18" s="49" t="s">
        <v>6449</v>
      </c>
      <c r="I18" s="49" t="s">
        <v>6450</v>
      </c>
      <c r="J18" s="49" t="s">
        <v>6451</v>
      </c>
      <c r="K18" s="49" t="s">
        <v>4119</v>
      </c>
      <c r="L18" s="49" t="s">
        <v>6452</v>
      </c>
      <c r="M18" s="49" t="s">
        <v>3813</v>
      </c>
      <c r="N18" s="49" t="s">
        <v>3813</v>
      </c>
      <c r="O18" s="49" t="s">
        <v>3813</v>
      </c>
      <c r="P18" s="49" t="s">
        <v>6453</v>
      </c>
      <c r="Q18" s="49" t="s">
        <v>6454</v>
      </c>
      <c r="R18" s="49" t="s">
        <v>6455</v>
      </c>
      <c r="S18" s="49" t="s">
        <v>6456</v>
      </c>
      <c r="T18" s="49" t="s">
        <v>6457</v>
      </c>
      <c r="U18" s="49" t="s">
        <v>6458</v>
      </c>
      <c r="V18" s="49" t="s">
        <v>6459</v>
      </c>
      <c r="W18" s="49" t="s">
        <v>6460</v>
      </c>
      <c r="X18" s="49" t="s">
        <v>6461</v>
      </c>
      <c r="Y18" s="49" t="s">
        <v>4160</v>
      </c>
      <c r="Z18" s="49" t="s">
        <v>3768</v>
      </c>
      <c r="AA18" s="49" t="s">
        <v>3768</v>
      </c>
      <c r="AB18" s="49" t="s">
        <v>3813</v>
      </c>
      <c r="AC18" s="49" t="s">
        <v>3768</v>
      </c>
      <c r="AD18" s="49" t="s">
        <v>6462</v>
      </c>
      <c r="AE18" s="49" t="s">
        <v>3813</v>
      </c>
      <c r="AF18" s="49" t="s">
        <v>4196</v>
      </c>
      <c r="AG18" s="49" t="s">
        <v>3768</v>
      </c>
      <c r="AH18" s="49" t="s">
        <v>3768</v>
      </c>
      <c r="AI18" s="49" t="s">
        <v>3768</v>
      </c>
      <c r="AJ18" s="49" t="s">
        <v>3768</v>
      </c>
      <c r="AK18" s="49" t="s">
        <v>3813</v>
      </c>
      <c r="AL18" s="49" t="s">
        <v>3813</v>
      </c>
      <c r="AM18" s="49" t="s">
        <v>4096</v>
      </c>
      <c r="AN18" s="49" t="s">
        <v>3813</v>
      </c>
      <c r="AO18" s="49" t="s">
        <v>3768</v>
      </c>
      <c r="AP18" s="49" t="s">
        <v>3768</v>
      </c>
      <c r="AQ18" s="49" t="s">
        <v>3768</v>
      </c>
      <c r="AR18" s="49" t="s">
        <v>3768</v>
      </c>
      <c r="AS18" s="49" t="s">
        <v>3813</v>
      </c>
      <c r="AT18" s="49" t="s">
        <v>3813</v>
      </c>
      <c r="AU18" s="49" t="s">
        <v>3813</v>
      </c>
      <c r="AV18" s="49" t="s">
        <v>6463</v>
      </c>
      <c r="AW18" s="49" t="s">
        <v>6464</v>
      </c>
      <c r="AX18" s="49" t="s">
        <v>6465</v>
      </c>
      <c r="AY18" s="49" t="s">
        <v>6466</v>
      </c>
      <c r="AZ18" s="49" t="s">
        <v>6467</v>
      </c>
      <c r="BA18" s="49" t="s">
        <v>6468</v>
      </c>
      <c r="BB18" s="49" t="s">
        <v>6469</v>
      </c>
      <c r="BC18" s="49" t="s">
        <v>6470</v>
      </c>
      <c r="BD18" s="49" t="s">
        <v>6471</v>
      </c>
      <c r="BE18" s="49" t="s">
        <v>3768</v>
      </c>
      <c r="BF18" s="49" t="s">
        <v>6472</v>
      </c>
      <c r="BG18" s="49" t="s">
        <v>3813</v>
      </c>
      <c r="BH18" s="49" t="s">
        <v>3768</v>
      </c>
      <c r="BI18" s="49" t="s">
        <v>3768</v>
      </c>
      <c r="BJ18" s="49" t="s">
        <v>3768</v>
      </c>
      <c r="BK18" s="49" t="s">
        <v>4106</v>
      </c>
      <c r="BL18" s="49" t="s">
        <v>6473</v>
      </c>
      <c r="BM18" s="49" t="s">
        <v>6474</v>
      </c>
      <c r="BN18" s="49" t="s">
        <v>6475</v>
      </c>
      <c r="BO18" s="49" t="s">
        <v>6476</v>
      </c>
      <c r="BP18" s="49" t="s">
        <v>6477</v>
      </c>
      <c r="BQ18" s="49" t="s">
        <v>6478</v>
      </c>
      <c r="BR18" s="49" t="s">
        <v>4113</v>
      </c>
      <c r="BS18" s="49" t="s">
        <v>4114</v>
      </c>
      <c r="BT18" s="49" t="s">
        <v>7554</v>
      </c>
    </row>
    <row r="19" spans="1:72" ht="45" customHeight="1">
      <c r="A19" s="49" t="s">
        <v>282</v>
      </c>
      <c r="B19" s="49" t="s">
        <v>283</v>
      </c>
      <c r="C19" s="49">
        <v>2022</v>
      </c>
      <c r="D19" s="49" t="s">
        <v>285</v>
      </c>
      <c r="E19" s="49" t="s">
        <v>286</v>
      </c>
      <c r="F19" s="49" t="s">
        <v>4076</v>
      </c>
      <c r="G19" s="49" t="s">
        <v>4077</v>
      </c>
      <c r="H19" s="49" t="s">
        <v>4403</v>
      </c>
      <c r="I19" s="49" t="s">
        <v>4404</v>
      </c>
      <c r="J19" s="49" t="s">
        <v>4405</v>
      </c>
      <c r="K19" s="49" t="s">
        <v>4081</v>
      </c>
      <c r="L19" s="49" t="s">
        <v>4406</v>
      </c>
      <c r="M19" s="49" t="s">
        <v>3813</v>
      </c>
      <c r="N19" s="49" t="s">
        <v>4407</v>
      </c>
      <c r="O19" s="49" t="s">
        <v>3813</v>
      </c>
      <c r="P19" s="49" t="s">
        <v>4408</v>
      </c>
      <c r="Q19" s="49" t="s">
        <v>4409</v>
      </c>
      <c r="R19" s="49" t="s">
        <v>4410</v>
      </c>
      <c r="S19" s="49" t="s">
        <v>4411</v>
      </c>
      <c r="T19" s="49" t="s">
        <v>4412</v>
      </c>
      <c r="U19" s="49" t="s">
        <v>4413</v>
      </c>
      <c r="V19" s="49" t="s">
        <v>4410</v>
      </c>
      <c r="W19" s="49" t="s">
        <v>4414</v>
      </c>
      <c r="X19" s="49" t="s">
        <v>4415</v>
      </c>
      <c r="Y19" s="49" t="s">
        <v>4127</v>
      </c>
      <c r="Z19" s="49" t="s">
        <v>3768</v>
      </c>
      <c r="AA19" s="49" t="s">
        <v>3813</v>
      </c>
      <c r="AB19" s="49" t="s">
        <v>3813</v>
      </c>
      <c r="AC19" s="49" t="s">
        <v>3813</v>
      </c>
      <c r="AD19" s="49" t="s">
        <v>4416</v>
      </c>
      <c r="AE19" s="49" t="s">
        <v>3768</v>
      </c>
      <c r="AF19" s="49" t="s">
        <v>4095</v>
      </c>
      <c r="AG19" s="49" t="s">
        <v>3768</v>
      </c>
      <c r="AH19" s="49" t="s">
        <v>3813</v>
      </c>
      <c r="AI19" s="49" t="s">
        <v>3813</v>
      </c>
      <c r="AJ19" s="49" t="s">
        <v>3813</v>
      </c>
      <c r="AK19" s="49" t="s">
        <v>3813</v>
      </c>
      <c r="AL19" s="49" t="s">
        <v>3813</v>
      </c>
      <c r="AM19" s="49" t="s">
        <v>4096</v>
      </c>
      <c r="AN19" s="49" t="s">
        <v>3813</v>
      </c>
      <c r="AO19" s="49" t="s">
        <v>3768</v>
      </c>
      <c r="AP19" s="49" t="s">
        <v>3768</v>
      </c>
      <c r="AQ19" s="49" t="s">
        <v>3768</v>
      </c>
      <c r="AR19" s="49" t="s">
        <v>3768</v>
      </c>
      <c r="AS19" s="49" t="s">
        <v>3768</v>
      </c>
      <c r="AT19" s="49" t="s">
        <v>3813</v>
      </c>
      <c r="AU19" s="49" t="s">
        <v>3813</v>
      </c>
      <c r="AV19" s="49" t="s">
        <v>4417</v>
      </c>
      <c r="AW19" s="49" t="s">
        <v>4418</v>
      </c>
      <c r="AX19" s="49" t="s">
        <v>4419</v>
      </c>
      <c r="AY19" s="49" t="s">
        <v>4420</v>
      </c>
      <c r="AZ19" s="49" t="s">
        <v>4421</v>
      </c>
      <c r="BA19" s="49" t="s">
        <v>4422</v>
      </c>
      <c r="BB19" s="49" t="s">
        <v>4423</v>
      </c>
      <c r="BC19" s="49" t="s">
        <v>4424</v>
      </c>
      <c r="BD19" s="49" t="s">
        <v>4425</v>
      </c>
      <c r="BE19" s="49" t="s">
        <v>3768</v>
      </c>
      <c r="BF19" s="49" t="s">
        <v>4426</v>
      </c>
      <c r="BG19" s="49" t="s">
        <v>3813</v>
      </c>
      <c r="BH19" s="49" t="s">
        <v>3768</v>
      </c>
      <c r="BI19" s="49" t="s">
        <v>3768</v>
      </c>
      <c r="BJ19" s="49" t="s">
        <v>3768</v>
      </c>
      <c r="BK19" s="49" t="s">
        <v>4106</v>
      </c>
      <c r="BL19" s="49" t="s">
        <v>4427</v>
      </c>
      <c r="BM19" s="49" t="s">
        <v>4428</v>
      </c>
      <c r="BN19" s="49" t="s">
        <v>4429</v>
      </c>
      <c r="BO19" s="49" t="s">
        <v>4430</v>
      </c>
      <c r="BP19" s="49" t="s">
        <v>4431</v>
      </c>
      <c r="BQ19" s="49" t="s">
        <v>4432</v>
      </c>
      <c r="BR19" s="49" t="s">
        <v>4113</v>
      </c>
      <c r="BS19" s="49" t="s">
        <v>4114</v>
      </c>
      <c r="BT19" s="49" t="s">
        <v>4433</v>
      </c>
    </row>
    <row r="20" spans="1:72" ht="45" customHeight="1">
      <c r="A20" s="49" t="s">
        <v>289</v>
      </c>
      <c r="B20" s="49" t="s">
        <v>290</v>
      </c>
      <c r="C20" s="49">
        <v>2026</v>
      </c>
      <c r="D20" s="49" t="s">
        <v>4434</v>
      </c>
      <c r="E20" s="49" t="s">
        <v>293</v>
      </c>
      <c r="F20" s="49" t="s">
        <v>4076</v>
      </c>
      <c r="G20" s="49" t="s">
        <v>4077</v>
      </c>
      <c r="H20" s="49" t="s">
        <v>4435</v>
      </c>
      <c r="I20" s="49" t="s">
        <v>4436</v>
      </c>
      <c r="J20" s="49" t="s">
        <v>4437</v>
      </c>
      <c r="K20" s="49" t="s">
        <v>4182</v>
      </c>
      <c r="L20" s="49" t="s">
        <v>4438</v>
      </c>
      <c r="M20" s="49" t="s">
        <v>4439</v>
      </c>
      <c r="N20" s="49" t="s">
        <v>4440</v>
      </c>
      <c r="O20" s="49" t="s">
        <v>3813</v>
      </c>
      <c r="P20" s="49" t="s">
        <v>4441</v>
      </c>
      <c r="Q20" s="49" t="s">
        <v>4442</v>
      </c>
      <c r="R20" s="49" t="s">
        <v>4443</v>
      </c>
      <c r="S20" s="49" t="s">
        <v>4444</v>
      </c>
      <c r="T20" s="49" t="s">
        <v>4445</v>
      </c>
      <c r="U20" s="49" t="s">
        <v>4446</v>
      </c>
      <c r="V20" s="49" t="s">
        <v>4447</v>
      </c>
      <c r="W20" s="49" t="s">
        <v>4448</v>
      </c>
      <c r="X20" s="49" t="s">
        <v>4449</v>
      </c>
      <c r="Y20" s="49" t="s">
        <v>4160</v>
      </c>
      <c r="Z20" s="49" t="s">
        <v>3768</v>
      </c>
      <c r="AA20" s="49" t="s">
        <v>3768</v>
      </c>
      <c r="AB20" s="49" t="s">
        <v>3813</v>
      </c>
      <c r="AC20" s="49" t="s">
        <v>3813</v>
      </c>
      <c r="AD20" s="49" t="s">
        <v>4450</v>
      </c>
      <c r="AE20" s="49" t="s">
        <v>3813</v>
      </c>
      <c r="AF20" s="49" t="s">
        <v>4196</v>
      </c>
      <c r="AG20" s="49" t="s">
        <v>4243</v>
      </c>
      <c r="AH20" s="49" t="s">
        <v>3813</v>
      </c>
      <c r="AI20" s="49" t="s">
        <v>3768</v>
      </c>
      <c r="AJ20" s="49" t="s">
        <v>3768</v>
      </c>
      <c r="AK20" s="49" t="s">
        <v>3813</v>
      </c>
      <c r="AL20" s="49" t="s">
        <v>3813</v>
      </c>
      <c r="AM20" s="49" t="s">
        <v>4162</v>
      </c>
      <c r="AN20" s="49" t="s">
        <v>3768</v>
      </c>
      <c r="AO20" s="49" t="s">
        <v>3768</v>
      </c>
      <c r="AP20" s="49" t="s">
        <v>3813</v>
      </c>
      <c r="AQ20" s="49" t="s">
        <v>3813</v>
      </c>
      <c r="AR20" s="49" t="s">
        <v>3768</v>
      </c>
      <c r="AS20" s="49" t="s">
        <v>3813</v>
      </c>
      <c r="AT20" s="49" t="s">
        <v>3813</v>
      </c>
      <c r="AU20" s="49" t="s">
        <v>3813</v>
      </c>
      <c r="AV20" s="49" t="s">
        <v>4451</v>
      </c>
      <c r="AW20" s="49" t="s">
        <v>4452</v>
      </c>
      <c r="AX20" s="49" t="s">
        <v>4453</v>
      </c>
      <c r="AY20" s="49" t="s">
        <v>4454</v>
      </c>
      <c r="AZ20" s="49" t="s">
        <v>4455</v>
      </c>
      <c r="BA20" s="49" t="s">
        <v>4456</v>
      </c>
      <c r="BB20" s="49" t="s">
        <v>4457</v>
      </c>
      <c r="BC20" s="49" t="s">
        <v>4458</v>
      </c>
      <c r="BD20" s="49" t="s">
        <v>4459</v>
      </c>
      <c r="BE20" s="49" t="s">
        <v>3768</v>
      </c>
      <c r="BF20" s="49" t="s">
        <v>4460</v>
      </c>
      <c r="BG20" s="49" t="s">
        <v>4243</v>
      </c>
      <c r="BH20" s="49" t="s">
        <v>3768</v>
      </c>
      <c r="BI20" s="49" t="s">
        <v>3768</v>
      </c>
      <c r="BJ20" s="49" t="s">
        <v>3768</v>
      </c>
      <c r="BK20" s="49" t="s">
        <v>4171</v>
      </c>
      <c r="BL20" s="49" t="s">
        <v>4461</v>
      </c>
      <c r="BM20" s="49" t="s">
        <v>4462</v>
      </c>
      <c r="BN20" s="49" t="s">
        <v>4463</v>
      </c>
      <c r="BO20" s="49" t="s">
        <v>4464</v>
      </c>
      <c r="BP20" s="49" t="s">
        <v>4465</v>
      </c>
      <c r="BQ20" s="49" t="s">
        <v>4466</v>
      </c>
      <c r="BR20" s="49" t="s">
        <v>4113</v>
      </c>
      <c r="BS20" s="49" t="s">
        <v>4114</v>
      </c>
      <c r="BT20" s="49" t="s">
        <v>4467</v>
      </c>
    </row>
    <row r="21" spans="1:72" ht="45" customHeight="1">
      <c r="A21" s="49" t="s">
        <v>314</v>
      </c>
      <c r="B21" s="49" t="s">
        <v>315</v>
      </c>
      <c r="C21" s="49">
        <v>2026</v>
      </c>
      <c r="D21" s="49" t="s">
        <v>317</v>
      </c>
      <c r="E21" s="49" t="s">
        <v>318</v>
      </c>
      <c r="F21" s="49" t="s">
        <v>4867</v>
      </c>
      <c r="G21" s="49" t="s">
        <v>4077</v>
      </c>
      <c r="H21" s="49" t="s">
        <v>6479</v>
      </c>
      <c r="I21" s="49" t="s">
        <v>6480</v>
      </c>
      <c r="J21" s="49" t="s">
        <v>6481</v>
      </c>
      <c r="K21" s="49" t="s">
        <v>6482</v>
      </c>
      <c r="L21" s="49" t="s">
        <v>6483</v>
      </c>
      <c r="M21" s="49" t="s">
        <v>6484</v>
      </c>
      <c r="N21" s="49" t="s">
        <v>3813</v>
      </c>
      <c r="O21" s="49" t="s">
        <v>3813</v>
      </c>
      <c r="P21" s="49" t="s">
        <v>6485</v>
      </c>
      <c r="Q21" s="49" t="s">
        <v>6486</v>
      </c>
      <c r="R21" s="49" t="s">
        <v>6487</v>
      </c>
      <c r="S21" s="49" t="s">
        <v>6488</v>
      </c>
      <c r="T21" s="49" t="s">
        <v>6489</v>
      </c>
      <c r="U21" s="49" t="s">
        <v>6490</v>
      </c>
      <c r="V21" s="49" t="s">
        <v>6491</v>
      </c>
      <c r="W21" s="49" t="s">
        <v>6492</v>
      </c>
      <c r="X21" s="49" t="s">
        <v>4101</v>
      </c>
      <c r="Y21" s="49" t="s">
        <v>4160</v>
      </c>
      <c r="Z21" s="49" t="s">
        <v>3768</v>
      </c>
      <c r="AA21" s="49" t="s">
        <v>3768</v>
      </c>
      <c r="AB21" s="49" t="s">
        <v>3813</v>
      </c>
      <c r="AC21" s="49" t="s">
        <v>3768</v>
      </c>
      <c r="AD21" s="49" t="s">
        <v>6493</v>
      </c>
      <c r="AE21" s="49" t="s">
        <v>3768</v>
      </c>
      <c r="AF21" s="49" t="s">
        <v>4196</v>
      </c>
      <c r="AG21" s="49" t="s">
        <v>3768</v>
      </c>
      <c r="AH21" s="49" t="s">
        <v>3768</v>
      </c>
      <c r="AI21" s="49" t="s">
        <v>3768</v>
      </c>
      <c r="AJ21" s="49" t="s">
        <v>3813</v>
      </c>
      <c r="AK21" s="49" t="s">
        <v>3813</v>
      </c>
      <c r="AL21" s="49" t="s">
        <v>3813</v>
      </c>
      <c r="AM21" s="49" t="s">
        <v>4096</v>
      </c>
      <c r="AN21" s="49" t="s">
        <v>3813</v>
      </c>
      <c r="AO21" s="49" t="s">
        <v>3768</v>
      </c>
      <c r="AP21" s="49" t="s">
        <v>3768</v>
      </c>
      <c r="AQ21" s="49" t="s">
        <v>3813</v>
      </c>
      <c r="AR21" s="49" t="s">
        <v>3813</v>
      </c>
      <c r="AS21" s="49" t="s">
        <v>3768</v>
      </c>
      <c r="AT21" s="49" t="s">
        <v>3813</v>
      </c>
      <c r="AU21" s="49" t="s">
        <v>3813</v>
      </c>
      <c r="AV21" s="49" t="s">
        <v>6494</v>
      </c>
      <c r="AW21" s="49" t="s">
        <v>6495</v>
      </c>
      <c r="AX21" s="49" t="s">
        <v>6496</v>
      </c>
      <c r="AY21" s="49" t="s">
        <v>6497</v>
      </c>
      <c r="AZ21" s="49" t="s">
        <v>6498</v>
      </c>
      <c r="BA21" s="49" t="s">
        <v>6499</v>
      </c>
      <c r="BB21" s="49" t="s">
        <v>6500</v>
      </c>
      <c r="BC21" s="49" t="s">
        <v>6501</v>
      </c>
      <c r="BD21" s="49" t="s">
        <v>6502</v>
      </c>
      <c r="BE21" s="49" t="s">
        <v>3768</v>
      </c>
      <c r="BF21" s="49" t="s">
        <v>6503</v>
      </c>
      <c r="BG21" s="49" t="s">
        <v>3813</v>
      </c>
      <c r="BH21" s="49" t="s">
        <v>3768</v>
      </c>
      <c r="BI21" s="49" t="s">
        <v>3768</v>
      </c>
      <c r="BJ21" s="49" t="s">
        <v>3768</v>
      </c>
      <c r="BK21" s="49" t="s">
        <v>4171</v>
      </c>
      <c r="BL21" s="49" t="s">
        <v>6504</v>
      </c>
      <c r="BM21" s="49" t="s">
        <v>6505</v>
      </c>
      <c r="BN21" s="49" t="s">
        <v>6506</v>
      </c>
      <c r="BO21" s="49" t="s">
        <v>6507</v>
      </c>
      <c r="BP21" s="49" t="s">
        <v>6508</v>
      </c>
      <c r="BQ21" s="49" t="s">
        <v>6509</v>
      </c>
      <c r="BR21" s="49" t="s">
        <v>4113</v>
      </c>
      <c r="BS21" s="49" t="s">
        <v>4114</v>
      </c>
      <c r="BT21" s="49" t="s">
        <v>7555</v>
      </c>
    </row>
    <row r="22" spans="1:72" ht="45" customHeight="1">
      <c r="A22" s="49" t="s">
        <v>345</v>
      </c>
      <c r="B22" s="49" t="s">
        <v>346</v>
      </c>
      <c r="C22" s="49">
        <v>2025</v>
      </c>
      <c r="D22" s="49" t="s">
        <v>348</v>
      </c>
      <c r="E22" s="49" t="s">
        <v>349</v>
      </c>
      <c r="F22" s="49" t="s">
        <v>4076</v>
      </c>
      <c r="G22" s="49" t="s">
        <v>4077</v>
      </c>
      <c r="H22" s="49" t="s">
        <v>4468</v>
      </c>
      <c r="I22" s="49" t="s">
        <v>4469</v>
      </c>
      <c r="J22" s="49" t="s">
        <v>4470</v>
      </c>
      <c r="K22" s="49" t="s">
        <v>4182</v>
      </c>
      <c r="L22" s="49" t="s">
        <v>4471</v>
      </c>
      <c r="M22" s="49" t="s">
        <v>4472</v>
      </c>
      <c r="N22" s="49" t="s">
        <v>3813</v>
      </c>
      <c r="O22" s="49" t="s">
        <v>3813</v>
      </c>
      <c r="P22" s="49" t="s">
        <v>4473</v>
      </c>
      <c r="Q22" s="49" t="s">
        <v>4474</v>
      </c>
      <c r="R22" s="49" t="s">
        <v>4475</v>
      </c>
      <c r="S22" s="49" t="s">
        <v>4476</v>
      </c>
      <c r="T22" s="49" t="s">
        <v>4477</v>
      </c>
      <c r="U22" s="49" t="s">
        <v>4478</v>
      </c>
      <c r="V22" s="49" t="s">
        <v>4479</v>
      </c>
      <c r="W22" s="49" t="s">
        <v>4480</v>
      </c>
      <c r="X22" s="49" t="s">
        <v>4481</v>
      </c>
      <c r="Y22" s="49" t="s">
        <v>4194</v>
      </c>
      <c r="Z22" s="49" t="s">
        <v>3768</v>
      </c>
      <c r="AA22" s="49" t="s">
        <v>3768</v>
      </c>
      <c r="AB22" s="49" t="s">
        <v>3813</v>
      </c>
      <c r="AC22" s="49" t="s">
        <v>3768</v>
      </c>
      <c r="AD22" s="49" t="s">
        <v>4482</v>
      </c>
      <c r="AE22" s="49" t="s">
        <v>3768</v>
      </c>
      <c r="AF22" s="49" t="s">
        <v>4129</v>
      </c>
      <c r="AG22" s="49" t="s">
        <v>3813</v>
      </c>
      <c r="AH22" s="49" t="s">
        <v>3813</v>
      </c>
      <c r="AI22" s="49" t="s">
        <v>3813</v>
      </c>
      <c r="AJ22" s="49" t="s">
        <v>3813</v>
      </c>
      <c r="AK22" s="49" t="s">
        <v>3813</v>
      </c>
      <c r="AL22" s="49" t="s">
        <v>3813</v>
      </c>
      <c r="AM22" s="49" t="s">
        <v>84</v>
      </c>
      <c r="AN22" s="49" t="s">
        <v>84</v>
      </c>
      <c r="AO22" s="49" t="s">
        <v>3813</v>
      </c>
      <c r="AP22" s="49" t="s">
        <v>3813</v>
      </c>
      <c r="AQ22" s="49" t="s">
        <v>3813</v>
      </c>
      <c r="AR22" s="49" t="s">
        <v>3813</v>
      </c>
      <c r="AS22" s="49" t="s">
        <v>3813</v>
      </c>
      <c r="AT22" s="49" t="s">
        <v>3813</v>
      </c>
      <c r="AU22" s="49" t="s">
        <v>3813</v>
      </c>
      <c r="AV22" s="49" t="s">
        <v>84</v>
      </c>
      <c r="AW22" s="49" t="s">
        <v>4265</v>
      </c>
      <c r="AX22" s="49" t="s">
        <v>4483</v>
      </c>
      <c r="AY22" s="49" t="s">
        <v>4484</v>
      </c>
      <c r="AZ22" s="49" t="s">
        <v>4101</v>
      </c>
      <c r="BA22" s="49" t="s">
        <v>4485</v>
      </c>
      <c r="BB22" s="49" t="s">
        <v>4486</v>
      </c>
      <c r="BC22" s="49" t="s">
        <v>4487</v>
      </c>
      <c r="BD22" s="49" t="s">
        <v>4488</v>
      </c>
      <c r="BE22" s="49" t="s">
        <v>3768</v>
      </c>
      <c r="BF22" s="49" t="s">
        <v>3813</v>
      </c>
      <c r="BG22" s="49" t="s">
        <v>3813</v>
      </c>
      <c r="BH22" s="49" t="s">
        <v>3768</v>
      </c>
      <c r="BI22" s="49" t="s">
        <v>3768</v>
      </c>
      <c r="BJ22" s="49" t="s">
        <v>3813</v>
      </c>
      <c r="BK22" s="49" t="s">
        <v>4138</v>
      </c>
      <c r="BL22" s="49" t="s">
        <v>4489</v>
      </c>
      <c r="BM22" s="49" t="s">
        <v>4490</v>
      </c>
      <c r="BN22" s="49" t="s">
        <v>4491</v>
      </c>
      <c r="BO22" s="49" t="s">
        <v>4492</v>
      </c>
      <c r="BP22" s="49" t="s">
        <v>4493</v>
      </c>
      <c r="BQ22" s="49" t="s">
        <v>4494</v>
      </c>
      <c r="BR22" s="49" t="s">
        <v>4113</v>
      </c>
      <c r="BS22" s="49" t="s">
        <v>4114</v>
      </c>
      <c r="BT22" s="49" t="s">
        <v>4495</v>
      </c>
    </row>
    <row r="23" spans="1:72" ht="45" customHeight="1">
      <c r="A23" s="49" t="s">
        <v>362</v>
      </c>
      <c r="B23" s="49" t="s">
        <v>363</v>
      </c>
      <c r="C23" s="49">
        <v>2025</v>
      </c>
      <c r="D23" s="49" t="s">
        <v>365</v>
      </c>
      <c r="E23" s="49" t="s">
        <v>366</v>
      </c>
      <c r="F23" s="49" t="s">
        <v>4496</v>
      </c>
      <c r="G23" s="49" t="s">
        <v>4077</v>
      </c>
      <c r="H23" s="49" t="s">
        <v>4497</v>
      </c>
      <c r="I23" s="49" t="s">
        <v>4498</v>
      </c>
      <c r="J23" s="49" t="s">
        <v>4499</v>
      </c>
      <c r="K23" s="49" t="s">
        <v>4081</v>
      </c>
      <c r="L23" s="49" t="s">
        <v>4500</v>
      </c>
      <c r="M23" s="49" t="s">
        <v>3813</v>
      </c>
      <c r="N23" s="49" t="s">
        <v>4501</v>
      </c>
      <c r="O23" s="49" t="s">
        <v>3813</v>
      </c>
      <c r="P23" s="49" t="s">
        <v>4502</v>
      </c>
      <c r="Q23" s="49" t="s">
        <v>4503</v>
      </c>
      <c r="R23" s="49" t="s">
        <v>4504</v>
      </c>
      <c r="S23" s="49" t="s">
        <v>4505</v>
      </c>
      <c r="T23" s="49" t="s">
        <v>4101</v>
      </c>
      <c r="U23" s="49" t="s">
        <v>4506</v>
      </c>
      <c r="V23" s="49" t="s">
        <v>4507</v>
      </c>
      <c r="W23" s="49" t="s">
        <v>4508</v>
      </c>
      <c r="X23" s="49" t="s">
        <v>4509</v>
      </c>
      <c r="Y23" s="49" t="s">
        <v>4160</v>
      </c>
      <c r="Z23" s="49" t="s">
        <v>3768</v>
      </c>
      <c r="AA23" s="49" t="s">
        <v>3768</v>
      </c>
      <c r="AB23" s="49" t="s">
        <v>3813</v>
      </c>
      <c r="AC23" s="49" t="s">
        <v>3768</v>
      </c>
      <c r="AD23" s="49" t="s">
        <v>4510</v>
      </c>
      <c r="AE23" s="49" t="s">
        <v>3813</v>
      </c>
      <c r="AF23" s="49" t="s">
        <v>4196</v>
      </c>
      <c r="AG23" s="49" t="s">
        <v>3768</v>
      </c>
      <c r="AH23" s="49" t="s">
        <v>3768</v>
      </c>
      <c r="AI23" s="49" t="s">
        <v>3768</v>
      </c>
      <c r="AJ23" s="49" t="s">
        <v>3768</v>
      </c>
      <c r="AK23" s="49" t="s">
        <v>3768</v>
      </c>
      <c r="AL23" s="49" t="s">
        <v>3813</v>
      </c>
      <c r="AM23" s="49" t="s">
        <v>4096</v>
      </c>
      <c r="AN23" s="49" t="s">
        <v>3813</v>
      </c>
      <c r="AO23" s="49" t="s">
        <v>3768</v>
      </c>
      <c r="AP23" s="49" t="s">
        <v>3813</v>
      </c>
      <c r="AQ23" s="49" t="s">
        <v>3813</v>
      </c>
      <c r="AR23" s="49" t="s">
        <v>3813</v>
      </c>
      <c r="AS23" s="49" t="s">
        <v>3813</v>
      </c>
      <c r="AT23" s="49" t="s">
        <v>3813</v>
      </c>
      <c r="AU23" s="49" t="s">
        <v>3768</v>
      </c>
      <c r="AV23" s="49" t="s">
        <v>4511</v>
      </c>
      <c r="AW23" s="49" t="s">
        <v>4512</v>
      </c>
      <c r="AX23" s="49" t="s">
        <v>4513</v>
      </c>
      <c r="AY23" s="49" t="s">
        <v>4514</v>
      </c>
      <c r="AZ23" s="49" t="s">
        <v>4515</v>
      </c>
      <c r="BA23" s="49" t="s">
        <v>4516</v>
      </c>
      <c r="BB23" s="49" t="s">
        <v>4517</v>
      </c>
      <c r="BC23" s="49" t="s">
        <v>4518</v>
      </c>
      <c r="BD23" s="49" t="s">
        <v>4519</v>
      </c>
      <c r="BE23" s="49" t="s">
        <v>3768</v>
      </c>
      <c r="BF23" s="49" t="s">
        <v>3813</v>
      </c>
      <c r="BG23" s="49" t="s">
        <v>3813</v>
      </c>
      <c r="BH23" s="49" t="s">
        <v>3768</v>
      </c>
      <c r="BI23" s="49" t="s">
        <v>3768</v>
      </c>
      <c r="BJ23" s="49" t="s">
        <v>3768</v>
      </c>
      <c r="BK23" s="49" t="s">
        <v>4171</v>
      </c>
      <c r="BL23" s="49" t="s">
        <v>4520</v>
      </c>
      <c r="BM23" s="49" t="s">
        <v>4521</v>
      </c>
      <c r="BN23" s="49" t="s">
        <v>4522</v>
      </c>
      <c r="BO23" s="49" t="s">
        <v>4523</v>
      </c>
      <c r="BP23" s="49" t="s">
        <v>4524</v>
      </c>
      <c r="BQ23" s="49" t="s">
        <v>4525</v>
      </c>
      <c r="BR23" s="49" t="s">
        <v>4113</v>
      </c>
      <c r="BS23" s="49" t="s">
        <v>4114</v>
      </c>
      <c r="BT23" s="49" t="inlineStr">
        <is>
          <t xml:space="preserve">Strong evidence that excellent source performance may coexist with near-random unseen-generator classification. | Social-network flag corrected YES-&gt;NO: record shows only selective rejection on GenImage OOD subsets; no platform pipeline. (corrected at the authors' instruction, 2026-10-27)</t>
        </is>
      </c>
    </row>
    <row r="24" spans="1:72" ht="45" customHeight="1">
      <c r="A24" s="49" t="s">
        <v>377</v>
      </c>
      <c r="B24" s="49" t="s">
        <v>378</v>
      </c>
      <c r="C24" s="49">
        <v>2026</v>
      </c>
      <c r="D24" s="49" t="s">
        <v>380</v>
      </c>
      <c r="E24" s="49" t="s">
        <v>381</v>
      </c>
      <c r="F24" s="49" t="s">
        <v>4076</v>
      </c>
      <c r="G24" s="49" t="s">
        <v>4077</v>
      </c>
      <c r="H24" s="49" t="s">
        <v>4526</v>
      </c>
      <c r="I24" s="49" t="s">
        <v>4527</v>
      </c>
      <c r="J24" s="49" t="s">
        <v>4528</v>
      </c>
      <c r="K24" s="49" t="s">
        <v>4529</v>
      </c>
      <c r="L24" s="49" t="s">
        <v>4530</v>
      </c>
      <c r="M24" s="49" t="s">
        <v>3813</v>
      </c>
      <c r="N24" s="49" t="s">
        <v>3813</v>
      </c>
      <c r="O24" s="49" t="s">
        <v>4531</v>
      </c>
      <c r="P24" s="49" t="s">
        <v>4532</v>
      </c>
      <c r="Q24" s="49" t="s">
        <v>4533</v>
      </c>
      <c r="R24" s="49" t="s">
        <v>4534</v>
      </c>
      <c r="S24" s="49" t="s">
        <v>4535</v>
      </c>
      <c r="T24" s="49" t="s">
        <v>4536</v>
      </c>
      <c r="U24" s="49" t="s">
        <v>4537</v>
      </c>
      <c r="V24" s="49" t="s">
        <v>4538</v>
      </c>
      <c r="W24" s="49" t="s">
        <v>4539</v>
      </c>
      <c r="X24" s="49" t="s">
        <v>4540</v>
      </c>
      <c r="Y24" s="49" t="s">
        <v>4194</v>
      </c>
      <c r="Z24" s="49" t="s">
        <v>3768</v>
      </c>
      <c r="AA24" s="49" t="s">
        <v>3768</v>
      </c>
      <c r="AB24" s="49" t="s">
        <v>3768</v>
      </c>
      <c r="AC24" s="49" t="s">
        <v>3768</v>
      </c>
      <c r="AD24" s="49" t="s">
        <v>4541</v>
      </c>
      <c r="AE24" s="49" t="s">
        <v>3813</v>
      </c>
      <c r="AF24" s="49" t="s">
        <v>4196</v>
      </c>
      <c r="AG24" s="49" t="s">
        <v>3768</v>
      </c>
      <c r="AH24" s="49" t="s">
        <v>3768</v>
      </c>
      <c r="AI24" s="49" t="s">
        <v>3768</v>
      </c>
      <c r="AJ24" s="49" t="s">
        <v>3768</v>
      </c>
      <c r="AK24" s="49" t="s">
        <v>3813</v>
      </c>
      <c r="AL24" s="49" t="s">
        <v>3813</v>
      </c>
      <c r="AM24" s="49" t="s">
        <v>4096</v>
      </c>
      <c r="AN24" s="49" t="s">
        <v>3813</v>
      </c>
      <c r="AO24" s="49" t="s">
        <v>3768</v>
      </c>
      <c r="AP24" s="49" t="s">
        <v>3768</v>
      </c>
      <c r="AQ24" s="49" t="s">
        <v>3768</v>
      </c>
      <c r="AR24" s="49" t="s">
        <v>3813</v>
      </c>
      <c r="AS24" s="49" t="s">
        <v>3768</v>
      </c>
      <c r="AT24" s="49" t="s">
        <v>3813</v>
      </c>
      <c r="AU24" s="49" t="s">
        <v>3813</v>
      </c>
      <c r="AV24" s="49" t="s">
        <v>4542</v>
      </c>
      <c r="AW24" s="49" t="s">
        <v>4198</v>
      </c>
      <c r="AX24" s="49" t="s">
        <v>4543</v>
      </c>
      <c r="AY24" s="49" t="s">
        <v>4544</v>
      </c>
      <c r="AZ24" s="49" t="s">
        <v>4545</v>
      </c>
      <c r="BA24" s="49" t="s">
        <v>4546</v>
      </c>
      <c r="BB24" s="49" t="s">
        <v>4547</v>
      </c>
      <c r="BC24" s="49" t="s">
        <v>4548</v>
      </c>
      <c r="BD24" s="49" t="s">
        <v>4549</v>
      </c>
      <c r="BE24" s="49" t="s">
        <v>3768</v>
      </c>
      <c r="BF24" s="49" t="s">
        <v>4550</v>
      </c>
      <c r="BG24" s="49" t="s">
        <v>3813</v>
      </c>
      <c r="BH24" s="49" t="s">
        <v>3768</v>
      </c>
      <c r="BI24" s="49" t="s">
        <v>3768</v>
      </c>
      <c r="BJ24" s="49" t="s">
        <v>3768</v>
      </c>
      <c r="BK24" s="49" t="s">
        <v>4207</v>
      </c>
      <c r="BL24" s="49" t="s">
        <v>4551</v>
      </c>
      <c r="BM24" s="49" t="s">
        <v>4552</v>
      </c>
      <c r="BN24" s="49" t="s">
        <v>4553</v>
      </c>
      <c r="BO24" s="49" t="s">
        <v>4554</v>
      </c>
      <c r="BP24" s="49" t="s">
        <v>4555</v>
      </c>
      <c r="BQ24" s="49" t="s">
        <v>4556</v>
      </c>
      <c r="BR24" s="49" t="s">
        <v>4113</v>
      </c>
      <c r="BS24" s="49" t="s">
        <v>4114</v>
      </c>
      <c r="BT24" s="49" t="s">
        <v>4557</v>
      </c>
    </row>
    <row r="25" spans="1:72" ht="45" customHeight="1">
      <c r="A25" s="49" t="s">
        <v>385</v>
      </c>
      <c r="B25" s="49" t="s">
        <v>107</v>
      </c>
      <c r="C25" s="49">
        <v>2026</v>
      </c>
      <c r="D25" s="49" t="s">
        <v>4434</v>
      </c>
      <c r="E25" s="49" t="s">
        <v>387</v>
      </c>
      <c r="F25" s="49" t="s">
        <v>4076</v>
      </c>
      <c r="G25" s="49" t="s">
        <v>4077</v>
      </c>
      <c r="H25" s="49" t="s">
        <v>4558</v>
      </c>
      <c r="I25" s="49" t="s">
        <v>4559</v>
      </c>
      <c r="J25" s="49" t="s">
        <v>4560</v>
      </c>
      <c r="K25" s="49" t="s">
        <v>4182</v>
      </c>
      <c r="L25" s="49" t="s">
        <v>4561</v>
      </c>
      <c r="M25" s="49" t="s">
        <v>4562</v>
      </c>
      <c r="N25" s="49" t="s">
        <v>3813</v>
      </c>
      <c r="O25" s="49" t="s">
        <v>3813</v>
      </c>
      <c r="P25" s="49" t="s">
        <v>4563</v>
      </c>
      <c r="Q25" s="49" t="s">
        <v>4564</v>
      </c>
      <c r="R25" s="49" t="s">
        <v>4187</v>
      </c>
      <c r="S25" s="49" t="s">
        <v>4565</v>
      </c>
      <c r="T25" s="49" t="s">
        <v>4566</v>
      </c>
      <c r="U25" s="49" t="s">
        <v>4567</v>
      </c>
      <c r="V25" s="49" t="s">
        <v>4568</v>
      </c>
      <c r="W25" s="49" t="s">
        <v>4569</v>
      </c>
      <c r="X25" s="49" t="s">
        <v>4570</v>
      </c>
      <c r="Y25" s="49" t="s">
        <v>4194</v>
      </c>
      <c r="Z25" s="49" t="s">
        <v>3768</v>
      </c>
      <c r="AA25" s="49" t="s">
        <v>3768</v>
      </c>
      <c r="AB25" s="49" t="s">
        <v>3768</v>
      </c>
      <c r="AC25" s="49" t="s">
        <v>3768</v>
      </c>
      <c r="AD25" s="49" t="s">
        <v>4571</v>
      </c>
      <c r="AE25" s="49" t="s">
        <v>3813</v>
      </c>
      <c r="AF25" s="49" t="s">
        <v>4196</v>
      </c>
      <c r="AG25" s="49" t="s">
        <v>3768</v>
      </c>
      <c r="AH25" s="49" t="s">
        <v>3768</v>
      </c>
      <c r="AI25" s="49" t="s">
        <v>3768</v>
      </c>
      <c r="AJ25" s="49" t="s">
        <v>3768</v>
      </c>
      <c r="AK25" s="49" t="s">
        <v>3813</v>
      </c>
      <c r="AL25" s="49" t="s">
        <v>3813</v>
      </c>
      <c r="AM25" s="49" t="s">
        <v>4096</v>
      </c>
      <c r="AN25" s="49" t="s">
        <v>3813</v>
      </c>
      <c r="AO25" s="49" t="s">
        <v>3768</v>
      </c>
      <c r="AP25" s="49" t="s">
        <v>3768</v>
      </c>
      <c r="AQ25" s="49" t="s">
        <v>3768</v>
      </c>
      <c r="AR25" s="49" t="s">
        <v>3813</v>
      </c>
      <c r="AS25" s="49" t="s">
        <v>3768</v>
      </c>
      <c r="AT25" s="49" t="s">
        <v>3813</v>
      </c>
      <c r="AU25" s="49" t="s">
        <v>3813</v>
      </c>
      <c r="AV25" s="49" t="s">
        <v>84</v>
      </c>
      <c r="AW25" s="49" t="s">
        <v>4572</v>
      </c>
      <c r="AX25" s="49" t="s">
        <v>4573</v>
      </c>
      <c r="AY25" s="49" t="s">
        <v>4574</v>
      </c>
      <c r="AZ25" s="49" t="s">
        <v>4575</v>
      </c>
      <c r="BA25" s="49" t="s">
        <v>4576</v>
      </c>
      <c r="BB25" s="49" t="s">
        <v>4577</v>
      </c>
      <c r="BC25" s="49" t="s">
        <v>4578</v>
      </c>
      <c r="BD25" s="49" t="s">
        <v>4579</v>
      </c>
      <c r="BE25" s="49" t="s">
        <v>3768</v>
      </c>
      <c r="BF25" s="49" t="s">
        <v>4580</v>
      </c>
      <c r="BG25" s="49" t="s">
        <v>3768</v>
      </c>
      <c r="BH25" s="49" t="s">
        <v>3768</v>
      </c>
      <c r="BI25" s="49" t="s">
        <v>3768</v>
      </c>
      <c r="BJ25" s="49" t="s">
        <v>3768</v>
      </c>
      <c r="BK25" s="49" t="s">
        <v>4207</v>
      </c>
      <c r="BL25" s="49" t="s">
        <v>4581</v>
      </c>
      <c r="BM25" s="49" t="s">
        <v>4582</v>
      </c>
      <c r="BN25" s="49" t="s">
        <v>4583</v>
      </c>
      <c r="BO25" s="49" t="s">
        <v>4584</v>
      </c>
      <c r="BP25" s="49" t="s">
        <v>4585</v>
      </c>
      <c r="BQ25" s="49" t="s">
        <v>4586</v>
      </c>
      <c r="BR25" s="49" t="s">
        <v>4113</v>
      </c>
      <c r="BS25" s="49" t="s">
        <v>4114</v>
      </c>
      <c r="BT25" s="49" t="s">
        <v>4587</v>
      </c>
    </row>
    <row r="26" spans="1:72" ht="45" customHeight="1">
      <c r="A26" s="49" t="s">
        <v>398</v>
      </c>
      <c r="B26" s="49" t="s">
        <v>399</v>
      </c>
      <c r="C26" s="49">
        <v>2026</v>
      </c>
      <c r="D26" s="49" t="s">
        <v>198</v>
      </c>
      <c r="E26" s="49" t="s">
        <v>401</v>
      </c>
      <c r="F26" s="49" t="s">
        <v>4588</v>
      </c>
      <c r="G26" s="49" t="s">
        <v>4077</v>
      </c>
      <c r="H26" s="49" t="s">
        <v>4589</v>
      </c>
      <c r="I26" s="49" t="s">
        <v>4590</v>
      </c>
      <c r="J26" s="49" t="s">
        <v>4591</v>
      </c>
      <c r="K26" s="49" t="s">
        <v>4592</v>
      </c>
      <c r="L26" s="49" t="s">
        <v>4593</v>
      </c>
      <c r="M26" s="49" t="s">
        <v>4594</v>
      </c>
      <c r="N26" s="49" t="s">
        <v>3813</v>
      </c>
      <c r="O26" s="49" t="s">
        <v>4595</v>
      </c>
      <c r="P26" s="49" t="s">
        <v>4596</v>
      </c>
      <c r="Q26" s="49" t="s">
        <v>4597</v>
      </c>
      <c r="R26" s="49" t="s">
        <v>84</v>
      </c>
      <c r="S26" s="49" t="s">
        <v>4598</v>
      </c>
      <c r="T26" s="49" t="s">
        <v>4599</v>
      </c>
      <c r="U26" s="49" t="s">
        <v>4600</v>
      </c>
      <c r="V26" s="49" t="s">
        <v>84</v>
      </c>
      <c r="W26" s="49" t="s">
        <v>4601</v>
      </c>
      <c r="X26" s="49" t="s">
        <v>4602</v>
      </c>
      <c r="Y26" s="49" t="s">
        <v>4194</v>
      </c>
      <c r="Z26" s="49" t="s">
        <v>3768</v>
      </c>
      <c r="AA26" s="49" t="s">
        <v>3768</v>
      </c>
      <c r="AB26" s="49" t="s">
        <v>3768</v>
      </c>
      <c r="AC26" s="49" t="s">
        <v>3768</v>
      </c>
      <c r="AD26" s="49" t="s">
        <v>4603</v>
      </c>
      <c r="AE26" s="49" t="s">
        <v>3813</v>
      </c>
      <c r="AF26" s="49" t="s">
        <v>4196</v>
      </c>
      <c r="AG26" s="49" t="s">
        <v>3768</v>
      </c>
      <c r="AH26" s="49" t="s">
        <v>3813</v>
      </c>
      <c r="AI26" s="49" t="s">
        <v>3768</v>
      </c>
      <c r="AJ26" s="49" t="s">
        <v>3768</v>
      </c>
      <c r="AK26" s="49" t="s">
        <v>3768</v>
      </c>
      <c r="AL26" s="49" t="s">
        <v>3813</v>
      </c>
      <c r="AM26" s="49" t="s">
        <v>4096</v>
      </c>
      <c r="AN26" s="49" t="s">
        <v>3813</v>
      </c>
      <c r="AO26" s="49" t="s">
        <v>3768</v>
      </c>
      <c r="AP26" s="49" t="s">
        <v>3768</v>
      </c>
      <c r="AQ26" s="49" t="s">
        <v>3768</v>
      </c>
      <c r="AR26" s="49" t="s">
        <v>3768</v>
      </c>
      <c r="AS26" s="49" t="s">
        <v>3768</v>
      </c>
      <c r="AT26" s="49" t="s">
        <v>3768</v>
      </c>
      <c r="AU26" s="49" t="s">
        <v>3813</v>
      </c>
      <c r="AV26" s="49" t="s">
        <v>4604</v>
      </c>
      <c r="AW26" s="49" t="s">
        <v>4605</v>
      </c>
      <c r="AX26" s="49" t="s">
        <v>4606</v>
      </c>
      <c r="AY26" s="49" t="s">
        <v>4607</v>
      </c>
      <c r="AZ26" s="49" t="s">
        <v>4608</v>
      </c>
      <c r="BA26" s="49" t="s">
        <v>4609</v>
      </c>
      <c r="BB26" s="49" t="s">
        <v>4610</v>
      </c>
      <c r="BC26" s="49" t="s">
        <v>4611</v>
      </c>
      <c r="BD26" s="49" t="s">
        <v>4612</v>
      </c>
      <c r="BE26" s="49" t="s">
        <v>3768</v>
      </c>
      <c r="BF26" s="49" t="s">
        <v>4613</v>
      </c>
      <c r="BG26" s="49" t="s">
        <v>4243</v>
      </c>
      <c r="BH26" s="49" t="s">
        <v>4243</v>
      </c>
      <c r="BI26" s="49" t="s">
        <v>3768</v>
      </c>
      <c r="BJ26" s="49" t="s">
        <v>3768</v>
      </c>
      <c r="BK26" s="49" t="s">
        <v>4171</v>
      </c>
      <c r="BL26" s="49" t="s">
        <v>4614</v>
      </c>
      <c r="BM26" s="49" t="s">
        <v>4615</v>
      </c>
      <c r="BN26" s="49" t="s">
        <v>4616</v>
      </c>
      <c r="BO26" s="49" t="s">
        <v>4617</v>
      </c>
      <c r="BP26" s="49" t="s">
        <v>4618</v>
      </c>
      <c r="BQ26" s="49" t="s">
        <v>4619</v>
      </c>
      <c r="BR26" s="49" t="s">
        <v>4113</v>
      </c>
      <c r="BS26" s="49" t="s">
        <v>4114</v>
      </c>
      <c r="BT26" s="49" t="s">
        <v>4620</v>
      </c>
    </row>
    <row r="27" spans="1:72" ht="45" customHeight="1">
      <c r="A27" s="49" t="s">
        <v>405</v>
      </c>
      <c r="B27" s="49" t="s">
        <v>406</v>
      </c>
      <c r="C27" s="49">
        <v>2024</v>
      </c>
      <c r="D27" s="49" t="s">
        <v>269</v>
      </c>
      <c r="E27" s="49" t="s">
        <v>408</v>
      </c>
      <c r="F27" s="49" t="s">
        <v>4588</v>
      </c>
      <c r="G27" s="49" t="s">
        <v>4077</v>
      </c>
      <c r="H27" s="49" t="s">
        <v>4621</v>
      </c>
      <c r="I27" s="49" t="s">
        <v>4622</v>
      </c>
      <c r="J27" s="49" t="s">
        <v>4623</v>
      </c>
      <c r="K27" s="49" t="s">
        <v>4119</v>
      </c>
      <c r="L27" s="49" t="s">
        <v>4624</v>
      </c>
      <c r="M27" s="49" t="s">
        <v>3813</v>
      </c>
      <c r="N27" s="49" t="s">
        <v>3813</v>
      </c>
      <c r="O27" s="49" t="s">
        <v>3813</v>
      </c>
      <c r="P27" s="49" t="s">
        <v>4625</v>
      </c>
      <c r="Q27" s="49" t="s">
        <v>4626</v>
      </c>
      <c r="R27" s="49" t="s">
        <v>84</v>
      </c>
      <c r="S27" s="49" t="s">
        <v>4627</v>
      </c>
      <c r="T27" s="49" t="s">
        <v>4628</v>
      </c>
      <c r="U27" s="49" t="s">
        <v>4629</v>
      </c>
      <c r="V27" s="49" t="s">
        <v>84</v>
      </c>
      <c r="W27" s="49" t="s">
        <v>4630</v>
      </c>
      <c r="X27" s="49" t="s">
        <v>4631</v>
      </c>
      <c r="Y27" s="49" t="s">
        <v>4194</v>
      </c>
      <c r="Z27" s="49" t="s">
        <v>3768</v>
      </c>
      <c r="AA27" s="49" t="s">
        <v>3768</v>
      </c>
      <c r="AB27" s="49" t="s">
        <v>3768</v>
      </c>
      <c r="AC27" s="49" t="s">
        <v>3813</v>
      </c>
      <c r="AD27" s="49" t="s">
        <v>4632</v>
      </c>
      <c r="AE27" s="49" t="s">
        <v>3768</v>
      </c>
      <c r="AF27" s="49" t="s">
        <v>4196</v>
      </c>
      <c r="AG27" s="49" t="s">
        <v>3768</v>
      </c>
      <c r="AH27" s="49" t="s">
        <v>3768</v>
      </c>
      <c r="AI27" s="49" t="s">
        <v>3813</v>
      </c>
      <c r="AJ27" s="49" t="s">
        <v>3768</v>
      </c>
      <c r="AK27" s="49" t="s">
        <v>3768</v>
      </c>
      <c r="AL27" s="49" t="s">
        <v>3813</v>
      </c>
      <c r="AM27" s="49" t="s">
        <v>4096</v>
      </c>
      <c r="AN27" s="49" t="s">
        <v>3813</v>
      </c>
      <c r="AO27" s="49" t="s">
        <v>3813</v>
      </c>
      <c r="AP27" s="49" t="s">
        <v>3813</v>
      </c>
      <c r="AQ27" s="49" t="s">
        <v>3813</v>
      </c>
      <c r="AR27" s="49" t="s">
        <v>3813</v>
      </c>
      <c r="AS27" s="49" t="s">
        <v>3813</v>
      </c>
      <c r="AT27" s="49" t="s">
        <v>3813</v>
      </c>
      <c r="AU27" s="49" t="s">
        <v>3813</v>
      </c>
      <c r="AV27" s="49" t="s">
        <v>84</v>
      </c>
      <c r="AW27" s="49" t="s">
        <v>4633</v>
      </c>
      <c r="AX27" s="49" t="s">
        <v>4634</v>
      </c>
      <c r="AY27" s="49" t="s">
        <v>4635</v>
      </c>
      <c r="AZ27" s="49" t="s">
        <v>4101</v>
      </c>
      <c r="BA27" s="49" t="s">
        <v>4636</v>
      </c>
      <c r="BB27" s="49" t="s">
        <v>4637</v>
      </c>
      <c r="BC27" s="49" t="s">
        <v>4638</v>
      </c>
      <c r="BD27" s="49" t="s">
        <v>4639</v>
      </c>
      <c r="BE27" s="49" t="s">
        <v>3768</v>
      </c>
      <c r="BF27" s="49" t="s">
        <v>3813</v>
      </c>
      <c r="BG27" s="49" t="s">
        <v>3768</v>
      </c>
      <c r="BH27" s="49" t="s">
        <v>3768</v>
      </c>
      <c r="BI27" s="49" t="s">
        <v>3768</v>
      </c>
      <c r="BJ27" s="49" t="s">
        <v>3768</v>
      </c>
      <c r="BK27" s="49" t="s">
        <v>4106</v>
      </c>
      <c r="BL27" s="49" t="s">
        <v>4640</v>
      </c>
      <c r="BM27" s="49" t="s">
        <v>4641</v>
      </c>
      <c r="BN27" s="49" t="s">
        <v>4642</v>
      </c>
      <c r="BO27" s="49" t="s">
        <v>4643</v>
      </c>
      <c r="BP27" s="49" t="s">
        <v>4644</v>
      </c>
      <c r="BQ27" s="49" t="s">
        <v>4645</v>
      </c>
      <c r="BR27" s="49" t="s">
        <v>4113</v>
      </c>
      <c r="BS27" s="49" t="s">
        <v>4114</v>
      </c>
      <c r="BT27" s="49" t="s">
        <v>4646</v>
      </c>
    </row>
    <row r="28" spans="1:72" ht="45" customHeight="1">
      <c r="A28" s="49" t="s">
        <v>419</v>
      </c>
      <c r="B28" s="49" t="s">
        <v>420</v>
      </c>
      <c r="C28" s="49">
        <v>2024</v>
      </c>
      <c r="D28" s="49" t="s">
        <v>422</v>
      </c>
      <c r="E28" s="49" t="s">
        <v>423</v>
      </c>
      <c r="F28" s="49" t="s">
        <v>4076</v>
      </c>
      <c r="G28" s="49" t="s">
        <v>4077</v>
      </c>
      <c r="H28" s="49" t="s">
        <v>4647</v>
      </c>
      <c r="I28" s="49" t="s">
        <v>4648</v>
      </c>
      <c r="J28" s="49" t="s">
        <v>4649</v>
      </c>
      <c r="K28" s="49" t="s">
        <v>4081</v>
      </c>
      <c r="L28" s="49" t="s">
        <v>4650</v>
      </c>
      <c r="M28" s="49" t="s">
        <v>3813</v>
      </c>
      <c r="N28" s="49" t="s">
        <v>4651</v>
      </c>
      <c r="O28" s="49" t="s">
        <v>3813</v>
      </c>
      <c r="P28" s="49" t="s">
        <v>4652</v>
      </c>
      <c r="Q28" s="49" t="s">
        <v>4653</v>
      </c>
      <c r="R28" s="49" t="s">
        <v>4654</v>
      </c>
      <c r="S28" s="49" t="s">
        <v>4655</v>
      </c>
      <c r="T28" s="49" t="s">
        <v>4656</v>
      </c>
      <c r="U28" s="49" t="s">
        <v>4657</v>
      </c>
      <c r="V28" s="49" t="s">
        <v>4654</v>
      </c>
      <c r="W28" s="49" t="s">
        <v>4658</v>
      </c>
      <c r="X28" s="49" t="s">
        <v>4659</v>
      </c>
      <c r="Y28" s="49" t="s">
        <v>4093</v>
      </c>
      <c r="Z28" s="49" t="s">
        <v>3813</v>
      </c>
      <c r="AA28" s="49" t="s">
        <v>3768</v>
      </c>
      <c r="AB28" s="49" t="s">
        <v>3813</v>
      </c>
      <c r="AC28" s="49" t="s">
        <v>3813</v>
      </c>
      <c r="AD28" s="49" t="s">
        <v>4660</v>
      </c>
      <c r="AE28" s="49" t="s">
        <v>3813</v>
      </c>
      <c r="AF28" s="49" t="s">
        <v>4095</v>
      </c>
      <c r="AG28" s="49" t="s">
        <v>3768</v>
      </c>
      <c r="AH28" s="49" t="s">
        <v>3813</v>
      </c>
      <c r="AI28" s="49" t="s">
        <v>3813</v>
      </c>
      <c r="AJ28" s="49" t="s">
        <v>3813</v>
      </c>
      <c r="AK28" s="49" t="s">
        <v>3813</v>
      </c>
      <c r="AL28" s="49" t="s">
        <v>3813</v>
      </c>
      <c r="AM28" s="49" t="s">
        <v>4096</v>
      </c>
      <c r="AN28" s="49" t="s">
        <v>3813</v>
      </c>
      <c r="AO28" s="49" t="s">
        <v>3813</v>
      </c>
      <c r="AP28" s="49" t="s">
        <v>3813</v>
      </c>
      <c r="AQ28" s="49" t="s">
        <v>3813</v>
      </c>
      <c r="AR28" s="49" t="s">
        <v>3813</v>
      </c>
      <c r="AS28" s="49" t="s">
        <v>3813</v>
      </c>
      <c r="AT28" s="49" t="s">
        <v>3813</v>
      </c>
      <c r="AU28" s="49" t="s">
        <v>3813</v>
      </c>
      <c r="AV28" s="49" t="s">
        <v>84</v>
      </c>
      <c r="AW28" s="49" t="s">
        <v>4661</v>
      </c>
      <c r="AX28" s="49" t="s">
        <v>4662</v>
      </c>
      <c r="AY28" s="49" t="s">
        <v>4663</v>
      </c>
      <c r="AZ28" s="49" t="s">
        <v>4101</v>
      </c>
      <c r="BA28" s="49" t="s">
        <v>4664</v>
      </c>
      <c r="BB28" s="49" t="s">
        <v>4665</v>
      </c>
      <c r="BC28" s="49" t="s">
        <v>4666</v>
      </c>
      <c r="BD28" s="49" t="s">
        <v>4649</v>
      </c>
      <c r="BE28" s="49" t="s">
        <v>3768</v>
      </c>
      <c r="BF28" s="49" t="s">
        <v>4667</v>
      </c>
      <c r="BG28" s="49" t="s">
        <v>3768</v>
      </c>
      <c r="BH28" s="49" t="s">
        <v>3768</v>
      </c>
      <c r="BI28" s="49" t="s">
        <v>3768</v>
      </c>
      <c r="BJ28" s="49" t="s">
        <v>3768</v>
      </c>
      <c r="BK28" s="49" t="s">
        <v>4171</v>
      </c>
      <c r="BL28" s="49" t="s">
        <v>4668</v>
      </c>
      <c r="BM28" s="49" t="s">
        <v>4669</v>
      </c>
      <c r="BN28" s="49" t="s">
        <v>4670</v>
      </c>
      <c r="BO28" s="49" t="s">
        <v>4671</v>
      </c>
      <c r="BP28" s="49" t="s">
        <v>4672</v>
      </c>
      <c r="BQ28" s="49" t="s">
        <v>4673</v>
      </c>
      <c r="BR28" s="49" t="s">
        <v>4113</v>
      </c>
      <c r="BS28" s="49" t="s">
        <v>4114</v>
      </c>
      <c r="BT28" s="49" t="s">
        <v>4674</v>
      </c>
    </row>
    <row r="29" spans="1:72" ht="45" customHeight="1">
      <c r="A29" s="49" t="s">
        <v>435</v>
      </c>
      <c r="B29" s="49" t="s">
        <v>436</v>
      </c>
      <c r="C29" s="49">
        <v>2024</v>
      </c>
      <c r="D29" s="49" t="s">
        <v>438</v>
      </c>
      <c r="E29" s="49" t="s">
        <v>439</v>
      </c>
      <c r="F29" s="49" t="s">
        <v>4076</v>
      </c>
      <c r="G29" s="49" t="s">
        <v>4077</v>
      </c>
      <c r="H29" s="49" t="s">
        <v>6510</v>
      </c>
      <c r="I29" s="49" t="s">
        <v>6511</v>
      </c>
      <c r="J29" s="49" t="s">
        <v>6512</v>
      </c>
      <c r="K29" s="49" t="s">
        <v>4119</v>
      </c>
      <c r="L29" s="49" t="s">
        <v>6513</v>
      </c>
      <c r="M29" s="49" t="s">
        <v>3813</v>
      </c>
      <c r="N29" s="49" t="s">
        <v>3813</v>
      </c>
      <c r="O29" s="49" t="s">
        <v>3813</v>
      </c>
      <c r="P29" s="49" t="s">
        <v>3813</v>
      </c>
      <c r="Q29" s="49" t="s">
        <v>6514</v>
      </c>
      <c r="R29" s="49" t="s">
        <v>6515</v>
      </c>
      <c r="S29" s="49" t="s">
        <v>6516</v>
      </c>
      <c r="T29" s="49" t="s">
        <v>6517</v>
      </c>
      <c r="U29" s="49" t="s">
        <v>6518</v>
      </c>
      <c r="V29" s="49" t="s">
        <v>4479</v>
      </c>
      <c r="W29" s="49" t="s">
        <v>6519</v>
      </c>
      <c r="X29" s="49" t="s">
        <v>6520</v>
      </c>
      <c r="Y29" s="49" t="s">
        <v>4127</v>
      </c>
      <c r="Z29" s="49" t="s">
        <v>3768</v>
      </c>
      <c r="AA29" s="49" t="s">
        <v>3813</v>
      </c>
      <c r="AB29" s="49" t="s">
        <v>3813</v>
      </c>
      <c r="AC29" s="49" t="s">
        <v>3813</v>
      </c>
      <c r="AD29" s="49" t="s">
        <v>4416</v>
      </c>
      <c r="AE29" s="49" t="s">
        <v>3768</v>
      </c>
      <c r="AF29" s="49" t="s">
        <v>4129</v>
      </c>
      <c r="AG29" s="49" t="s">
        <v>3813</v>
      </c>
      <c r="AH29" s="49" t="s">
        <v>3813</v>
      </c>
      <c r="AI29" s="49" t="s">
        <v>3813</v>
      </c>
      <c r="AJ29" s="49" t="s">
        <v>3813</v>
      </c>
      <c r="AK29" s="49" t="s">
        <v>3813</v>
      </c>
      <c r="AL29" s="49" t="s">
        <v>3813</v>
      </c>
      <c r="AM29" s="49" t="s">
        <v>84</v>
      </c>
      <c r="AN29" s="49" t="s">
        <v>84</v>
      </c>
      <c r="AO29" s="49" t="s">
        <v>3813</v>
      </c>
      <c r="AP29" s="49" t="s">
        <v>3813</v>
      </c>
      <c r="AQ29" s="49" t="s">
        <v>3813</v>
      </c>
      <c r="AR29" s="49" t="s">
        <v>3813</v>
      </c>
      <c r="AS29" s="49" t="s">
        <v>3813</v>
      </c>
      <c r="AT29" s="49" t="s">
        <v>3813</v>
      </c>
      <c r="AU29" s="49" t="s">
        <v>3813</v>
      </c>
      <c r="AV29" s="49" t="s">
        <v>6521</v>
      </c>
      <c r="AW29" s="49" t="s">
        <v>6522</v>
      </c>
      <c r="AX29" s="49" t="s">
        <v>6523</v>
      </c>
      <c r="AY29" s="49" t="s">
        <v>6524</v>
      </c>
      <c r="AZ29" s="49" t="s">
        <v>4101</v>
      </c>
      <c r="BA29" s="49" t="s">
        <v>6525</v>
      </c>
      <c r="BB29" s="49" t="s">
        <v>6526</v>
      </c>
      <c r="BC29" s="49" t="s">
        <v>6527</v>
      </c>
      <c r="BD29" s="49" t="s">
        <v>6528</v>
      </c>
      <c r="BE29" s="49" t="s">
        <v>3813</v>
      </c>
      <c r="BF29" s="49" t="s">
        <v>3813</v>
      </c>
      <c r="BG29" s="49" t="s">
        <v>3813</v>
      </c>
      <c r="BH29" s="49" t="s">
        <v>3768</v>
      </c>
      <c r="BI29" s="49" t="s">
        <v>3768</v>
      </c>
      <c r="BJ29" s="49" t="s">
        <v>3813</v>
      </c>
      <c r="BK29" s="49" t="s">
        <v>4138</v>
      </c>
      <c r="BL29" s="49" t="s">
        <v>6529</v>
      </c>
      <c r="BM29" s="49" t="s">
        <v>6530</v>
      </c>
      <c r="BN29" s="49" t="s">
        <v>6531</v>
      </c>
      <c r="BO29" s="49" t="s">
        <v>6532</v>
      </c>
      <c r="BP29" s="49" t="s">
        <v>6533</v>
      </c>
      <c r="BQ29" s="49" t="s">
        <v>6534</v>
      </c>
      <c r="BR29" s="49" t="s">
        <v>4113</v>
      </c>
      <c r="BS29" s="49" t="s">
        <v>4114</v>
      </c>
      <c r="BT29" s="49" t="s">
        <v>7556</v>
      </c>
    </row>
    <row r="30" spans="1:72" ht="45" customHeight="1">
      <c r="A30" s="49" t="s">
        <v>443</v>
      </c>
      <c r="B30" s="49" t="s">
        <v>444</v>
      </c>
      <c r="C30" s="49">
        <v>2026</v>
      </c>
      <c r="D30" s="49" t="s">
        <v>415</v>
      </c>
      <c r="E30" s="49" t="s">
        <v>446</v>
      </c>
      <c r="F30" s="49" t="s">
        <v>4076</v>
      </c>
      <c r="G30" s="49" t="s">
        <v>4077</v>
      </c>
      <c r="H30" s="49" t="s">
        <v>6535</v>
      </c>
      <c r="I30" s="49" t="s">
        <v>6536</v>
      </c>
      <c r="J30" s="49" t="s">
        <v>6537</v>
      </c>
      <c r="K30" s="49" t="s">
        <v>4836</v>
      </c>
      <c r="L30" s="49" t="s">
        <v>6538</v>
      </c>
      <c r="M30" s="49" t="s">
        <v>6539</v>
      </c>
      <c r="N30" s="49" t="s">
        <v>6540</v>
      </c>
      <c r="O30" s="49" t="s">
        <v>3813</v>
      </c>
      <c r="P30" s="49" t="s">
        <v>3813</v>
      </c>
      <c r="Q30" s="49" t="s">
        <v>6541</v>
      </c>
      <c r="R30" s="49" t="s">
        <v>6542</v>
      </c>
      <c r="S30" s="49" t="s">
        <v>6543</v>
      </c>
      <c r="T30" s="49" t="s">
        <v>4101</v>
      </c>
      <c r="U30" s="49" t="s">
        <v>6544</v>
      </c>
      <c r="V30" s="49" t="s">
        <v>6545</v>
      </c>
      <c r="W30" s="49" t="s">
        <v>6546</v>
      </c>
      <c r="X30" s="49" t="s">
        <v>6547</v>
      </c>
      <c r="Y30" s="49" t="s">
        <v>4194</v>
      </c>
      <c r="Z30" s="49" t="s">
        <v>3768</v>
      </c>
      <c r="AA30" s="49" t="s">
        <v>3768</v>
      </c>
      <c r="AB30" s="49" t="s">
        <v>3768</v>
      </c>
      <c r="AC30" s="49" t="s">
        <v>3768</v>
      </c>
      <c r="AD30" s="49" t="s">
        <v>6548</v>
      </c>
      <c r="AE30" s="49" t="s">
        <v>3813</v>
      </c>
      <c r="AF30" s="49" t="s">
        <v>4129</v>
      </c>
      <c r="AG30" s="49" t="s">
        <v>4243</v>
      </c>
      <c r="AH30" s="49" t="s">
        <v>4243</v>
      </c>
      <c r="AI30" s="49" t="s">
        <v>3813</v>
      </c>
      <c r="AJ30" s="49" t="s">
        <v>3813</v>
      </c>
      <c r="AK30" s="49" t="s">
        <v>3813</v>
      </c>
      <c r="AL30" s="49" t="s">
        <v>3813</v>
      </c>
      <c r="AM30" s="49" t="s">
        <v>84</v>
      </c>
      <c r="AN30" s="49" t="s">
        <v>84</v>
      </c>
      <c r="AO30" s="49" t="s">
        <v>3768</v>
      </c>
      <c r="AP30" s="49" t="s">
        <v>3768</v>
      </c>
      <c r="AQ30" s="49" t="s">
        <v>3768</v>
      </c>
      <c r="AR30" s="49" t="s">
        <v>3768</v>
      </c>
      <c r="AS30" s="49" t="s">
        <v>3813</v>
      </c>
      <c r="AT30" s="49" t="s">
        <v>3813</v>
      </c>
      <c r="AU30" s="49" t="s">
        <v>3813</v>
      </c>
      <c r="AV30" s="49" t="s">
        <v>6549</v>
      </c>
      <c r="AW30" s="49" t="s">
        <v>4387</v>
      </c>
      <c r="AX30" s="49" t="s">
        <v>6550</v>
      </c>
      <c r="AY30" s="49" t="s">
        <v>6551</v>
      </c>
      <c r="AZ30" s="49" t="s">
        <v>6552</v>
      </c>
      <c r="BA30" s="49" t="s">
        <v>6553</v>
      </c>
      <c r="BB30" s="49" t="s">
        <v>6554</v>
      </c>
      <c r="BC30" s="49" t="s">
        <v>6555</v>
      </c>
      <c r="BD30" s="49" t="s">
        <v>6556</v>
      </c>
      <c r="BE30" s="49" t="s">
        <v>3768</v>
      </c>
      <c r="BF30" s="49" t="s">
        <v>6557</v>
      </c>
      <c r="BG30" s="49" t="s">
        <v>3813</v>
      </c>
      <c r="BH30" s="49" t="s">
        <v>3768</v>
      </c>
      <c r="BI30" s="49" t="s">
        <v>3768</v>
      </c>
      <c r="BJ30" s="49" t="s">
        <v>3813</v>
      </c>
      <c r="BK30" s="49" t="s">
        <v>4138</v>
      </c>
      <c r="BL30" s="49" t="s">
        <v>6558</v>
      </c>
      <c r="BM30" s="49" t="s">
        <v>6559</v>
      </c>
      <c r="BN30" s="49" t="s">
        <v>6560</v>
      </c>
      <c r="BO30" s="49" t="s">
        <v>6561</v>
      </c>
      <c r="BP30" s="49" t="s">
        <v>6562</v>
      </c>
      <c r="BQ30" s="49" t="s">
        <v>6563</v>
      </c>
      <c r="BR30" s="49" t="s">
        <v>4113</v>
      </c>
      <c r="BS30" s="49" t="s">
        <v>4114</v>
      </c>
      <c r="BT30" s="49" t="s">
        <v>7557</v>
      </c>
    </row>
    <row r="31" spans="1:72" ht="45" customHeight="1">
      <c r="A31" s="49" t="s">
        <v>450</v>
      </c>
      <c r="B31" s="49" t="s">
        <v>451</v>
      </c>
      <c r="C31" s="49">
        <v>2026</v>
      </c>
      <c r="D31" s="49" t="s">
        <v>453</v>
      </c>
      <c r="E31" s="49" t="s">
        <v>454</v>
      </c>
      <c r="F31" s="49" t="s">
        <v>4770</v>
      </c>
      <c r="G31" s="49" t="s">
        <v>4077</v>
      </c>
      <c r="H31" s="49" t="s">
        <v>6564</v>
      </c>
      <c r="I31" s="49" t="s">
        <v>6565</v>
      </c>
      <c r="J31" s="49" t="s">
        <v>6566</v>
      </c>
      <c r="K31" s="49" t="s">
        <v>6567</v>
      </c>
      <c r="L31" s="49" t="s">
        <v>6568</v>
      </c>
      <c r="M31" s="49" t="s">
        <v>6569</v>
      </c>
      <c r="N31" s="49" t="s">
        <v>6570</v>
      </c>
      <c r="O31" s="49" t="s">
        <v>3813</v>
      </c>
      <c r="P31" s="49" t="s">
        <v>6571</v>
      </c>
      <c r="Q31" s="49" t="s">
        <v>6572</v>
      </c>
      <c r="R31" s="49" t="s">
        <v>6573</v>
      </c>
      <c r="S31" s="49" t="s">
        <v>6574</v>
      </c>
      <c r="T31" s="49" t="s">
        <v>6575</v>
      </c>
      <c r="U31" s="49" t="s">
        <v>6576</v>
      </c>
      <c r="V31" s="49" t="s">
        <v>6577</v>
      </c>
      <c r="W31" s="49" t="s">
        <v>6578</v>
      </c>
      <c r="X31" s="49" t="s">
        <v>6579</v>
      </c>
      <c r="Y31" s="49" t="s">
        <v>4093</v>
      </c>
      <c r="Z31" s="49" t="s">
        <v>3813</v>
      </c>
      <c r="AA31" s="49" t="s">
        <v>3768</v>
      </c>
      <c r="AB31" s="49" t="s">
        <v>4243</v>
      </c>
      <c r="AC31" s="49" t="s">
        <v>3768</v>
      </c>
      <c r="AD31" s="49" t="s">
        <v>6580</v>
      </c>
      <c r="AE31" s="49" t="s">
        <v>3813</v>
      </c>
      <c r="AF31" s="49" t="s">
        <v>4196</v>
      </c>
      <c r="AG31" s="49" t="s">
        <v>3768</v>
      </c>
      <c r="AH31" s="49" t="s">
        <v>3813</v>
      </c>
      <c r="AI31" s="49" t="s">
        <v>3768</v>
      </c>
      <c r="AJ31" s="49" t="s">
        <v>3768</v>
      </c>
      <c r="AK31" s="49" t="s">
        <v>3813</v>
      </c>
      <c r="AL31" s="49" t="s">
        <v>3813</v>
      </c>
      <c r="AM31" s="49" t="s">
        <v>4162</v>
      </c>
      <c r="AN31" s="49" t="s">
        <v>3813</v>
      </c>
      <c r="AO31" s="49" t="s">
        <v>3813</v>
      </c>
      <c r="AP31" s="49" t="s">
        <v>3813</v>
      </c>
      <c r="AQ31" s="49" t="s">
        <v>3813</v>
      </c>
      <c r="AR31" s="49" t="s">
        <v>3813</v>
      </c>
      <c r="AS31" s="49" t="s">
        <v>3813</v>
      </c>
      <c r="AT31" s="49" t="s">
        <v>3813</v>
      </c>
      <c r="AU31" s="49" t="s">
        <v>3813</v>
      </c>
      <c r="AV31" s="49" t="s">
        <v>6581</v>
      </c>
      <c r="AW31" s="49" t="s">
        <v>6582</v>
      </c>
      <c r="AX31" s="49" t="s">
        <v>6583</v>
      </c>
      <c r="AY31" s="49" t="s">
        <v>6584</v>
      </c>
      <c r="AZ31" s="49" t="s">
        <v>4101</v>
      </c>
      <c r="BA31" s="49" t="s">
        <v>6585</v>
      </c>
      <c r="BB31" s="49" t="s">
        <v>6586</v>
      </c>
      <c r="BC31" s="49" t="s">
        <v>6587</v>
      </c>
      <c r="BD31" s="49" t="s">
        <v>6588</v>
      </c>
      <c r="BE31" s="49" t="s">
        <v>3813</v>
      </c>
      <c r="BF31" s="49" t="s">
        <v>6589</v>
      </c>
      <c r="BG31" s="49" t="s">
        <v>3813</v>
      </c>
      <c r="BH31" s="49" t="s">
        <v>4243</v>
      </c>
      <c r="BI31" s="49" t="s">
        <v>3813</v>
      </c>
      <c r="BJ31" s="49" t="s">
        <v>3813</v>
      </c>
      <c r="BK31" s="49" t="s">
        <v>4171</v>
      </c>
      <c r="BL31" s="49" t="s">
        <v>6590</v>
      </c>
      <c r="BM31" s="49" t="s">
        <v>6591</v>
      </c>
      <c r="BN31" s="49" t="s">
        <v>6592</v>
      </c>
      <c r="BO31" s="49" t="s">
        <v>6593</v>
      </c>
      <c r="BP31" s="49" t="s">
        <v>6594</v>
      </c>
      <c r="BQ31" s="49" t="s">
        <v>6595</v>
      </c>
      <c r="BR31" s="49" t="s">
        <v>4113</v>
      </c>
      <c r="BS31" s="49" t="s">
        <v>4114</v>
      </c>
      <c r="BT31" s="49" t="s">
        <v>7558</v>
      </c>
    </row>
    <row r="32" spans="1:72" ht="45" customHeight="1">
      <c r="A32" s="49" t="s">
        <v>482</v>
      </c>
      <c r="B32" s="49" t="s">
        <v>483</v>
      </c>
      <c r="C32" s="49">
        <v>2026</v>
      </c>
      <c r="D32" s="49" t="s">
        <v>485</v>
      </c>
      <c r="E32" s="49" t="s">
        <v>486</v>
      </c>
      <c r="F32" s="49" t="s">
        <v>4588</v>
      </c>
      <c r="G32" s="49" t="s">
        <v>4077</v>
      </c>
      <c r="H32" s="49" t="s">
        <v>4675</v>
      </c>
      <c r="I32" s="49" t="s">
        <v>4676</v>
      </c>
      <c r="J32" s="49" t="s">
        <v>4677</v>
      </c>
      <c r="K32" s="49" t="s">
        <v>4182</v>
      </c>
      <c r="L32" s="49" t="s">
        <v>4678</v>
      </c>
      <c r="M32" s="49" t="s">
        <v>4679</v>
      </c>
      <c r="N32" s="49" t="s">
        <v>3813</v>
      </c>
      <c r="O32" s="49" t="s">
        <v>3813</v>
      </c>
      <c r="P32" s="49" t="s">
        <v>4680</v>
      </c>
      <c r="Q32" s="49" t="s">
        <v>4681</v>
      </c>
      <c r="R32" s="49" t="s">
        <v>4682</v>
      </c>
      <c r="S32" s="49" t="s">
        <v>4683</v>
      </c>
      <c r="T32" s="49" t="s">
        <v>4684</v>
      </c>
      <c r="U32" s="49" t="s">
        <v>4685</v>
      </c>
      <c r="V32" s="49" t="s">
        <v>4686</v>
      </c>
      <c r="W32" s="49" t="s">
        <v>4687</v>
      </c>
      <c r="X32" s="49" t="s">
        <v>4688</v>
      </c>
      <c r="Y32" s="49" t="s">
        <v>4093</v>
      </c>
      <c r="Z32" s="49" t="s">
        <v>3813</v>
      </c>
      <c r="AA32" s="49" t="s">
        <v>3768</v>
      </c>
      <c r="AB32" s="49" t="s">
        <v>4243</v>
      </c>
      <c r="AC32" s="49" t="s">
        <v>3768</v>
      </c>
      <c r="AD32" s="49" t="s">
        <v>4689</v>
      </c>
      <c r="AE32" s="49" t="s">
        <v>3813</v>
      </c>
      <c r="AF32" s="49" t="s">
        <v>4129</v>
      </c>
      <c r="AG32" s="49" t="s">
        <v>3813</v>
      </c>
      <c r="AH32" s="49" t="s">
        <v>3813</v>
      </c>
      <c r="AI32" s="49" t="s">
        <v>3813</v>
      </c>
      <c r="AJ32" s="49" t="s">
        <v>3813</v>
      </c>
      <c r="AK32" s="49" t="s">
        <v>3813</v>
      </c>
      <c r="AL32" s="49" t="s">
        <v>3813</v>
      </c>
      <c r="AM32" s="49" t="s">
        <v>84</v>
      </c>
      <c r="AN32" s="49" t="s">
        <v>84</v>
      </c>
      <c r="AO32" s="49" t="s">
        <v>3768</v>
      </c>
      <c r="AP32" s="49" t="s">
        <v>3813</v>
      </c>
      <c r="AQ32" s="49" t="s">
        <v>3813</v>
      </c>
      <c r="AR32" s="49" t="s">
        <v>3813</v>
      </c>
      <c r="AS32" s="49" t="s">
        <v>3813</v>
      </c>
      <c r="AT32" s="49" t="s">
        <v>3813</v>
      </c>
      <c r="AU32" s="49" t="s">
        <v>3813</v>
      </c>
      <c r="AV32" s="49" t="s">
        <v>4690</v>
      </c>
      <c r="AW32" s="49" t="s">
        <v>4691</v>
      </c>
      <c r="AX32" s="49" t="s">
        <v>4692</v>
      </c>
      <c r="AY32" s="49" t="s">
        <v>84</v>
      </c>
      <c r="AZ32" s="49" t="s">
        <v>4693</v>
      </c>
      <c r="BA32" s="49" t="s">
        <v>4694</v>
      </c>
      <c r="BB32" s="49" t="s">
        <v>4695</v>
      </c>
      <c r="BC32" s="49" t="s">
        <v>4696</v>
      </c>
      <c r="BD32" s="49" t="s">
        <v>4697</v>
      </c>
      <c r="BE32" s="49" t="s">
        <v>3813</v>
      </c>
      <c r="BF32" s="49" t="s">
        <v>4698</v>
      </c>
      <c r="BG32" s="49" t="s">
        <v>3813</v>
      </c>
      <c r="BH32" s="49" t="s">
        <v>3768</v>
      </c>
      <c r="BI32" s="49" t="s">
        <v>3813</v>
      </c>
      <c r="BJ32" s="49" t="s">
        <v>3813</v>
      </c>
      <c r="BK32" s="49" t="s">
        <v>4138</v>
      </c>
      <c r="BL32" s="49" t="s">
        <v>4699</v>
      </c>
      <c r="BM32" s="49" t="s">
        <v>4700</v>
      </c>
      <c r="BN32" s="49" t="s">
        <v>4701</v>
      </c>
      <c r="BO32" s="49" t="s">
        <v>4702</v>
      </c>
      <c r="BP32" s="49" t="s">
        <v>4703</v>
      </c>
      <c r="BQ32" s="49" t="s">
        <v>4704</v>
      </c>
      <c r="BR32" s="49" t="s">
        <v>4113</v>
      </c>
      <c r="BS32" s="49" t="s">
        <v>4114</v>
      </c>
      <c r="BT32" s="49" t="s">
        <v>4705</v>
      </c>
    </row>
    <row r="33" spans="1:72" ht="45" customHeight="1">
      <c r="A33" s="49" t="s">
        <v>490</v>
      </c>
      <c r="B33" s="49" t="s">
        <v>491</v>
      </c>
      <c r="C33" s="49">
        <v>2025</v>
      </c>
      <c r="D33" s="49" t="s">
        <v>493</v>
      </c>
      <c r="E33" s="49" t="s">
        <v>494</v>
      </c>
      <c r="F33" s="49" t="s">
        <v>4076</v>
      </c>
      <c r="G33" s="49" t="s">
        <v>4077</v>
      </c>
      <c r="H33" s="49" t="s">
        <v>4706</v>
      </c>
      <c r="I33" s="49" t="s">
        <v>4707</v>
      </c>
      <c r="J33" s="49" t="s">
        <v>4708</v>
      </c>
      <c r="K33" s="49" t="s">
        <v>4709</v>
      </c>
      <c r="L33" s="49" t="s">
        <v>4710</v>
      </c>
      <c r="M33" s="49" t="s">
        <v>4711</v>
      </c>
      <c r="N33" s="49" t="s">
        <v>4712</v>
      </c>
      <c r="O33" s="49" t="s">
        <v>4713</v>
      </c>
      <c r="P33" s="49" t="s">
        <v>4714</v>
      </c>
      <c r="Q33" s="49" t="s">
        <v>4715</v>
      </c>
      <c r="R33" s="49" t="s">
        <v>4716</v>
      </c>
      <c r="S33" s="49" t="s">
        <v>4717</v>
      </c>
      <c r="T33" s="49" t="s">
        <v>4718</v>
      </c>
      <c r="U33" s="49" t="s">
        <v>4719</v>
      </c>
      <c r="V33" s="49" t="s">
        <v>4716</v>
      </c>
      <c r="W33" s="49" t="s">
        <v>4720</v>
      </c>
      <c r="X33" s="49" t="s">
        <v>4721</v>
      </c>
      <c r="Y33" s="49" t="s">
        <v>4194</v>
      </c>
      <c r="Z33" s="49" t="s">
        <v>3768</v>
      </c>
      <c r="AA33" s="49" t="s">
        <v>3768</v>
      </c>
      <c r="AB33" s="49" t="s">
        <v>3768</v>
      </c>
      <c r="AC33" s="49" t="s">
        <v>3768</v>
      </c>
      <c r="AD33" s="49" t="s">
        <v>4722</v>
      </c>
      <c r="AE33" s="49" t="s">
        <v>3813</v>
      </c>
      <c r="AF33" s="49" t="s">
        <v>4196</v>
      </c>
      <c r="AG33" s="49" t="s">
        <v>3768</v>
      </c>
      <c r="AH33" s="49" t="s">
        <v>3768</v>
      </c>
      <c r="AI33" s="49" t="s">
        <v>3813</v>
      </c>
      <c r="AJ33" s="49" t="s">
        <v>3768</v>
      </c>
      <c r="AK33" s="49" t="s">
        <v>3813</v>
      </c>
      <c r="AL33" s="49" t="s">
        <v>3813</v>
      </c>
      <c r="AM33" s="49" t="s">
        <v>4096</v>
      </c>
      <c r="AN33" s="49" t="s">
        <v>3813</v>
      </c>
      <c r="AO33" s="49" t="s">
        <v>3813</v>
      </c>
      <c r="AP33" s="49" t="s">
        <v>3813</v>
      </c>
      <c r="AQ33" s="49" t="s">
        <v>3813</v>
      </c>
      <c r="AR33" s="49" t="s">
        <v>3813</v>
      </c>
      <c r="AS33" s="49" t="s">
        <v>3813</v>
      </c>
      <c r="AT33" s="49" t="s">
        <v>3813</v>
      </c>
      <c r="AU33" s="49" t="s">
        <v>3813</v>
      </c>
      <c r="AV33" s="49" t="s">
        <v>4723</v>
      </c>
      <c r="AW33" s="49" t="s">
        <v>4724</v>
      </c>
      <c r="AX33" s="49" t="s">
        <v>4725</v>
      </c>
      <c r="AY33" s="49" t="s">
        <v>4726</v>
      </c>
      <c r="AZ33" s="49" t="s">
        <v>4727</v>
      </c>
      <c r="BA33" s="49" t="s">
        <v>4728</v>
      </c>
      <c r="BB33" s="49" t="s">
        <v>4729</v>
      </c>
      <c r="BC33" s="49" t="s">
        <v>4730</v>
      </c>
      <c r="BD33" s="49" t="s">
        <v>4731</v>
      </c>
      <c r="BE33" s="49" t="s">
        <v>3768</v>
      </c>
      <c r="BF33" s="49" t="s">
        <v>4732</v>
      </c>
      <c r="BG33" s="49" t="s">
        <v>3768</v>
      </c>
      <c r="BH33" s="49" t="s">
        <v>3768</v>
      </c>
      <c r="BI33" s="49" t="s">
        <v>3768</v>
      </c>
      <c r="BJ33" s="49" t="s">
        <v>3768</v>
      </c>
      <c r="BK33" s="49" t="s">
        <v>4106</v>
      </c>
      <c r="BL33" s="49" t="s">
        <v>4733</v>
      </c>
      <c r="BM33" s="49" t="s">
        <v>4734</v>
      </c>
      <c r="BN33" s="49" t="s">
        <v>4735</v>
      </c>
      <c r="BO33" s="49" t="s">
        <v>4736</v>
      </c>
      <c r="BP33" s="49" t="s">
        <v>4737</v>
      </c>
      <c r="BQ33" s="49" t="s">
        <v>4738</v>
      </c>
      <c r="BR33" s="49" t="s">
        <v>4113</v>
      </c>
      <c r="BS33" s="49" t="s">
        <v>4114</v>
      </c>
      <c r="BT33" s="49" t="s">
        <v>4739</v>
      </c>
    </row>
    <row r="34" spans="1:72" ht="45" customHeight="1">
      <c r="A34" s="49" t="s">
        <v>498</v>
      </c>
      <c r="B34" s="49" t="s">
        <v>499</v>
      </c>
      <c r="C34" s="49">
        <v>2024</v>
      </c>
      <c r="D34" s="49" t="s">
        <v>501</v>
      </c>
      <c r="E34" s="49" t="s">
        <v>502</v>
      </c>
      <c r="F34" s="49" t="s">
        <v>4076</v>
      </c>
      <c r="G34" s="49" t="s">
        <v>4077</v>
      </c>
      <c r="H34" s="49" t="s">
        <v>4740</v>
      </c>
      <c r="I34" s="49" t="s">
        <v>4741</v>
      </c>
      <c r="J34" s="49" t="s">
        <v>4742</v>
      </c>
      <c r="K34" s="49" t="s">
        <v>4182</v>
      </c>
      <c r="L34" s="49" t="s">
        <v>4743</v>
      </c>
      <c r="M34" s="49" t="s">
        <v>4744</v>
      </c>
      <c r="N34" s="49" t="s">
        <v>3813</v>
      </c>
      <c r="O34" s="49" t="s">
        <v>3813</v>
      </c>
      <c r="P34" s="49" t="s">
        <v>4745</v>
      </c>
      <c r="Q34" s="49" t="s">
        <v>4746</v>
      </c>
      <c r="R34" s="49" t="s">
        <v>4747</v>
      </c>
      <c r="S34" s="49" t="s">
        <v>4748</v>
      </c>
      <c r="T34" s="49" t="s">
        <v>4749</v>
      </c>
      <c r="U34" s="49" t="s">
        <v>4750</v>
      </c>
      <c r="V34" s="49" t="s">
        <v>4751</v>
      </c>
      <c r="W34" s="49" t="s">
        <v>4752</v>
      </c>
      <c r="X34" s="49" t="s">
        <v>4753</v>
      </c>
      <c r="Y34" s="49" t="s">
        <v>4160</v>
      </c>
      <c r="Z34" s="49" t="s">
        <v>3768</v>
      </c>
      <c r="AA34" s="49" t="s">
        <v>3768</v>
      </c>
      <c r="AB34" s="49" t="s">
        <v>3813</v>
      </c>
      <c r="AC34" s="49" t="s">
        <v>3768</v>
      </c>
      <c r="AD34" s="49" t="s">
        <v>4754</v>
      </c>
      <c r="AE34" s="49" t="s">
        <v>3813</v>
      </c>
      <c r="AF34" s="49" t="s">
        <v>4196</v>
      </c>
      <c r="AG34" s="49" t="s">
        <v>3768</v>
      </c>
      <c r="AH34" s="49" t="s">
        <v>3768</v>
      </c>
      <c r="AI34" s="49" t="s">
        <v>3813</v>
      </c>
      <c r="AJ34" s="49" t="s">
        <v>3768</v>
      </c>
      <c r="AK34" s="49" t="s">
        <v>3813</v>
      </c>
      <c r="AL34" s="49" t="s">
        <v>3813</v>
      </c>
      <c r="AM34" s="49" t="s">
        <v>4096</v>
      </c>
      <c r="AN34" s="49" t="s">
        <v>3813</v>
      </c>
      <c r="AO34" s="49" t="s">
        <v>3813</v>
      </c>
      <c r="AP34" s="49" t="s">
        <v>3813</v>
      </c>
      <c r="AQ34" s="49" t="s">
        <v>3813</v>
      </c>
      <c r="AR34" s="49" t="s">
        <v>3813</v>
      </c>
      <c r="AS34" s="49" t="s">
        <v>3813</v>
      </c>
      <c r="AT34" s="49" t="s">
        <v>3813</v>
      </c>
      <c r="AU34" s="49" t="s">
        <v>3813</v>
      </c>
      <c r="AV34" s="49" t="s">
        <v>84</v>
      </c>
      <c r="AW34" s="49" t="s">
        <v>4755</v>
      </c>
      <c r="AX34" s="49" t="s">
        <v>4756</v>
      </c>
      <c r="AY34" s="49" t="s">
        <v>4757</v>
      </c>
      <c r="AZ34" s="49" t="s">
        <v>84</v>
      </c>
      <c r="BA34" s="49" t="s">
        <v>4758</v>
      </c>
      <c r="BB34" s="49" t="s">
        <v>4759</v>
      </c>
      <c r="BC34" s="49" t="s">
        <v>4760</v>
      </c>
      <c r="BD34" s="49" t="s">
        <v>4761</v>
      </c>
      <c r="BE34" s="49" t="s">
        <v>3768</v>
      </c>
      <c r="BF34" s="49" t="s">
        <v>4762</v>
      </c>
      <c r="BG34" s="49" t="s">
        <v>3768</v>
      </c>
      <c r="BH34" s="49" t="s">
        <v>3768</v>
      </c>
      <c r="BI34" s="49" t="s">
        <v>3768</v>
      </c>
      <c r="BJ34" s="49" t="s">
        <v>3768</v>
      </c>
      <c r="BK34" s="49" t="s">
        <v>4106</v>
      </c>
      <c r="BL34" s="49" t="s">
        <v>4763</v>
      </c>
      <c r="BM34" s="49" t="s">
        <v>4764</v>
      </c>
      <c r="BN34" s="49" t="s">
        <v>4765</v>
      </c>
      <c r="BO34" s="49" t="s">
        <v>4766</v>
      </c>
      <c r="BP34" s="49" t="s">
        <v>4767</v>
      </c>
      <c r="BQ34" s="49" t="s">
        <v>4768</v>
      </c>
      <c r="BR34" s="49" t="s">
        <v>4113</v>
      </c>
      <c r="BS34" s="49" t="s">
        <v>4114</v>
      </c>
      <c r="BT34" s="49" t="s">
        <v>4769</v>
      </c>
    </row>
    <row r="35" spans="1:72" ht="45" customHeight="1">
      <c r="A35" s="49" t="s">
        <v>531</v>
      </c>
      <c r="B35" s="49" t="s">
        <v>532</v>
      </c>
      <c r="C35" s="49">
        <v>2021</v>
      </c>
      <c r="D35" s="49" t="s">
        <v>534</v>
      </c>
      <c r="E35" s="49" t="s">
        <v>535</v>
      </c>
      <c r="F35" s="49" t="s">
        <v>4770</v>
      </c>
      <c r="G35" s="49" t="s">
        <v>4077</v>
      </c>
      <c r="H35" s="49" t="s">
        <v>4771</v>
      </c>
      <c r="I35" s="49" t="s">
        <v>4772</v>
      </c>
      <c r="J35" s="49" t="s">
        <v>4773</v>
      </c>
      <c r="K35" s="49" t="s">
        <v>4774</v>
      </c>
      <c r="L35" s="49" t="s">
        <v>4775</v>
      </c>
      <c r="M35" s="49" t="s">
        <v>4776</v>
      </c>
      <c r="N35" s="49" t="s">
        <v>3813</v>
      </c>
      <c r="O35" s="49" t="s">
        <v>3813</v>
      </c>
      <c r="P35" s="49" t="s">
        <v>4777</v>
      </c>
      <c r="Q35" s="49" t="s">
        <v>4778</v>
      </c>
      <c r="R35" s="49" t="s">
        <v>4779</v>
      </c>
      <c r="S35" s="49" t="s">
        <v>4780</v>
      </c>
      <c r="T35" s="49" t="s">
        <v>4781</v>
      </c>
      <c r="U35" s="49" t="s">
        <v>4782</v>
      </c>
      <c r="V35" s="49" t="s">
        <v>4783</v>
      </c>
      <c r="W35" s="49" t="s">
        <v>4784</v>
      </c>
      <c r="X35" s="49" t="s">
        <v>4785</v>
      </c>
      <c r="Y35" s="49" t="s">
        <v>4127</v>
      </c>
      <c r="Z35" s="49" t="s">
        <v>3768</v>
      </c>
      <c r="AA35" s="49" t="s">
        <v>3813</v>
      </c>
      <c r="AB35" s="49" t="s">
        <v>3813</v>
      </c>
      <c r="AC35" s="49" t="s">
        <v>3813</v>
      </c>
      <c r="AD35" s="49" t="s">
        <v>4786</v>
      </c>
      <c r="AE35" s="49" t="s">
        <v>3768</v>
      </c>
      <c r="AF35" s="49" t="s">
        <v>4129</v>
      </c>
      <c r="AG35" s="49" t="s">
        <v>3813</v>
      </c>
      <c r="AH35" s="49" t="s">
        <v>3813</v>
      </c>
      <c r="AI35" s="49" t="s">
        <v>3813</v>
      </c>
      <c r="AJ35" s="49" t="s">
        <v>3813</v>
      </c>
      <c r="AK35" s="49" t="s">
        <v>3813</v>
      </c>
      <c r="AL35" s="49" t="s">
        <v>3813</v>
      </c>
      <c r="AM35" s="49" t="s">
        <v>84</v>
      </c>
      <c r="AN35" s="49" t="s">
        <v>84</v>
      </c>
      <c r="AO35" s="49" t="s">
        <v>3768</v>
      </c>
      <c r="AP35" s="49" t="s">
        <v>3813</v>
      </c>
      <c r="AQ35" s="49" t="s">
        <v>3813</v>
      </c>
      <c r="AR35" s="49" t="s">
        <v>3813</v>
      </c>
      <c r="AS35" s="49" t="s">
        <v>3813</v>
      </c>
      <c r="AT35" s="49" t="s">
        <v>3813</v>
      </c>
      <c r="AU35" s="49" t="s">
        <v>3813</v>
      </c>
      <c r="AV35" s="49" t="s">
        <v>4788</v>
      </c>
      <c r="AW35" s="49" t="s">
        <v>4789</v>
      </c>
      <c r="AX35" s="49" t="s">
        <v>4790</v>
      </c>
      <c r="AY35" s="49" t="s">
        <v>4791</v>
      </c>
      <c r="AZ35" s="49" t="s">
        <v>4792</v>
      </c>
      <c r="BA35" s="49" t="s">
        <v>4793</v>
      </c>
      <c r="BB35" s="49" t="s">
        <v>4794</v>
      </c>
      <c r="BC35" s="49" t="s">
        <v>4795</v>
      </c>
      <c r="BD35" s="49" t="s">
        <v>4796</v>
      </c>
      <c r="BE35" s="49" t="s">
        <v>3813</v>
      </c>
      <c r="BF35" s="49" t="s">
        <v>3813</v>
      </c>
      <c r="BG35" s="49" t="s">
        <v>3813</v>
      </c>
      <c r="BH35" s="49" t="s">
        <v>3768</v>
      </c>
      <c r="BI35" s="49" t="s">
        <v>3813</v>
      </c>
      <c r="BJ35" s="49" t="s">
        <v>3813</v>
      </c>
      <c r="BK35" s="49" t="s">
        <v>4138</v>
      </c>
      <c r="BL35" s="49" t="s">
        <v>4797</v>
      </c>
      <c r="BM35" s="49" t="s">
        <v>4798</v>
      </c>
      <c r="BN35" s="49" t="s">
        <v>4799</v>
      </c>
      <c r="BO35" s="49" t="s">
        <v>4800</v>
      </c>
      <c r="BP35" s="49" t="s">
        <v>4801</v>
      </c>
      <c r="BQ35" s="49" t="s">
        <v>4802</v>
      </c>
      <c r="BR35" s="49" t="s">
        <v>4113</v>
      </c>
      <c r="BS35" s="49" t="s">
        <v>4114</v>
      </c>
      <c r="BT35" s="49" t="s">
        <v>4803</v>
      </c>
    </row>
    <row r="36" spans="1:72" ht="45" customHeight="1">
      <c r="A36" s="49" t="s">
        <v>538</v>
      </c>
      <c r="B36" s="49" t="s">
        <v>539</v>
      </c>
      <c r="C36" s="49">
        <v>2025</v>
      </c>
      <c r="D36" s="49" t="s">
        <v>540</v>
      </c>
      <c r="E36" s="49" t="s">
        <v>541</v>
      </c>
      <c r="F36" s="49" t="s">
        <v>4588</v>
      </c>
      <c r="G36" s="49" t="s">
        <v>4077</v>
      </c>
      <c r="H36" s="49" t="s">
        <v>6596</v>
      </c>
      <c r="I36" s="49" t="s">
        <v>6597</v>
      </c>
      <c r="J36" s="49" t="s">
        <v>6598</v>
      </c>
      <c r="K36" s="49" t="s">
        <v>4119</v>
      </c>
      <c r="L36" s="49" t="s">
        <v>6599</v>
      </c>
      <c r="M36" s="49" t="s">
        <v>3813</v>
      </c>
      <c r="N36" s="49" t="s">
        <v>3813</v>
      </c>
      <c r="O36" s="49" t="s">
        <v>3813</v>
      </c>
      <c r="P36" s="49" t="s">
        <v>6600</v>
      </c>
      <c r="Q36" s="49" t="s">
        <v>6601</v>
      </c>
      <c r="R36" s="49" t="s">
        <v>6602</v>
      </c>
      <c r="S36" s="49" t="s">
        <v>6603</v>
      </c>
      <c r="T36" s="49" t="s">
        <v>6604</v>
      </c>
      <c r="U36" s="49" t="s">
        <v>6605</v>
      </c>
      <c r="V36" s="49" t="s">
        <v>6606</v>
      </c>
      <c r="W36" s="49" t="s">
        <v>6607</v>
      </c>
      <c r="X36" s="49" t="s">
        <v>6608</v>
      </c>
      <c r="Y36" s="49" t="s">
        <v>4194</v>
      </c>
      <c r="Z36" s="49" t="s">
        <v>3768</v>
      </c>
      <c r="AA36" s="49" t="s">
        <v>3768</v>
      </c>
      <c r="AB36" s="49" t="s">
        <v>3768</v>
      </c>
      <c r="AC36" s="49" t="s">
        <v>3813</v>
      </c>
      <c r="AD36" s="49" t="s">
        <v>6609</v>
      </c>
      <c r="AE36" s="49" t="s">
        <v>3768</v>
      </c>
      <c r="AF36" s="49" t="s">
        <v>4196</v>
      </c>
      <c r="AG36" s="49" t="s">
        <v>3768</v>
      </c>
      <c r="AH36" s="49" t="s">
        <v>3768</v>
      </c>
      <c r="AI36" s="49" t="s">
        <v>3768</v>
      </c>
      <c r="AJ36" s="49" t="s">
        <v>3813</v>
      </c>
      <c r="AK36" s="49" t="s">
        <v>3768</v>
      </c>
      <c r="AL36" s="49" t="s">
        <v>3813</v>
      </c>
      <c r="AM36" s="49" t="s">
        <v>4096</v>
      </c>
      <c r="AN36" s="49" t="s">
        <v>3813</v>
      </c>
      <c r="AO36" s="49" t="s">
        <v>3768</v>
      </c>
      <c r="AP36" s="49" t="s">
        <v>3768</v>
      </c>
      <c r="AQ36" s="49" t="s">
        <v>3768</v>
      </c>
      <c r="AR36" s="49" t="s">
        <v>3813</v>
      </c>
      <c r="AS36" s="49" t="s">
        <v>3813</v>
      </c>
      <c r="AT36" s="49" t="s">
        <v>3813</v>
      </c>
      <c r="AU36" s="49" t="s">
        <v>3813</v>
      </c>
      <c r="AV36" s="49" t="s">
        <v>6610</v>
      </c>
      <c r="AW36" s="49" t="s">
        <v>6611</v>
      </c>
      <c r="AX36" s="49" t="s">
        <v>6612</v>
      </c>
      <c r="AY36" s="49" t="s">
        <v>6613</v>
      </c>
      <c r="AZ36" s="49" t="s">
        <v>6614</v>
      </c>
      <c r="BA36" s="49" t="s">
        <v>6615</v>
      </c>
      <c r="BB36" s="49" t="s">
        <v>6616</v>
      </c>
      <c r="BC36" s="49" t="s">
        <v>6617</v>
      </c>
      <c r="BD36" s="49" t="s">
        <v>6618</v>
      </c>
      <c r="BE36" s="49" t="s">
        <v>3768</v>
      </c>
      <c r="BF36" s="49" t="s">
        <v>3813</v>
      </c>
      <c r="BG36" s="49" t="s">
        <v>4243</v>
      </c>
      <c r="BH36" s="49" t="s">
        <v>3768</v>
      </c>
      <c r="BI36" s="49" t="s">
        <v>3768</v>
      </c>
      <c r="BJ36" s="49" t="s">
        <v>3768</v>
      </c>
      <c r="BK36" s="49" t="s">
        <v>4106</v>
      </c>
      <c r="BL36" s="49" t="s">
        <v>6619</v>
      </c>
      <c r="BM36" s="49" t="s">
        <v>6620</v>
      </c>
      <c r="BN36" s="49" t="s">
        <v>6621</v>
      </c>
      <c r="BO36" s="49" t="s">
        <v>6622</v>
      </c>
      <c r="BP36" s="49" t="s">
        <v>6623</v>
      </c>
      <c r="BQ36" s="49" t="s">
        <v>6624</v>
      </c>
      <c r="BR36" s="49" t="s">
        <v>4113</v>
      </c>
      <c r="BS36" s="49" t="s">
        <v>4114</v>
      </c>
      <c r="BT36" s="49" t="s">
        <v>7559</v>
      </c>
    </row>
    <row r="37" spans="1:72" ht="45" customHeight="1">
      <c r="A37" s="49" t="s">
        <v>545</v>
      </c>
      <c r="B37" s="49" t="s">
        <v>546</v>
      </c>
      <c r="C37" s="49">
        <v>2025</v>
      </c>
      <c r="D37" s="49" t="s">
        <v>438</v>
      </c>
      <c r="E37" s="49" t="s">
        <v>548</v>
      </c>
      <c r="F37" s="49" t="s">
        <v>4076</v>
      </c>
      <c r="G37" s="49" t="s">
        <v>4077</v>
      </c>
      <c r="H37" s="49" t="s">
        <v>4804</v>
      </c>
      <c r="I37" s="49" t="s">
        <v>4805</v>
      </c>
      <c r="J37" s="49" t="s">
        <v>4806</v>
      </c>
      <c r="K37" s="49" t="s">
        <v>4081</v>
      </c>
      <c r="L37" s="49" t="s">
        <v>4807</v>
      </c>
      <c r="M37" s="49" t="s">
        <v>3813</v>
      </c>
      <c r="N37" s="49" t="s">
        <v>4808</v>
      </c>
      <c r="O37" s="49" t="s">
        <v>3813</v>
      </c>
      <c r="P37" s="49" t="s">
        <v>84</v>
      </c>
      <c r="Q37" s="49" t="s">
        <v>4809</v>
      </c>
      <c r="R37" s="49" t="s">
        <v>4810</v>
      </c>
      <c r="S37" s="49" t="s">
        <v>4811</v>
      </c>
      <c r="T37" s="49" t="s">
        <v>4812</v>
      </c>
      <c r="U37" s="49" t="s">
        <v>4813</v>
      </c>
      <c r="V37" s="49" t="s">
        <v>4814</v>
      </c>
      <c r="W37" s="49" t="s">
        <v>4815</v>
      </c>
      <c r="X37" s="49" t="s">
        <v>4816</v>
      </c>
      <c r="Y37" s="49" t="s">
        <v>4127</v>
      </c>
      <c r="Z37" s="49" t="s">
        <v>3768</v>
      </c>
      <c r="AA37" s="49" t="s">
        <v>3813</v>
      </c>
      <c r="AB37" s="49" t="s">
        <v>3813</v>
      </c>
      <c r="AC37" s="49" t="s">
        <v>4243</v>
      </c>
      <c r="AD37" s="49" t="s">
        <v>4817</v>
      </c>
      <c r="AE37" s="49" t="s">
        <v>3813</v>
      </c>
      <c r="AF37" s="49" t="s">
        <v>4129</v>
      </c>
      <c r="AG37" s="49" t="s">
        <v>3813</v>
      </c>
      <c r="AH37" s="49" t="s">
        <v>3813</v>
      </c>
      <c r="AI37" s="49" t="s">
        <v>3813</v>
      </c>
      <c r="AJ37" s="49" t="s">
        <v>3813</v>
      </c>
      <c r="AK37" s="49" t="s">
        <v>3813</v>
      </c>
      <c r="AL37" s="49" t="s">
        <v>3813</v>
      </c>
      <c r="AM37" s="49" t="s">
        <v>84</v>
      </c>
      <c r="AN37" s="49" t="s">
        <v>84</v>
      </c>
      <c r="AO37" s="49" t="s">
        <v>3813</v>
      </c>
      <c r="AP37" s="49" t="s">
        <v>3813</v>
      </c>
      <c r="AQ37" s="49" t="s">
        <v>3813</v>
      </c>
      <c r="AR37" s="49" t="s">
        <v>3813</v>
      </c>
      <c r="AS37" s="49" t="s">
        <v>3813</v>
      </c>
      <c r="AT37" s="49" t="s">
        <v>3813</v>
      </c>
      <c r="AU37" s="49" t="s">
        <v>3813</v>
      </c>
      <c r="AV37" s="49" t="s">
        <v>4818</v>
      </c>
      <c r="AW37" s="49" t="s">
        <v>4819</v>
      </c>
      <c r="AX37" s="49" t="s">
        <v>4820</v>
      </c>
      <c r="AY37" s="49" t="s">
        <v>4821</v>
      </c>
      <c r="AZ37" s="49" t="s">
        <v>84</v>
      </c>
      <c r="BA37" s="49" t="s">
        <v>4822</v>
      </c>
      <c r="BB37" s="49" t="s">
        <v>4823</v>
      </c>
      <c r="BC37" s="49" t="s">
        <v>4824</v>
      </c>
      <c r="BD37" s="49" t="s">
        <v>4825</v>
      </c>
      <c r="BE37" s="49" t="s">
        <v>3768</v>
      </c>
      <c r="BF37" s="49" t="s">
        <v>3813</v>
      </c>
      <c r="BG37" s="49" t="s">
        <v>3813</v>
      </c>
      <c r="BH37" s="49" t="s">
        <v>3768</v>
      </c>
      <c r="BI37" s="49" t="s">
        <v>3768</v>
      </c>
      <c r="BJ37" s="49" t="s">
        <v>3813</v>
      </c>
      <c r="BK37" s="49" t="s">
        <v>4138</v>
      </c>
      <c r="BL37" s="49" t="s">
        <v>4826</v>
      </c>
      <c r="BM37" s="49" t="s">
        <v>4827</v>
      </c>
      <c r="BN37" s="49" t="s">
        <v>4828</v>
      </c>
      <c r="BO37" s="49" t="s">
        <v>4829</v>
      </c>
      <c r="BP37" s="49" t="s">
        <v>4830</v>
      </c>
      <c r="BQ37" s="49" t="s">
        <v>4831</v>
      </c>
      <c r="BR37" s="49" t="s">
        <v>4113</v>
      </c>
      <c r="BS37" s="49" t="s">
        <v>4114</v>
      </c>
      <c r="BT37" s="49" t="s">
        <v>4832</v>
      </c>
    </row>
    <row r="38" spans="1:72" ht="45" customHeight="1">
      <c r="A38" s="49" t="s">
        <v>560</v>
      </c>
      <c r="B38" s="49" t="s">
        <v>561</v>
      </c>
      <c r="C38" s="49">
        <v>2026</v>
      </c>
      <c r="D38" s="49" t="s">
        <v>3059</v>
      </c>
      <c r="E38" s="49" t="s">
        <v>563</v>
      </c>
      <c r="F38" s="49" t="s">
        <v>4076</v>
      </c>
      <c r="G38" s="49" t="s">
        <v>4077</v>
      </c>
      <c r="H38" s="49" t="s">
        <v>4833</v>
      </c>
      <c r="I38" s="49" t="s">
        <v>4834</v>
      </c>
      <c r="J38" s="49" t="s">
        <v>4835</v>
      </c>
      <c r="K38" s="49" t="s">
        <v>4836</v>
      </c>
      <c r="L38" s="49" t="s">
        <v>4837</v>
      </c>
      <c r="M38" s="49" t="s">
        <v>4838</v>
      </c>
      <c r="N38" s="49" t="s">
        <v>4839</v>
      </c>
      <c r="O38" s="49" t="s">
        <v>3813</v>
      </c>
      <c r="P38" s="49" t="s">
        <v>4840</v>
      </c>
      <c r="Q38" s="49" t="s">
        <v>4841</v>
      </c>
      <c r="R38" s="49" t="s">
        <v>4842</v>
      </c>
      <c r="S38" s="49" t="s">
        <v>4843</v>
      </c>
      <c r="T38" s="49" t="s">
        <v>4844</v>
      </c>
      <c r="U38" s="49" t="s">
        <v>4845</v>
      </c>
      <c r="V38" s="49" t="s">
        <v>4846</v>
      </c>
      <c r="W38" s="49" t="s">
        <v>4847</v>
      </c>
      <c r="X38" s="49" t="s">
        <v>4848</v>
      </c>
      <c r="Y38" s="49" t="s">
        <v>4194</v>
      </c>
      <c r="Z38" s="49" t="s">
        <v>3768</v>
      </c>
      <c r="AA38" s="49" t="s">
        <v>3768</v>
      </c>
      <c r="AB38" s="49" t="s">
        <v>3768</v>
      </c>
      <c r="AC38" s="49" t="s">
        <v>3768</v>
      </c>
      <c r="AD38" s="49" t="s">
        <v>4849</v>
      </c>
      <c r="AE38" s="49" t="s">
        <v>3813</v>
      </c>
      <c r="AF38" s="49" t="s">
        <v>4095</v>
      </c>
      <c r="AG38" s="49" t="s">
        <v>3768</v>
      </c>
      <c r="AH38" s="49" t="s">
        <v>3768</v>
      </c>
      <c r="AI38" s="49" t="s">
        <v>4243</v>
      </c>
      <c r="AJ38" s="49" t="s">
        <v>3813</v>
      </c>
      <c r="AK38" s="49" t="s">
        <v>3813</v>
      </c>
      <c r="AL38" s="49" t="s">
        <v>3813</v>
      </c>
      <c r="AM38" s="49" t="s">
        <v>4096</v>
      </c>
      <c r="AN38" s="49" t="s">
        <v>3813</v>
      </c>
      <c r="AO38" s="49" t="s">
        <v>3768</v>
      </c>
      <c r="AP38" s="49" t="s">
        <v>3768</v>
      </c>
      <c r="AQ38" s="49" t="s">
        <v>3768</v>
      </c>
      <c r="AR38" s="49" t="s">
        <v>3768</v>
      </c>
      <c r="AS38" s="49" t="s">
        <v>3813</v>
      </c>
      <c r="AT38" s="49" t="s">
        <v>3813</v>
      </c>
      <c r="AU38" s="49" t="s">
        <v>3813</v>
      </c>
      <c r="AV38" s="49" t="s">
        <v>4850</v>
      </c>
      <c r="AW38" s="49" t="s">
        <v>4851</v>
      </c>
      <c r="AX38" s="49" t="s">
        <v>4852</v>
      </c>
      <c r="AY38" s="49" t="s">
        <v>4853</v>
      </c>
      <c r="AZ38" s="49" t="s">
        <v>4854</v>
      </c>
      <c r="BA38" s="49" t="s">
        <v>4855</v>
      </c>
      <c r="BB38" s="49" t="s">
        <v>4856</v>
      </c>
      <c r="BC38" s="49" t="s">
        <v>4857</v>
      </c>
      <c r="BD38" s="49" t="s">
        <v>4858</v>
      </c>
      <c r="BE38" s="49" t="s">
        <v>3768</v>
      </c>
      <c r="BF38" s="49" t="s">
        <v>4859</v>
      </c>
      <c r="BG38" s="49" t="s">
        <v>3813</v>
      </c>
      <c r="BH38" s="49" t="s">
        <v>3768</v>
      </c>
      <c r="BI38" s="49" t="s">
        <v>3768</v>
      </c>
      <c r="BJ38" s="49" t="s">
        <v>3768</v>
      </c>
      <c r="BK38" s="49" t="s">
        <v>4106</v>
      </c>
      <c r="BL38" s="49" t="s">
        <v>4860</v>
      </c>
      <c r="BM38" s="49" t="s">
        <v>4861</v>
      </c>
      <c r="BN38" s="49" t="s">
        <v>4862</v>
      </c>
      <c r="BO38" s="49" t="s">
        <v>4863</v>
      </c>
      <c r="BP38" s="49" t="s">
        <v>4864</v>
      </c>
      <c r="BQ38" s="49" t="s">
        <v>4865</v>
      </c>
      <c r="BR38" s="49" t="s">
        <v>4113</v>
      </c>
      <c r="BS38" s="49" t="s">
        <v>4114</v>
      </c>
      <c r="BT38" s="49" t="s">
        <v>4866</v>
      </c>
    </row>
    <row r="39" spans="1:72" ht="45" customHeight="1">
      <c r="A39" s="49" t="s">
        <v>567</v>
      </c>
      <c r="B39" s="49" t="s">
        <v>568</v>
      </c>
      <c r="C39" s="49">
        <v>2026</v>
      </c>
      <c r="D39" s="49" t="s">
        <v>570</v>
      </c>
      <c r="E39" s="49" t="s">
        <v>571</v>
      </c>
      <c r="F39" s="49" t="s">
        <v>4076</v>
      </c>
      <c r="G39" s="49" t="s">
        <v>4077</v>
      </c>
      <c r="H39" s="49" t="s">
        <v>6625</v>
      </c>
      <c r="I39" s="49" t="s">
        <v>6626</v>
      </c>
      <c r="J39" s="49" t="s">
        <v>6627</v>
      </c>
      <c r="K39" s="49" t="s">
        <v>6628</v>
      </c>
      <c r="L39" s="49" t="s">
        <v>3813</v>
      </c>
      <c r="M39" s="49" t="s">
        <v>3813</v>
      </c>
      <c r="N39" s="49" t="s">
        <v>3813</v>
      </c>
      <c r="O39" s="49" t="s">
        <v>3813</v>
      </c>
      <c r="P39" s="49" t="s">
        <v>6629</v>
      </c>
      <c r="Q39" s="49" t="s">
        <v>6630</v>
      </c>
      <c r="R39" s="49" t="s">
        <v>4504</v>
      </c>
      <c r="S39" s="49" t="s">
        <v>6631</v>
      </c>
      <c r="T39" s="49" t="s">
        <v>6632</v>
      </c>
      <c r="U39" s="49" t="s">
        <v>6633</v>
      </c>
      <c r="V39" s="49" t="s">
        <v>6634</v>
      </c>
      <c r="W39" s="49" t="s">
        <v>6635</v>
      </c>
      <c r="X39" s="49" t="s">
        <v>4101</v>
      </c>
      <c r="Y39" s="49" t="s">
        <v>4194</v>
      </c>
      <c r="Z39" s="49" t="s">
        <v>3813</v>
      </c>
      <c r="AA39" s="49" t="s">
        <v>3768</v>
      </c>
      <c r="AB39" s="49" t="s">
        <v>3768</v>
      </c>
      <c r="AC39" s="49" t="s">
        <v>3768</v>
      </c>
      <c r="AD39" s="49" t="s">
        <v>6636</v>
      </c>
      <c r="AE39" s="49" t="s">
        <v>3813</v>
      </c>
      <c r="AF39" s="49" t="s">
        <v>4196</v>
      </c>
      <c r="AG39" s="49" t="s">
        <v>3768</v>
      </c>
      <c r="AH39" s="49" t="s">
        <v>3813</v>
      </c>
      <c r="AI39" s="49" t="s">
        <v>3768</v>
      </c>
      <c r="AJ39" s="49" t="s">
        <v>3813</v>
      </c>
      <c r="AK39" s="49" t="s">
        <v>3813</v>
      </c>
      <c r="AL39" s="49" t="s">
        <v>3813</v>
      </c>
      <c r="AM39" s="49" t="s">
        <v>4096</v>
      </c>
      <c r="AN39" s="49" t="s">
        <v>3813</v>
      </c>
      <c r="AO39" s="49" t="s">
        <v>3813</v>
      </c>
      <c r="AP39" s="49" t="s">
        <v>3813</v>
      </c>
      <c r="AQ39" s="49" t="s">
        <v>3813</v>
      </c>
      <c r="AR39" s="49" t="s">
        <v>3813</v>
      </c>
      <c r="AS39" s="49" t="s">
        <v>3813</v>
      </c>
      <c r="AT39" s="49" t="s">
        <v>3813</v>
      </c>
      <c r="AU39" s="49" t="s">
        <v>3813</v>
      </c>
      <c r="AV39" s="49" t="s">
        <v>6637</v>
      </c>
      <c r="AW39" s="49" t="s">
        <v>6638</v>
      </c>
      <c r="AX39" s="49" t="s">
        <v>6639</v>
      </c>
      <c r="AY39" s="49" t="s">
        <v>6640</v>
      </c>
      <c r="AZ39" s="49" t="s">
        <v>4101</v>
      </c>
      <c r="BA39" s="49" t="s">
        <v>6641</v>
      </c>
      <c r="BB39" s="49" t="s">
        <v>6642</v>
      </c>
      <c r="BC39" s="49" t="s">
        <v>6643</v>
      </c>
      <c r="BD39" s="49" t="s">
        <v>6644</v>
      </c>
      <c r="BE39" s="49" t="s">
        <v>3768</v>
      </c>
      <c r="BF39" s="49" t="s">
        <v>3813</v>
      </c>
      <c r="BG39" s="49" t="s">
        <v>3813</v>
      </c>
      <c r="BH39" s="49" t="s">
        <v>3768</v>
      </c>
      <c r="BI39" s="49" t="s">
        <v>3768</v>
      </c>
      <c r="BJ39" s="49" t="s">
        <v>3768</v>
      </c>
      <c r="BK39" s="49" t="s">
        <v>4106</v>
      </c>
      <c r="BL39" s="49" t="s">
        <v>6645</v>
      </c>
      <c r="BM39" s="49" t="s">
        <v>6646</v>
      </c>
      <c r="BN39" s="49" t="s">
        <v>6647</v>
      </c>
      <c r="BO39" s="49" t="s">
        <v>6648</v>
      </c>
      <c r="BP39" s="49" t="s">
        <v>6649</v>
      </c>
      <c r="BQ39" s="49" t="s">
        <v>6650</v>
      </c>
      <c r="BR39" s="49" t="s">
        <v>4113</v>
      </c>
      <c r="BS39" s="49" t="s">
        <v>4114</v>
      </c>
      <c r="BT39" s="49" t="s">
        <v>7560</v>
      </c>
    </row>
    <row r="40" spans="1:72" ht="45" customHeight="1">
      <c r="A40" s="49" t="s">
        <v>583</v>
      </c>
      <c r="B40" s="49" t="s">
        <v>584</v>
      </c>
      <c r="C40" s="49">
        <v>2026</v>
      </c>
      <c r="D40" s="49" t="s">
        <v>540</v>
      </c>
      <c r="E40" s="49" t="s">
        <v>586</v>
      </c>
      <c r="F40" s="49" t="s">
        <v>4076</v>
      </c>
      <c r="G40" s="49" t="s">
        <v>4077</v>
      </c>
      <c r="H40" s="49" t="s">
        <v>6651</v>
      </c>
      <c r="I40" s="49" t="s">
        <v>6652</v>
      </c>
      <c r="J40" s="49" t="s">
        <v>6653</v>
      </c>
      <c r="K40" s="49" t="s">
        <v>5155</v>
      </c>
      <c r="L40" s="49" t="s">
        <v>6654</v>
      </c>
      <c r="M40" s="49" t="s">
        <v>3813</v>
      </c>
      <c r="N40" s="49" t="s">
        <v>6655</v>
      </c>
      <c r="O40" s="49" t="s">
        <v>3813</v>
      </c>
      <c r="P40" s="49" t="s">
        <v>6656</v>
      </c>
      <c r="Q40" s="49" t="s">
        <v>6657</v>
      </c>
      <c r="R40" s="49" t="s">
        <v>4504</v>
      </c>
      <c r="S40" s="49" t="s">
        <v>6658</v>
      </c>
      <c r="T40" s="49" t="s">
        <v>6659</v>
      </c>
      <c r="U40" s="49" t="s">
        <v>6660</v>
      </c>
      <c r="V40" s="49" t="s">
        <v>6661</v>
      </c>
      <c r="W40" s="49" t="s">
        <v>6662</v>
      </c>
      <c r="X40" s="49" t="s">
        <v>4101</v>
      </c>
      <c r="Y40" s="49" t="s">
        <v>4194</v>
      </c>
      <c r="Z40" s="49" t="s">
        <v>3768</v>
      </c>
      <c r="AA40" s="49" t="s">
        <v>3768</v>
      </c>
      <c r="AB40" s="49" t="s">
        <v>3768</v>
      </c>
      <c r="AC40" s="49" t="s">
        <v>3768</v>
      </c>
      <c r="AD40" s="49" t="s">
        <v>6663</v>
      </c>
      <c r="AE40" s="49" t="s">
        <v>3813</v>
      </c>
      <c r="AF40" s="49" t="s">
        <v>4196</v>
      </c>
      <c r="AG40" s="49" t="s">
        <v>3768</v>
      </c>
      <c r="AH40" s="49" t="s">
        <v>3768</v>
      </c>
      <c r="AI40" s="49" t="s">
        <v>3768</v>
      </c>
      <c r="AJ40" s="49" t="s">
        <v>3768</v>
      </c>
      <c r="AK40" s="49" t="s">
        <v>3813</v>
      </c>
      <c r="AL40" s="49" t="s">
        <v>3813</v>
      </c>
      <c r="AM40" s="49" t="s">
        <v>4096</v>
      </c>
      <c r="AN40" s="49" t="s">
        <v>3813</v>
      </c>
      <c r="AO40" s="49" t="s">
        <v>3768</v>
      </c>
      <c r="AP40" s="49" t="s">
        <v>3768</v>
      </c>
      <c r="AQ40" s="49" t="s">
        <v>3768</v>
      </c>
      <c r="AR40" s="49" t="s">
        <v>3768</v>
      </c>
      <c r="AS40" s="49" t="s">
        <v>3768</v>
      </c>
      <c r="AT40" s="49" t="s">
        <v>3813</v>
      </c>
      <c r="AU40" s="49" t="s">
        <v>3813</v>
      </c>
      <c r="AV40" s="49" t="s">
        <v>6664</v>
      </c>
      <c r="AW40" s="49" t="s">
        <v>6665</v>
      </c>
      <c r="AX40" s="49" t="s">
        <v>6666</v>
      </c>
      <c r="AY40" s="49" t="s">
        <v>6667</v>
      </c>
      <c r="AZ40" s="49" t="s">
        <v>6668</v>
      </c>
      <c r="BA40" s="49" t="s">
        <v>6669</v>
      </c>
      <c r="BB40" s="49" t="s">
        <v>6670</v>
      </c>
      <c r="BC40" s="49" t="s">
        <v>6671</v>
      </c>
      <c r="BD40" s="49" t="s">
        <v>6672</v>
      </c>
      <c r="BE40" s="49" t="s">
        <v>3768</v>
      </c>
      <c r="BF40" s="49" t="s">
        <v>6673</v>
      </c>
      <c r="BG40" s="49" t="s">
        <v>3813</v>
      </c>
      <c r="BH40" s="49" t="s">
        <v>3768</v>
      </c>
      <c r="BI40" s="49" t="s">
        <v>3768</v>
      </c>
      <c r="BJ40" s="49" t="s">
        <v>3768</v>
      </c>
      <c r="BK40" s="49" t="s">
        <v>4207</v>
      </c>
      <c r="BL40" s="49" t="s">
        <v>6674</v>
      </c>
      <c r="BM40" s="49" t="s">
        <v>6675</v>
      </c>
      <c r="BN40" s="49" t="s">
        <v>6676</v>
      </c>
      <c r="BO40" s="49" t="s">
        <v>6677</v>
      </c>
      <c r="BP40" s="49" t="s">
        <v>6678</v>
      </c>
      <c r="BQ40" s="49" t="s">
        <v>6679</v>
      </c>
      <c r="BR40" s="49" t="s">
        <v>4113</v>
      </c>
      <c r="BS40" s="49" t="s">
        <v>4114</v>
      </c>
      <c r="BT40" s="49" t="s">
        <v>7561</v>
      </c>
    </row>
    <row r="41" spans="1:72" ht="45" customHeight="1">
      <c r="A41" s="49" t="s">
        <v>613</v>
      </c>
      <c r="B41" s="49" t="s">
        <v>614</v>
      </c>
      <c r="C41" s="49">
        <v>2024</v>
      </c>
      <c r="D41" s="49" t="s">
        <v>438</v>
      </c>
      <c r="E41" s="49" t="s">
        <v>616</v>
      </c>
      <c r="F41" s="49" t="s">
        <v>4076</v>
      </c>
      <c r="G41" s="49" t="s">
        <v>6233</v>
      </c>
      <c r="H41" s="49" t="s">
        <v>6680</v>
      </c>
      <c r="I41" s="49" t="s">
        <v>6681</v>
      </c>
      <c r="J41" s="49" t="s">
        <v>6682</v>
      </c>
      <c r="K41" s="49" t="s">
        <v>4592</v>
      </c>
      <c r="L41" s="49" t="s">
        <v>6683</v>
      </c>
      <c r="M41" s="49" t="s">
        <v>6684</v>
      </c>
      <c r="N41" s="49" t="s">
        <v>3813</v>
      </c>
      <c r="O41" s="49" t="s">
        <v>6685</v>
      </c>
      <c r="P41" s="49" t="s">
        <v>3813</v>
      </c>
      <c r="Q41" s="49" t="s">
        <v>6686</v>
      </c>
      <c r="R41" s="49" t="s">
        <v>6687</v>
      </c>
      <c r="S41" s="49" t="s">
        <v>6688</v>
      </c>
      <c r="T41" s="49" t="s">
        <v>6689</v>
      </c>
      <c r="U41" s="49" t="s">
        <v>6690</v>
      </c>
      <c r="V41" s="49" t="s">
        <v>6691</v>
      </c>
      <c r="W41" s="49" t="s">
        <v>6692</v>
      </c>
      <c r="X41" s="49" t="s">
        <v>6693</v>
      </c>
      <c r="Y41" s="49" t="s">
        <v>4127</v>
      </c>
      <c r="Z41" s="49" t="s">
        <v>3768</v>
      </c>
      <c r="AA41" s="49" t="s">
        <v>3813</v>
      </c>
      <c r="AB41" s="49" t="s">
        <v>3813</v>
      </c>
      <c r="AC41" s="49" t="s">
        <v>3813</v>
      </c>
      <c r="AD41" s="49" t="s">
        <v>6694</v>
      </c>
      <c r="AE41" s="49" t="s">
        <v>3768</v>
      </c>
      <c r="AF41" s="49" t="s">
        <v>4196</v>
      </c>
      <c r="AG41" s="49" t="s">
        <v>3768</v>
      </c>
      <c r="AH41" s="49" t="s">
        <v>3813</v>
      </c>
      <c r="AI41" s="49" t="s">
        <v>3768</v>
      </c>
      <c r="AJ41" s="49" t="s">
        <v>3813</v>
      </c>
      <c r="AK41" s="49" t="s">
        <v>3813</v>
      </c>
      <c r="AL41" s="49" t="s">
        <v>3813</v>
      </c>
      <c r="AM41" s="49" t="s">
        <v>4096</v>
      </c>
      <c r="AN41" s="49" t="s">
        <v>3813</v>
      </c>
      <c r="AO41" s="49" t="s">
        <v>3768</v>
      </c>
      <c r="AP41" s="49" t="s">
        <v>3768</v>
      </c>
      <c r="AQ41" s="49" t="s">
        <v>3813</v>
      </c>
      <c r="AR41" s="49" t="s">
        <v>3813</v>
      </c>
      <c r="AS41" s="49" t="s">
        <v>3768</v>
      </c>
      <c r="AT41" s="49" t="s">
        <v>3813</v>
      </c>
      <c r="AU41" s="49" t="s">
        <v>3813</v>
      </c>
      <c r="AV41" s="49" t="s">
        <v>6695</v>
      </c>
      <c r="AW41" s="49" t="s">
        <v>6696</v>
      </c>
      <c r="AX41" s="49" t="s">
        <v>6697</v>
      </c>
      <c r="AY41" s="49" t="s">
        <v>6698</v>
      </c>
      <c r="AZ41" s="49" t="s">
        <v>6699</v>
      </c>
      <c r="BA41" s="49" t="s">
        <v>6700</v>
      </c>
      <c r="BB41" s="49" t="s">
        <v>6701</v>
      </c>
      <c r="BC41" s="49" t="s">
        <v>6702</v>
      </c>
      <c r="BD41" s="49" t="s">
        <v>6703</v>
      </c>
      <c r="BE41" s="49" t="s">
        <v>3768</v>
      </c>
      <c r="BF41" s="49" t="s">
        <v>3813</v>
      </c>
      <c r="BG41" s="49" t="s">
        <v>3813</v>
      </c>
      <c r="BH41" s="49" t="s">
        <v>3768</v>
      </c>
      <c r="BI41" s="49" t="s">
        <v>3768</v>
      </c>
      <c r="BJ41" s="49" t="s">
        <v>3768</v>
      </c>
      <c r="BK41" s="49" t="s">
        <v>4171</v>
      </c>
      <c r="BL41" s="49" t="s">
        <v>6704</v>
      </c>
      <c r="BM41" s="49" t="s">
        <v>6705</v>
      </c>
      <c r="BN41" s="49" t="s">
        <v>6706</v>
      </c>
      <c r="BO41" s="49" t="s">
        <v>6707</v>
      </c>
      <c r="BP41" s="49" t="s">
        <v>6708</v>
      </c>
      <c r="BQ41" s="49" t="s">
        <v>6709</v>
      </c>
      <c r="BR41" s="49" t="s">
        <v>4113</v>
      </c>
      <c r="BS41" s="49" t="s">
        <v>4114</v>
      </c>
      <c r="BT41" s="49" t="s">
        <v>7562</v>
      </c>
    </row>
    <row r="42" spans="1:72" ht="45" customHeight="1">
      <c r="A42" s="49" t="s">
        <v>620</v>
      </c>
      <c r="B42" s="49" t="s">
        <v>621</v>
      </c>
      <c r="C42" s="49">
        <v>2026</v>
      </c>
      <c r="D42" s="49" t="s">
        <v>623</v>
      </c>
      <c r="E42" s="49" t="s">
        <v>624</v>
      </c>
      <c r="F42" s="49" t="s">
        <v>4867</v>
      </c>
      <c r="G42" s="49" t="s">
        <v>4077</v>
      </c>
      <c r="H42" s="49" t="s">
        <v>4868</v>
      </c>
      <c r="I42" s="49" t="s">
        <v>4869</v>
      </c>
      <c r="J42" s="49" t="s">
        <v>4870</v>
      </c>
      <c r="K42" s="49" t="s">
        <v>4081</v>
      </c>
      <c r="L42" s="49" t="s">
        <v>4871</v>
      </c>
      <c r="M42" s="49" t="s">
        <v>3813</v>
      </c>
      <c r="N42" s="49" t="s">
        <v>4872</v>
      </c>
      <c r="O42" s="49" t="s">
        <v>3813</v>
      </c>
      <c r="P42" s="49" t="s">
        <v>4873</v>
      </c>
      <c r="Q42" s="49" t="s">
        <v>4874</v>
      </c>
      <c r="R42" s="49" t="s">
        <v>4875</v>
      </c>
      <c r="S42" s="49" t="s">
        <v>4876</v>
      </c>
      <c r="T42" s="49" t="s">
        <v>4877</v>
      </c>
      <c r="U42" s="49" t="s">
        <v>4878</v>
      </c>
      <c r="V42" s="49" t="s">
        <v>4879</v>
      </c>
      <c r="W42" s="49" t="s">
        <v>4880</v>
      </c>
      <c r="X42" s="49" t="s">
        <v>4881</v>
      </c>
      <c r="Y42" s="49" t="s">
        <v>4160</v>
      </c>
      <c r="Z42" s="49" t="s">
        <v>3768</v>
      </c>
      <c r="AA42" s="49" t="s">
        <v>3768</v>
      </c>
      <c r="AB42" s="49" t="s">
        <v>3813</v>
      </c>
      <c r="AC42" s="49" t="s">
        <v>3813</v>
      </c>
      <c r="AD42" s="49" t="s">
        <v>4882</v>
      </c>
      <c r="AE42" s="49" t="s">
        <v>3813</v>
      </c>
      <c r="AF42" s="49" t="s">
        <v>4129</v>
      </c>
      <c r="AG42" s="49" t="s">
        <v>3813</v>
      </c>
      <c r="AH42" s="49" t="s">
        <v>3813</v>
      </c>
      <c r="AI42" s="49" t="s">
        <v>3813</v>
      </c>
      <c r="AJ42" s="49" t="s">
        <v>3813</v>
      </c>
      <c r="AK42" s="49" t="s">
        <v>3813</v>
      </c>
      <c r="AL42" s="49" t="s">
        <v>3813</v>
      </c>
      <c r="AM42" s="49" t="s">
        <v>84</v>
      </c>
      <c r="AN42" s="49" t="s">
        <v>84</v>
      </c>
      <c r="AO42" s="49" t="s">
        <v>3813</v>
      </c>
      <c r="AP42" s="49" t="s">
        <v>3813</v>
      </c>
      <c r="AQ42" s="49" t="s">
        <v>3813</v>
      </c>
      <c r="AR42" s="49" t="s">
        <v>3813</v>
      </c>
      <c r="AS42" s="49" t="s">
        <v>3813</v>
      </c>
      <c r="AT42" s="49" t="s">
        <v>3813</v>
      </c>
      <c r="AU42" s="49" t="s">
        <v>3813</v>
      </c>
      <c r="AV42" s="49" t="s">
        <v>4883</v>
      </c>
      <c r="AW42" s="49" t="s">
        <v>4884</v>
      </c>
      <c r="AX42" s="49" t="s">
        <v>4885</v>
      </c>
      <c r="AY42" s="49" t="s">
        <v>4886</v>
      </c>
      <c r="AZ42" s="49" t="s">
        <v>84</v>
      </c>
      <c r="BA42" s="49" t="s">
        <v>4887</v>
      </c>
      <c r="BB42" s="49" t="s">
        <v>4888</v>
      </c>
      <c r="BC42" s="49" t="s">
        <v>4889</v>
      </c>
      <c r="BD42" s="49" t="s">
        <v>4890</v>
      </c>
      <c r="BE42" s="49" t="s">
        <v>3768</v>
      </c>
      <c r="BF42" s="49" t="s">
        <v>4891</v>
      </c>
      <c r="BG42" s="49" t="s">
        <v>3813</v>
      </c>
      <c r="BH42" s="49" t="s">
        <v>3768</v>
      </c>
      <c r="BI42" s="49" t="s">
        <v>3768</v>
      </c>
      <c r="BJ42" s="49" t="s">
        <v>3813</v>
      </c>
      <c r="BK42" s="49" t="s">
        <v>4138</v>
      </c>
      <c r="BL42" s="49" t="s">
        <v>4892</v>
      </c>
      <c r="BM42" s="49" t="s">
        <v>4893</v>
      </c>
      <c r="BN42" s="49" t="s">
        <v>4894</v>
      </c>
      <c r="BO42" s="49" t="s">
        <v>4895</v>
      </c>
      <c r="BP42" s="49" t="s">
        <v>4896</v>
      </c>
      <c r="BQ42" s="49" t="s">
        <v>4897</v>
      </c>
      <c r="BR42" s="49" t="s">
        <v>4113</v>
      </c>
      <c r="BS42" s="49" t="s">
        <v>4114</v>
      </c>
      <c r="BT42" s="49" t="s">
        <v>4898</v>
      </c>
    </row>
    <row r="43" spans="1:72" ht="45" customHeight="1">
      <c r="A43" s="49" t="s">
        <v>627</v>
      </c>
      <c r="B43" s="49" t="s">
        <v>628</v>
      </c>
      <c r="C43" s="49">
        <v>2025</v>
      </c>
      <c r="D43" s="49" t="s">
        <v>356</v>
      </c>
      <c r="E43" s="49" t="s">
        <v>630</v>
      </c>
      <c r="F43" s="49" t="s">
        <v>4076</v>
      </c>
      <c r="G43" s="49" t="s">
        <v>4077</v>
      </c>
      <c r="H43" s="49" t="s">
        <v>4899</v>
      </c>
      <c r="I43" s="49" t="s">
        <v>4900</v>
      </c>
      <c r="J43" s="49" t="s">
        <v>4901</v>
      </c>
      <c r="K43" s="49" t="s">
        <v>4902</v>
      </c>
      <c r="L43" s="49" t="s">
        <v>4903</v>
      </c>
      <c r="M43" s="49" t="s">
        <v>4904</v>
      </c>
      <c r="N43" s="49" t="s">
        <v>4905</v>
      </c>
      <c r="O43" s="49" t="s">
        <v>4906</v>
      </c>
      <c r="P43" s="49" t="s">
        <v>4907</v>
      </c>
      <c r="Q43" s="49" t="s">
        <v>4908</v>
      </c>
      <c r="R43" s="49" t="s">
        <v>4909</v>
      </c>
      <c r="S43" s="49" t="s">
        <v>4910</v>
      </c>
      <c r="T43" s="49" t="s">
        <v>4101</v>
      </c>
      <c r="U43" s="49" t="s">
        <v>4911</v>
      </c>
      <c r="V43" s="49" t="s">
        <v>4912</v>
      </c>
      <c r="W43" s="49" t="s">
        <v>4913</v>
      </c>
      <c r="X43" s="49" t="s">
        <v>4101</v>
      </c>
      <c r="Y43" s="49" t="s">
        <v>4194</v>
      </c>
      <c r="Z43" s="49" t="s">
        <v>3768</v>
      </c>
      <c r="AA43" s="49" t="s">
        <v>3768</v>
      </c>
      <c r="AB43" s="49" t="s">
        <v>3813</v>
      </c>
      <c r="AC43" s="49" t="s">
        <v>3768</v>
      </c>
      <c r="AD43" s="49" t="s">
        <v>4914</v>
      </c>
      <c r="AE43" s="49" t="s">
        <v>3813</v>
      </c>
      <c r="AF43" s="49" t="s">
        <v>4196</v>
      </c>
      <c r="AG43" s="49" t="s">
        <v>3768</v>
      </c>
      <c r="AH43" s="49" t="s">
        <v>3768</v>
      </c>
      <c r="AI43" s="49" t="s">
        <v>3768</v>
      </c>
      <c r="AJ43" s="49" t="s">
        <v>3813</v>
      </c>
      <c r="AK43" s="49" t="s">
        <v>3813</v>
      </c>
      <c r="AL43" s="49" t="s">
        <v>3813</v>
      </c>
      <c r="AM43" s="49" t="s">
        <v>4096</v>
      </c>
      <c r="AN43" s="49" t="s">
        <v>3813</v>
      </c>
      <c r="AO43" s="49" t="s">
        <v>3768</v>
      </c>
      <c r="AP43" s="49" t="s">
        <v>3768</v>
      </c>
      <c r="AQ43" s="49" t="s">
        <v>3768</v>
      </c>
      <c r="AR43" s="49" t="s">
        <v>3813</v>
      </c>
      <c r="AS43" s="49" t="s">
        <v>3813</v>
      </c>
      <c r="AT43" s="49" t="s">
        <v>3813</v>
      </c>
      <c r="AU43" s="49" t="s">
        <v>3768</v>
      </c>
      <c r="AV43" s="49" t="s">
        <v>4915</v>
      </c>
      <c r="AW43" s="49" t="s">
        <v>4916</v>
      </c>
      <c r="AX43" s="49" t="s">
        <v>4917</v>
      </c>
      <c r="AY43" s="49" t="s">
        <v>4918</v>
      </c>
      <c r="AZ43" s="49" t="s">
        <v>4919</v>
      </c>
      <c r="BA43" s="49" t="s">
        <v>4920</v>
      </c>
      <c r="BB43" s="49" t="s">
        <v>4921</v>
      </c>
      <c r="BC43" s="49" t="s">
        <v>4922</v>
      </c>
      <c r="BD43" s="49" t="s">
        <v>4923</v>
      </c>
      <c r="BE43" s="49" t="s">
        <v>3768</v>
      </c>
      <c r="BF43" s="49" t="s">
        <v>4924</v>
      </c>
      <c r="BG43" s="49" t="s">
        <v>3813</v>
      </c>
      <c r="BH43" s="49" t="s">
        <v>3768</v>
      </c>
      <c r="BI43" s="49" t="s">
        <v>3768</v>
      </c>
      <c r="BJ43" s="49" t="s">
        <v>3768</v>
      </c>
      <c r="BK43" s="49" t="s">
        <v>4106</v>
      </c>
      <c r="BL43" s="49" t="s">
        <v>4925</v>
      </c>
      <c r="BM43" s="49" t="s">
        <v>4926</v>
      </c>
      <c r="BN43" s="49" t="s">
        <v>4927</v>
      </c>
      <c r="BO43" s="49" t="s">
        <v>4928</v>
      </c>
      <c r="BP43" s="49" t="s">
        <v>4929</v>
      </c>
      <c r="BQ43" s="49" t="s">
        <v>4930</v>
      </c>
      <c r="BR43" s="49" t="s">
        <v>4113</v>
      </c>
      <c r="BS43" s="49" t="s">
        <v>4114</v>
      </c>
      <c r="BT43" s="49" t="s">
        <v>4931</v>
      </c>
    </row>
    <row r="44" spans="1:72" ht="45" customHeight="1">
      <c r="A44" s="49" t="s">
        <v>633</v>
      </c>
      <c r="B44" s="49" t="s">
        <v>634</v>
      </c>
      <c r="C44" s="49">
        <v>2026</v>
      </c>
      <c r="D44" s="49" t="s">
        <v>636</v>
      </c>
      <c r="E44" s="49" t="s">
        <v>637</v>
      </c>
      <c r="F44" s="49" t="s">
        <v>4770</v>
      </c>
      <c r="G44" s="49" t="s">
        <v>4077</v>
      </c>
      <c r="H44" s="49" t="s">
        <v>4932</v>
      </c>
      <c r="I44" s="49" t="s">
        <v>4933</v>
      </c>
      <c r="J44" s="49" t="s">
        <v>4934</v>
      </c>
      <c r="K44" s="49" t="s">
        <v>4935</v>
      </c>
      <c r="L44" s="49" t="s">
        <v>4936</v>
      </c>
      <c r="M44" s="49" t="s">
        <v>4937</v>
      </c>
      <c r="N44" s="49" t="s">
        <v>4938</v>
      </c>
      <c r="O44" s="49" t="s">
        <v>4939</v>
      </c>
      <c r="P44" s="49" t="s">
        <v>4940</v>
      </c>
      <c r="Q44" s="49" t="s">
        <v>4941</v>
      </c>
      <c r="R44" s="49" t="s">
        <v>4942</v>
      </c>
      <c r="S44" s="49" t="s">
        <v>4943</v>
      </c>
      <c r="T44" s="49" t="s">
        <v>4944</v>
      </c>
      <c r="U44" s="49" t="s">
        <v>4945</v>
      </c>
      <c r="V44" s="49" t="s">
        <v>4946</v>
      </c>
      <c r="W44" s="49" t="s">
        <v>4947</v>
      </c>
      <c r="X44" s="49" t="s">
        <v>4948</v>
      </c>
      <c r="Y44" s="49" t="s">
        <v>4194</v>
      </c>
      <c r="Z44" s="49" t="s">
        <v>3768</v>
      </c>
      <c r="AA44" s="49" t="s">
        <v>3768</v>
      </c>
      <c r="AB44" s="49" t="s">
        <v>3768</v>
      </c>
      <c r="AC44" s="49" t="s">
        <v>3768</v>
      </c>
      <c r="AD44" s="49" t="s">
        <v>4949</v>
      </c>
      <c r="AE44" s="49" t="s">
        <v>3813</v>
      </c>
      <c r="AF44" s="49" t="s">
        <v>4095</v>
      </c>
      <c r="AG44" s="49" t="s">
        <v>3768</v>
      </c>
      <c r="AH44" s="49" t="s">
        <v>3768</v>
      </c>
      <c r="AI44" s="49" t="s">
        <v>3813</v>
      </c>
      <c r="AJ44" s="49" t="s">
        <v>3813</v>
      </c>
      <c r="AK44" s="49" t="s">
        <v>3813</v>
      </c>
      <c r="AL44" s="49" t="s">
        <v>3813</v>
      </c>
      <c r="AM44" s="49" t="s">
        <v>4096</v>
      </c>
      <c r="AN44" s="49" t="s">
        <v>3813</v>
      </c>
      <c r="AO44" s="49" t="s">
        <v>3813</v>
      </c>
      <c r="AP44" s="49" t="s">
        <v>3813</v>
      </c>
      <c r="AQ44" s="49" t="s">
        <v>3813</v>
      </c>
      <c r="AR44" s="49" t="s">
        <v>3813</v>
      </c>
      <c r="AS44" s="49" t="s">
        <v>3813</v>
      </c>
      <c r="AT44" s="49" t="s">
        <v>3813</v>
      </c>
      <c r="AU44" s="49" t="s">
        <v>3813</v>
      </c>
      <c r="AV44" s="49" t="s">
        <v>4950</v>
      </c>
      <c r="AW44" s="49" t="s">
        <v>4951</v>
      </c>
      <c r="AX44" s="49" t="s">
        <v>4952</v>
      </c>
      <c r="AY44" s="49" t="s">
        <v>4953</v>
      </c>
      <c r="AZ44" s="49" t="s">
        <v>84</v>
      </c>
      <c r="BA44" s="49" t="s">
        <v>4954</v>
      </c>
      <c r="BB44" s="49" t="s">
        <v>4955</v>
      </c>
      <c r="BC44" s="49" t="s">
        <v>4956</v>
      </c>
      <c r="BD44" s="49" t="s">
        <v>4957</v>
      </c>
      <c r="BE44" s="49" t="s">
        <v>3813</v>
      </c>
      <c r="BF44" s="49" t="s">
        <v>3813</v>
      </c>
      <c r="BG44" s="49" t="s">
        <v>3813</v>
      </c>
      <c r="BH44" s="49" t="s">
        <v>4243</v>
      </c>
      <c r="BI44" s="49" t="s">
        <v>3768</v>
      </c>
      <c r="BJ44" s="49" t="s">
        <v>3768</v>
      </c>
      <c r="BK44" s="49" t="s">
        <v>4171</v>
      </c>
      <c r="BL44" s="49" t="s">
        <v>4958</v>
      </c>
      <c r="BM44" s="49" t="s">
        <v>4959</v>
      </c>
      <c r="BN44" s="49" t="s">
        <v>4960</v>
      </c>
      <c r="BO44" s="49" t="s">
        <v>4961</v>
      </c>
      <c r="BP44" s="49" t="s">
        <v>4962</v>
      </c>
      <c r="BQ44" s="49" t="s">
        <v>4963</v>
      </c>
      <c r="BR44" s="49" t="s">
        <v>4113</v>
      </c>
      <c r="BS44" s="49" t="s">
        <v>4114</v>
      </c>
      <c r="BT44" s="49" t="s">
        <v>4964</v>
      </c>
    </row>
    <row r="45" spans="1:72" ht="45" customHeight="1">
      <c r="A45" s="49" t="s">
        <v>641</v>
      </c>
      <c r="B45" s="49" t="s">
        <v>642</v>
      </c>
      <c r="C45" s="49">
        <v>2025</v>
      </c>
      <c r="D45" s="49" t="s">
        <v>4965</v>
      </c>
      <c r="E45" s="49" t="s">
        <v>645</v>
      </c>
      <c r="F45" s="49" t="s">
        <v>4076</v>
      </c>
      <c r="G45" s="49" t="s">
        <v>4077</v>
      </c>
      <c r="H45" s="49" t="s">
        <v>4966</v>
      </c>
      <c r="I45" s="49" t="s">
        <v>4967</v>
      </c>
      <c r="J45" s="49" t="s">
        <v>4968</v>
      </c>
      <c r="K45" s="49" t="s">
        <v>4081</v>
      </c>
      <c r="L45" s="49" t="s">
        <v>4969</v>
      </c>
      <c r="M45" s="49" t="s">
        <v>3813</v>
      </c>
      <c r="N45" s="49" t="s">
        <v>4970</v>
      </c>
      <c r="O45" s="49" t="s">
        <v>3813</v>
      </c>
      <c r="P45" s="49" t="s">
        <v>84</v>
      </c>
      <c r="Q45" s="49" t="s">
        <v>4971</v>
      </c>
      <c r="R45" s="49" t="s">
        <v>4972</v>
      </c>
      <c r="S45" s="49" t="s">
        <v>4973</v>
      </c>
      <c r="T45" s="49" t="s">
        <v>4974</v>
      </c>
      <c r="U45" s="49" t="s">
        <v>4975</v>
      </c>
      <c r="V45" s="49" t="s">
        <v>4976</v>
      </c>
      <c r="W45" s="49" t="s">
        <v>4977</v>
      </c>
      <c r="X45" s="49" t="s">
        <v>4978</v>
      </c>
      <c r="Y45" s="49" t="s">
        <v>4194</v>
      </c>
      <c r="Z45" s="49" t="s">
        <v>4243</v>
      </c>
      <c r="AA45" s="49" t="s">
        <v>4243</v>
      </c>
      <c r="AB45" s="49" t="s">
        <v>4243</v>
      </c>
      <c r="AC45" s="49" t="s">
        <v>4243</v>
      </c>
      <c r="AD45" s="49" t="s">
        <v>4979</v>
      </c>
      <c r="AE45" s="49" t="s">
        <v>3813</v>
      </c>
      <c r="AF45" s="49" t="s">
        <v>4129</v>
      </c>
      <c r="AG45" s="49" t="s">
        <v>3813</v>
      </c>
      <c r="AH45" s="49" t="s">
        <v>3813</v>
      </c>
      <c r="AI45" s="49" t="s">
        <v>3813</v>
      </c>
      <c r="AJ45" s="49" t="s">
        <v>3813</v>
      </c>
      <c r="AK45" s="49" t="s">
        <v>3813</v>
      </c>
      <c r="AL45" s="49" t="s">
        <v>3813</v>
      </c>
      <c r="AM45" s="49" t="s">
        <v>84</v>
      </c>
      <c r="AN45" s="49" t="s">
        <v>84</v>
      </c>
      <c r="AO45" s="49" t="s">
        <v>3768</v>
      </c>
      <c r="AP45" s="49" t="s">
        <v>3813</v>
      </c>
      <c r="AQ45" s="49" t="s">
        <v>3813</v>
      </c>
      <c r="AR45" s="49" t="s">
        <v>3813</v>
      </c>
      <c r="AS45" s="49" t="s">
        <v>3768</v>
      </c>
      <c r="AT45" s="49" t="s">
        <v>3813</v>
      </c>
      <c r="AU45" s="49" t="s">
        <v>3813</v>
      </c>
      <c r="AV45" s="49" t="s">
        <v>4980</v>
      </c>
      <c r="AW45" s="49" t="s">
        <v>4981</v>
      </c>
      <c r="AX45" s="49" t="s">
        <v>4982</v>
      </c>
      <c r="AY45" s="49" t="s">
        <v>4983</v>
      </c>
      <c r="AZ45" s="49" t="s">
        <v>4984</v>
      </c>
      <c r="BA45" s="49" t="s">
        <v>4985</v>
      </c>
      <c r="BB45" s="49" t="s">
        <v>4986</v>
      </c>
      <c r="BC45" s="49" t="s">
        <v>4987</v>
      </c>
      <c r="BD45" s="49" t="s">
        <v>4988</v>
      </c>
      <c r="BE45" s="49" t="s">
        <v>3813</v>
      </c>
      <c r="BF45" s="49" t="s">
        <v>3813</v>
      </c>
      <c r="BG45" s="49" t="s">
        <v>3813</v>
      </c>
      <c r="BH45" s="49" t="s">
        <v>4243</v>
      </c>
      <c r="BI45" s="49" t="s">
        <v>3768</v>
      </c>
      <c r="BJ45" s="49" t="s">
        <v>3813</v>
      </c>
      <c r="BK45" s="49" t="s">
        <v>4138</v>
      </c>
      <c r="BL45" s="49" t="s">
        <v>4989</v>
      </c>
      <c r="BM45" s="49" t="s">
        <v>4990</v>
      </c>
      <c r="BN45" s="49" t="s">
        <v>4991</v>
      </c>
      <c r="BO45" s="49" t="s">
        <v>4992</v>
      </c>
      <c r="BP45" s="49" t="s">
        <v>4993</v>
      </c>
      <c r="BQ45" s="49" t="s">
        <v>4994</v>
      </c>
      <c r="BR45" s="49" t="s">
        <v>4113</v>
      </c>
      <c r="BS45" s="49" t="s">
        <v>4114</v>
      </c>
      <c r="BT45" s="49" t="s">
        <v>4995</v>
      </c>
    </row>
    <row r="46" spans="1:72" ht="45" customHeight="1">
      <c r="A46" s="49" t="s">
        <v>649</v>
      </c>
      <c r="B46" s="49" t="s">
        <v>650</v>
      </c>
      <c r="C46" s="49">
        <v>2026</v>
      </c>
      <c r="D46" s="49" t="s">
        <v>623</v>
      </c>
      <c r="E46" s="49" t="s">
        <v>652</v>
      </c>
      <c r="F46" s="49" t="s">
        <v>4076</v>
      </c>
      <c r="G46" s="49" t="s">
        <v>4077</v>
      </c>
      <c r="H46" s="49" t="s">
        <v>4996</v>
      </c>
      <c r="I46" s="49" t="s">
        <v>4997</v>
      </c>
      <c r="J46" s="49" t="s">
        <v>4998</v>
      </c>
      <c r="K46" s="49" t="s">
        <v>4081</v>
      </c>
      <c r="L46" s="49" t="s">
        <v>4999</v>
      </c>
      <c r="M46" s="49" t="s">
        <v>3813</v>
      </c>
      <c r="N46" s="49" t="s">
        <v>5000</v>
      </c>
      <c r="O46" s="49" t="s">
        <v>3813</v>
      </c>
      <c r="P46" s="49" t="s">
        <v>84</v>
      </c>
      <c r="Q46" s="49" t="s">
        <v>5001</v>
      </c>
      <c r="R46" s="49" t="s">
        <v>5002</v>
      </c>
      <c r="S46" s="49" t="s">
        <v>5003</v>
      </c>
      <c r="T46" s="49" t="s">
        <v>5004</v>
      </c>
      <c r="U46" s="49" t="s">
        <v>5005</v>
      </c>
      <c r="V46" s="49" t="s">
        <v>5006</v>
      </c>
      <c r="W46" s="49" t="s">
        <v>5007</v>
      </c>
      <c r="X46" s="49" t="s">
        <v>5008</v>
      </c>
      <c r="Y46" s="49" t="s">
        <v>4194</v>
      </c>
      <c r="Z46" s="49" t="s">
        <v>4243</v>
      </c>
      <c r="AA46" s="49" t="s">
        <v>4243</v>
      </c>
      <c r="AB46" s="49" t="s">
        <v>4243</v>
      </c>
      <c r="AC46" s="49" t="s">
        <v>3768</v>
      </c>
      <c r="AD46" s="49" t="s">
        <v>5009</v>
      </c>
      <c r="AE46" s="49" t="s">
        <v>3768</v>
      </c>
      <c r="AF46" s="49" t="s">
        <v>4196</v>
      </c>
      <c r="AG46" s="49" t="s">
        <v>3768</v>
      </c>
      <c r="AH46" s="49" t="s">
        <v>4243</v>
      </c>
      <c r="AI46" s="49" t="s">
        <v>3768</v>
      </c>
      <c r="AJ46" s="49" t="s">
        <v>4243</v>
      </c>
      <c r="AK46" s="49" t="s">
        <v>3813</v>
      </c>
      <c r="AL46" s="49" t="s">
        <v>3813</v>
      </c>
      <c r="AM46" s="49" t="s">
        <v>4096</v>
      </c>
      <c r="AN46" s="49" t="s">
        <v>3813</v>
      </c>
      <c r="AO46" s="49" t="s">
        <v>3813</v>
      </c>
      <c r="AP46" s="49" t="s">
        <v>3813</v>
      </c>
      <c r="AQ46" s="49" t="s">
        <v>3813</v>
      </c>
      <c r="AR46" s="49" t="s">
        <v>3813</v>
      </c>
      <c r="AS46" s="49" t="s">
        <v>3813</v>
      </c>
      <c r="AT46" s="49" t="s">
        <v>3813</v>
      </c>
      <c r="AU46" s="49" t="s">
        <v>3813</v>
      </c>
      <c r="AV46" s="49" t="s">
        <v>5010</v>
      </c>
      <c r="AW46" s="49" t="s">
        <v>5011</v>
      </c>
      <c r="AX46" s="49" t="s">
        <v>5012</v>
      </c>
      <c r="AY46" s="49" t="s">
        <v>5013</v>
      </c>
      <c r="AZ46" s="49" t="s">
        <v>5014</v>
      </c>
      <c r="BA46" s="49" t="s">
        <v>5015</v>
      </c>
      <c r="BB46" s="49" t="s">
        <v>5016</v>
      </c>
      <c r="BC46" s="49" t="s">
        <v>5017</v>
      </c>
      <c r="BD46" s="49" t="s">
        <v>5018</v>
      </c>
      <c r="BE46" s="49" t="s">
        <v>3813</v>
      </c>
      <c r="BF46" s="49" t="s">
        <v>3813</v>
      </c>
      <c r="BG46" s="49" t="s">
        <v>3813</v>
      </c>
      <c r="BH46" s="49" t="s">
        <v>3768</v>
      </c>
      <c r="BI46" s="49" t="s">
        <v>3768</v>
      </c>
      <c r="BJ46" s="49" t="s">
        <v>3768</v>
      </c>
      <c r="BK46" s="49" t="s">
        <v>4171</v>
      </c>
      <c r="BL46" s="49" t="s">
        <v>5019</v>
      </c>
      <c r="BM46" s="49" t="s">
        <v>5020</v>
      </c>
      <c r="BN46" s="49" t="s">
        <v>5021</v>
      </c>
      <c r="BO46" s="49" t="s">
        <v>5022</v>
      </c>
      <c r="BP46" s="49" t="s">
        <v>5023</v>
      </c>
      <c r="BQ46" s="49" t="s">
        <v>5024</v>
      </c>
      <c r="BR46" s="49" t="s">
        <v>4113</v>
      </c>
      <c r="BS46" s="49" t="s">
        <v>4114</v>
      </c>
      <c r="BT46" s="49" t="s">
        <v>5025</v>
      </c>
    </row>
    <row r="47" spans="1:72" ht="45" customHeight="1">
      <c r="A47" s="49" t="s">
        <v>663</v>
      </c>
      <c r="B47" s="49" t="s">
        <v>664</v>
      </c>
      <c r="C47" s="49">
        <v>2025</v>
      </c>
      <c r="D47" s="49" t="s">
        <v>438</v>
      </c>
      <c r="E47" s="49" t="s">
        <v>666</v>
      </c>
      <c r="F47" s="49" t="s">
        <v>4496</v>
      </c>
      <c r="G47" s="49" t="s">
        <v>4077</v>
      </c>
      <c r="H47" s="49" t="s">
        <v>6710</v>
      </c>
      <c r="I47" s="49" t="s">
        <v>6711</v>
      </c>
      <c r="J47" s="49" t="s">
        <v>6712</v>
      </c>
      <c r="K47" s="49" t="s">
        <v>6713</v>
      </c>
      <c r="L47" s="49" t="s">
        <v>6714</v>
      </c>
      <c r="M47" s="49" t="s">
        <v>6715</v>
      </c>
      <c r="N47" s="49" t="s">
        <v>6716</v>
      </c>
      <c r="O47" s="49" t="s">
        <v>3813</v>
      </c>
      <c r="P47" s="49" t="s">
        <v>6717</v>
      </c>
      <c r="Q47" s="49" t="s">
        <v>6718</v>
      </c>
      <c r="R47" s="49" t="s">
        <v>6719</v>
      </c>
      <c r="S47" s="49" t="s">
        <v>6720</v>
      </c>
      <c r="T47" s="49" t="s">
        <v>6721</v>
      </c>
      <c r="U47" s="49" t="s">
        <v>6722</v>
      </c>
      <c r="V47" s="49" t="s">
        <v>6719</v>
      </c>
      <c r="W47" s="49" t="s">
        <v>6720</v>
      </c>
      <c r="X47" s="49" t="s">
        <v>6723</v>
      </c>
      <c r="Y47" s="49" t="s">
        <v>4093</v>
      </c>
      <c r="Z47" s="49" t="s">
        <v>3813</v>
      </c>
      <c r="AA47" s="49" t="s">
        <v>3768</v>
      </c>
      <c r="AB47" s="49" t="s">
        <v>3813</v>
      </c>
      <c r="AC47" s="49" t="s">
        <v>3813</v>
      </c>
      <c r="AD47" s="49" t="s">
        <v>6724</v>
      </c>
      <c r="AE47" s="49" t="s">
        <v>3813</v>
      </c>
      <c r="AF47" s="49" t="s">
        <v>4129</v>
      </c>
      <c r="AG47" s="49" t="s">
        <v>3813</v>
      </c>
      <c r="AH47" s="49" t="s">
        <v>3813</v>
      </c>
      <c r="AI47" s="49" t="s">
        <v>3813</v>
      </c>
      <c r="AJ47" s="49" t="s">
        <v>3813</v>
      </c>
      <c r="AK47" s="49" t="s">
        <v>3813</v>
      </c>
      <c r="AL47" s="49" t="s">
        <v>3813</v>
      </c>
      <c r="AM47" s="49" t="s">
        <v>84</v>
      </c>
      <c r="AN47" s="49" t="s">
        <v>84</v>
      </c>
      <c r="AO47" s="49" t="s">
        <v>3768</v>
      </c>
      <c r="AP47" s="49" t="s">
        <v>3813</v>
      </c>
      <c r="AQ47" s="49" t="s">
        <v>3813</v>
      </c>
      <c r="AR47" s="49" t="s">
        <v>3813</v>
      </c>
      <c r="AS47" s="49" t="s">
        <v>3813</v>
      </c>
      <c r="AT47" s="49" t="s">
        <v>3813</v>
      </c>
      <c r="AU47" s="49" t="s">
        <v>3768</v>
      </c>
      <c r="AV47" s="49" t="s">
        <v>6725</v>
      </c>
      <c r="AW47" s="49" t="s">
        <v>6726</v>
      </c>
      <c r="AX47" s="49" t="s">
        <v>6727</v>
      </c>
      <c r="AY47" s="49" t="s">
        <v>4101</v>
      </c>
      <c r="AZ47" s="49" t="s">
        <v>6728</v>
      </c>
      <c r="BA47" s="49" t="s">
        <v>6729</v>
      </c>
      <c r="BB47" s="49" t="s">
        <v>6730</v>
      </c>
      <c r="BC47" s="49" t="s">
        <v>6731</v>
      </c>
      <c r="BD47" s="49" t="s">
        <v>6732</v>
      </c>
      <c r="BE47" s="49" t="s">
        <v>3768</v>
      </c>
      <c r="BF47" s="49" t="s">
        <v>6733</v>
      </c>
      <c r="BG47" s="49" t="s">
        <v>3813</v>
      </c>
      <c r="BH47" s="49" t="s">
        <v>3813</v>
      </c>
      <c r="BI47" s="49" t="s">
        <v>3813</v>
      </c>
      <c r="BJ47" s="49" t="s">
        <v>3813</v>
      </c>
      <c r="BK47" s="49" t="s">
        <v>4138</v>
      </c>
      <c r="BL47" s="49" t="s">
        <v>6734</v>
      </c>
      <c r="BM47" s="49" t="s">
        <v>6735</v>
      </c>
      <c r="BN47" s="49" t="s">
        <v>6736</v>
      </c>
      <c r="BO47" s="49" t="s">
        <v>6737</v>
      </c>
      <c r="BP47" s="49" t="s">
        <v>6738</v>
      </c>
      <c r="BQ47" s="49" t="s">
        <v>6739</v>
      </c>
      <c r="BR47" s="49" t="s">
        <v>4113</v>
      </c>
      <c r="BS47" s="49" t="s">
        <v>4114</v>
      </c>
      <c r="BT47" s="49" t="s">
        <v>7563</v>
      </c>
    </row>
    <row r="48" spans="1:72" ht="45" customHeight="1">
      <c r="A48" s="49" t="s">
        <v>670</v>
      </c>
      <c r="B48" s="49" t="s">
        <v>671</v>
      </c>
      <c r="C48" s="49">
        <v>2024</v>
      </c>
      <c r="D48" s="49" t="s">
        <v>673</v>
      </c>
      <c r="E48" s="49" t="s">
        <v>674</v>
      </c>
      <c r="F48" s="49" t="s">
        <v>4076</v>
      </c>
      <c r="G48" s="49" t="s">
        <v>4077</v>
      </c>
      <c r="H48" s="49" t="s">
        <v>5026</v>
      </c>
      <c r="I48" s="49" t="s">
        <v>5027</v>
      </c>
      <c r="J48" s="49" t="s">
        <v>5028</v>
      </c>
      <c r="K48" s="49" t="s">
        <v>5029</v>
      </c>
      <c r="L48" s="49" t="s">
        <v>5030</v>
      </c>
      <c r="M48" s="49" t="s">
        <v>5031</v>
      </c>
      <c r="N48" s="49" t="s">
        <v>3813</v>
      </c>
      <c r="O48" s="49" t="s">
        <v>5032</v>
      </c>
      <c r="P48" s="49" t="s">
        <v>5033</v>
      </c>
      <c r="Q48" s="49" t="s">
        <v>5034</v>
      </c>
      <c r="R48" s="49" t="s">
        <v>5035</v>
      </c>
      <c r="S48" s="49" t="s">
        <v>5036</v>
      </c>
      <c r="T48" s="49" t="s">
        <v>5037</v>
      </c>
      <c r="U48" s="49" t="s">
        <v>5038</v>
      </c>
      <c r="V48" s="49" t="s">
        <v>5035</v>
      </c>
      <c r="W48" s="49" t="s">
        <v>5039</v>
      </c>
      <c r="X48" s="49" t="s">
        <v>5040</v>
      </c>
      <c r="Y48" s="49" t="s">
        <v>4160</v>
      </c>
      <c r="Z48" s="49" t="s">
        <v>3768</v>
      </c>
      <c r="AA48" s="49" t="s">
        <v>3768</v>
      </c>
      <c r="AB48" s="49" t="s">
        <v>3813</v>
      </c>
      <c r="AC48" s="49" t="s">
        <v>3813</v>
      </c>
      <c r="AD48" s="49" t="s">
        <v>5041</v>
      </c>
      <c r="AE48" s="49" t="s">
        <v>3768</v>
      </c>
      <c r="AF48" s="49" t="s">
        <v>4196</v>
      </c>
      <c r="AG48" s="49" t="s">
        <v>3768</v>
      </c>
      <c r="AH48" s="49" t="s">
        <v>3768</v>
      </c>
      <c r="AI48" s="49" t="s">
        <v>3768</v>
      </c>
      <c r="AJ48" s="49" t="s">
        <v>3813</v>
      </c>
      <c r="AK48" s="49" t="s">
        <v>3813</v>
      </c>
      <c r="AL48" s="49" t="s">
        <v>3813</v>
      </c>
      <c r="AM48" s="49" t="s">
        <v>4096</v>
      </c>
      <c r="AN48" s="49" t="s">
        <v>3813</v>
      </c>
      <c r="AO48" s="49" t="s">
        <v>3768</v>
      </c>
      <c r="AP48" s="49" t="s">
        <v>3768</v>
      </c>
      <c r="AQ48" s="49" t="s">
        <v>3768</v>
      </c>
      <c r="AR48" s="49" t="s">
        <v>3768</v>
      </c>
      <c r="AS48" s="49" t="s">
        <v>3768</v>
      </c>
      <c r="AT48" s="49" t="s">
        <v>3813</v>
      </c>
      <c r="AU48" s="49" t="s">
        <v>3813</v>
      </c>
      <c r="AV48" s="49" t="s">
        <v>5042</v>
      </c>
      <c r="AW48" s="49" t="s">
        <v>5043</v>
      </c>
      <c r="AX48" s="49" t="s">
        <v>5044</v>
      </c>
      <c r="AY48" s="49" t="s">
        <v>5045</v>
      </c>
      <c r="AZ48" s="49" t="s">
        <v>5046</v>
      </c>
      <c r="BA48" s="49" t="s">
        <v>5047</v>
      </c>
      <c r="BB48" s="49" t="s">
        <v>5048</v>
      </c>
      <c r="BC48" s="49" t="s">
        <v>5049</v>
      </c>
      <c r="BD48" s="49" t="s">
        <v>5050</v>
      </c>
      <c r="BE48" s="49" t="s">
        <v>3813</v>
      </c>
      <c r="BF48" s="49" t="s">
        <v>5051</v>
      </c>
      <c r="BG48" s="49" t="s">
        <v>3768</v>
      </c>
      <c r="BH48" s="49" t="s">
        <v>3768</v>
      </c>
      <c r="BI48" s="49" t="s">
        <v>3768</v>
      </c>
      <c r="BJ48" s="49" t="s">
        <v>3768</v>
      </c>
      <c r="BK48" s="49" t="s">
        <v>4106</v>
      </c>
      <c r="BL48" s="49" t="s">
        <v>5052</v>
      </c>
      <c r="BM48" s="49" t="s">
        <v>5053</v>
      </c>
      <c r="BN48" s="49" t="s">
        <v>5054</v>
      </c>
      <c r="BO48" s="49" t="s">
        <v>5055</v>
      </c>
      <c r="BP48" s="49" t="s">
        <v>5056</v>
      </c>
      <c r="BQ48" s="49" t="s">
        <v>5057</v>
      </c>
      <c r="BR48" s="49" t="s">
        <v>4113</v>
      </c>
      <c r="BS48" s="49" t="s">
        <v>4114</v>
      </c>
      <c r="BT48" s="49" t="s">
        <v>5058</v>
      </c>
    </row>
    <row r="49" spans="1:72" ht="45" customHeight="1">
      <c r="A49" s="49" t="s">
        <v>678</v>
      </c>
      <c r="B49" s="49" t="s">
        <v>679</v>
      </c>
      <c r="C49" s="49">
        <v>2024</v>
      </c>
      <c r="D49" s="49" t="s">
        <v>269</v>
      </c>
      <c r="E49" s="49" t="s">
        <v>680</v>
      </c>
      <c r="F49" s="49" t="s">
        <v>4076</v>
      </c>
      <c r="G49" s="49" t="s">
        <v>4077</v>
      </c>
      <c r="H49" s="49" t="s">
        <v>5059</v>
      </c>
      <c r="I49" s="49" t="s">
        <v>5060</v>
      </c>
      <c r="J49" s="49" t="s">
        <v>5061</v>
      </c>
      <c r="K49" s="49" t="s">
        <v>4182</v>
      </c>
      <c r="L49" s="49" t="s">
        <v>5062</v>
      </c>
      <c r="M49" s="49" t="s">
        <v>5063</v>
      </c>
      <c r="N49" s="49" t="s">
        <v>3813</v>
      </c>
      <c r="O49" s="49" t="s">
        <v>3813</v>
      </c>
      <c r="P49" s="49" t="s">
        <v>5064</v>
      </c>
      <c r="Q49" s="49" t="s">
        <v>5065</v>
      </c>
      <c r="R49" s="49" t="s">
        <v>5066</v>
      </c>
      <c r="S49" s="49" t="s">
        <v>5067</v>
      </c>
      <c r="T49" s="49" t="s">
        <v>5068</v>
      </c>
      <c r="U49" s="49" t="s">
        <v>5069</v>
      </c>
      <c r="V49" s="49" t="s">
        <v>5070</v>
      </c>
      <c r="W49" s="49" t="s">
        <v>5071</v>
      </c>
      <c r="X49" s="49" t="s">
        <v>5072</v>
      </c>
      <c r="Y49" s="49" t="s">
        <v>4127</v>
      </c>
      <c r="Z49" s="49" t="s">
        <v>3768</v>
      </c>
      <c r="AA49" s="49" t="s">
        <v>3813</v>
      </c>
      <c r="AB49" s="49" t="s">
        <v>3813</v>
      </c>
      <c r="AC49" s="49" t="s">
        <v>3813</v>
      </c>
      <c r="AD49" s="49" t="s">
        <v>5041</v>
      </c>
      <c r="AE49" s="49" t="s">
        <v>3768</v>
      </c>
      <c r="AF49" s="49" t="s">
        <v>4355</v>
      </c>
      <c r="AG49" s="49" t="s">
        <v>3813</v>
      </c>
      <c r="AH49" s="49" t="s">
        <v>3813</v>
      </c>
      <c r="AI49" s="49" t="s">
        <v>3768</v>
      </c>
      <c r="AJ49" s="49" t="s">
        <v>3813</v>
      </c>
      <c r="AK49" s="49" t="s">
        <v>3813</v>
      </c>
      <c r="AL49" s="49" t="s">
        <v>3813</v>
      </c>
      <c r="AM49" s="49" t="s">
        <v>4096</v>
      </c>
      <c r="AN49" s="49" t="s">
        <v>3813</v>
      </c>
      <c r="AO49" s="49" t="s">
        <v>3768</v>
      </c>
      <c r="AP49" s="49" t="s">
        <v>3768</v>
      </c>
      <c r="AQ49" s="49" t="s">
        <v>3768</v>
      </c>
      <c r="AR49" s="49" t="s">
        <v>3768</v>
      </c>
      <c r="AS49" s="49" t="s">
        <v>3768</v>
      </c>
      <c r="AT49" s="49" t="s">
        <v>3813</v>
      </c>
      <c r="AU49" s="49" t="s">
        <v>3813</v>
      </c>
      <c r="AV49" s="49" t="s">
        <v>5073</v>
      </c>
      <c r="AW49" s="49" t="s">
        <v>5074</v>
      </c>
      <c r="AX49" s="49" t="s">
        <v>5075</v>
      </c>
      <c r="AY49" s="49" t="s">
        <v>5076</v>
      </c>
      <c r="AZ49" s="49" t="s">
        <v>5077</v>
      </c>
      <c r="BA49" s="49" t="s">
        <v>5078</v>
      </c>
      <c r="BB49" s="49" t="s">
        <v>5079</v>
      </c>
      <c r="BC49" s="49" t="s">
        <v>5080</v>
      </c>
      <c r="BD49" s="49" t="s">
        <v>5081</v>
      </c>
      <c r="BE49" s="49" t="s">
        <v>3768</v>
      </c>
      <c r="BF49" s="49" t="s">
        <v>5082</v>
      </c>
      <c r="BG49" s="49" t="s">
        <v>3813</v>
      </c>
      <c r="BH49" s="49" t="s">
        <v>3768</v>
      </c>
      <c r="BI49" s="49" t="s">
        <v>3768</v>
      </c>
      <c r="BJ49" s="49" t="s">
        <v>3768</v>
      </c>
      <c r="BK49" s="49" t="s">
        <v>4171</v>
      </c>
      <c r="BL49" s="49" t="s">
        <v>5083</v>
      </c>
      <c r="BM49" s="49" t="s">
        <v>5084</v>
      </c>
      <c r="BN49" s="49" t="s">
        <v>5085</v>
      </c>
      <c r="BO49" s="49" t="s">
        <v>5086</v>
      </c>
      <c r="BP49" s="49" t="s">
        <v>5087</v>
      </c>
      <c r="BQ49" s="49" t="s">
        <v>5088</v>
      </c>
      <c r="BR49" s="49" t="s">
        <v>4113</v>
      </c>
      <c r="BS49" s="49" t="s">
        <v>4114</v>
      </c>
      <c r="BT49" s="49" t="s">
        <v>5089</v>
      </c>
    </row>
    <row r="50" spans="1:72" ht="45" customHeight="1">
      <c r="A50" s="49" t="s">
        <v>684</v>
      </c>
      <c r="B50" s="49" t="s">
        <v>104</v>
      </c>
      <c r="C50" s="49">
        <v>2026</v>
      </c>
      <c r="D50" s="49" t="s">
        <v>182</v>
      </c>
      <c r="E50" s="49" t="s">
        <v>686</v>
      </c>
      <c r="F50" s="49" t="s">
        <v>4076</v>
      </c>
      <c r="G50" s="49" t="s">
        <v>4077</v>
      </c>
      <c r="H50" s="49" t="s">
        <v>5090</v>
      </c>
      <c r="I50" s="49" t="s">
        <v>5091</v>
      </c>
      <c r="J50" s="49" t="s">
        <v>5092</v>
      </c>
      <c r="K50" s="49" t="s">
        <v>4081</v>
      </c>
      <c r="L50" s="49" t="s">
        <v>5093</v>
      </c>
      <c r="M50" s="49" t="s">
        <v>3813</v>
      </c>
      <c r="N50" s="49" t="s">
        <v>5094</v>
      </c>
      <c r="O50" s="49" t="s">
        <v>3813</v>
      </c>
      <c r="P50" s="49" t="s">
        <v>5095</v>
      </c>
      <c r="Q50" s="49" t="s">
        <v>5096</v>
      </c>
      <c r="R50" s="49" t="s">
        <v>5097</v>
      </c>
      <c r="S50" s="49" t="s">
        <v>5098</v>
      </c>
      <c r="T50" s="49" t="s">
        <v>5099</v>
      </c>
      <c r="U50" s="49" t="s">
        <v>5100</v>
      </c>
      <c r="V50" s="49" t="s">
        <v>4912</v>
      </c>
      <c r="W50" s="49" t="s">
        <v>5101</v>
      </c>
      <c r="X50" s="49" t="s">
        <v>5102</v>
      </c>
      <c r="Y50" s="49" t="s">
        <v>4194</v>
      </c>
      <c r="Z50" s="49" t="s">
        <v>3768</v>
      </c>
      <c r="AA50" s="49" t="s">
        <v>3768</v>
      </c>
      <c r="AB50" s="49" t="s">
        <v>3768</v>
      </c>
      <c r="AC50" s="49" t="s">
        <v>3768</v>
      </c>
      <c r="AD50" s="49" t="s">
        <v>5103</v>
      </c>
      <c r="AE50" s="49" t="s">
        <v>3813</v>
      </c>
      <c r="AF50" s="49" t="s">
        <v>4196</v>
      </c>
      <c r="AG50" s="49" t="s">
        <v>3768</v>
      </c>
      <c r="AH50" s="49" t="s">
        <v>3768</v>
      </c>
      <c r="AI50" s="49" t="s">
        <v>3813</v>
      </c>
      <c r="AJ50" s="49" t="s">
        <v>3768</v>
      </c>
      <c r="AK50" s="49" t="s">
        <v>3813</v>
      </c>
      <c r="AL50" s="49" t="s">
        <v>3813</v>
      </c>
      <c r="AM50" s="49" t="s">
        <v>4096</v>
      </c>
      <c r="AN50" s="49" t="s">
        <v>3813</v>
      </c>
      <c r="AO50" s="49" t="s">
        <v>3813</v>
      </c>
      <c r="AP50" s="49" t="s">
        <v>3813</v>
      </c>
      <c r="AQ50" s="49" t="s">
        <v>3813</v>
      </c>
      <c r="AR50" s="49" t="s">
        <v>3813</v>
      </c>
      <c r="AS50" s="49" t="s">
        <v>3813</v>
      </c>
      <c r="AT50" s="49" t="s">
        <v>3813</v>
      </c>
      <c r="AU50" s="49" t="s">
        <v>3813</v>
      </c>
      <c r="AV50" s="49" t="s">
        <v>5104</v>
      </c>
      <c r="AW50" s="49" t="s">
        <v>5105</v>
      </c>
      <c r="AX50" s="49" t="s">
        <v>5106</v>
      </c>
      <c r="AY50" s="49" t="s">
        <v>5107</v>
      </c>
      <c r="AZ50" s="49" t="s">
        <v>5108</v>
      </c>
      <c r="BA50" s="49" t="s">
        <v>5109</v>
      </c>
      <c r="BB50" s="49" t="s">
        <v>5110</v>
      </c>
      <c r="BC50" s="49" t="s">
        <v>5111</v>
      </c>
      <c r="BD50" s="49" t="s">
        <v>5112</v>
      </c>
      <c r="BE50" s="49" t="s">
        <v>3768</v>
      </c>
      <c r="BF50" s="49" t="s">
        <v>5113</v>
      </c>
      <c r="BG50" s="49" t="s">
        <v>3768</v>
      </c>
      <c r="BH50" s="49" t="s">
        <v>3768</v>
      </c>
      <c r="BI50" s="49" t="s">
        <v>3768</v>
      </c>
      <c r="BJ50" s="49" t="s">
        <v>3768</v>
      </c>
      <c r="BK50" s="49" t="s">
        <v>4207</v>
      </c>
      <c r="BL50" s="49" t="s">
        <v>5114</v>
      </c>
      <c r="BM50" s="49" t="s">
        <v>5115</v>
      </c>
      <c r="BN50" s="49" t="s">
        <v>5116</v>
      </c>
      <c r="BO50" s="49" t="s">
        <v>5117</v>
      </c>
      <c r="BP50" s="49" t="s">
        <v>5118</v>
      </c>
      <c r="BQ50" s="49" t="s">
        <v>5119</v>
      </c>
      <c r="BR50" s="49" t="s">
        <v>4113</v>
      </c>
      <c r="BS50" s="49" t="s">
        <v>4114</v>
      </c>
      <c r="BT50" s="49" t="s">
        <v>5120</v>
      </c>
    </row>
    <row r="51" spans="1:72" ht="45" customHeight="1">
      <c r="A51" s="49" t="s">
        <v>690</v>
      </c>
      <c r="B51" s="49" t="s">
        <v>691</v>
      </c>
      <c r="C51" s="49">
        <v>2025</v>
      </c>
      <c r="D51" s="49" t="s">
        <v>693</v>
      </c>
      <c r="E51" s="49" t="s">
        <v>694</v>
      </c>
      <c r="F51" s="49" t="s">
        <v>4076</v>
      </c>
      <c r="G51" s="49" t="s">
        <v>4077</v>
      </c>
      <c r="H51" s="49" t="s">
        <v>5121</v>
      </c>
      <c r="I51" s="49" t="s">
        <v>5122</v>
      </c>
      <c r="J51" s="49" t="s">
        <v>5123</v>
      </c>
      <c r="K51" s="49" t="s">
        <v>4081</v>
      </c>
      <c r="L51" s="49" t="s">
        <v>5124</v>
      </c>
      <c r="M51" s="49" t="s">
        <v>3813</v>
      </c>
      <c r="N51" s="49" t="s">
        <v>5125</v>
      </c>
      <c r="O51" s="49" t="s">
        <v>3813</v>
      </c>
      <c r="P51" s="49" t="s">
        <v>5126</v>
      </c>
      <c r="Q51" s="49" t="s">
        <v>5127</v>
      </c>
      <c r="R51" s="49" t="s">
        <v>5128</v>
      </c>
      <c r="S51" s="49" t="s">
        <v>5129</v>
      </c>
      <c r="T51" s="49" t="s">
        <v>5130</v>
      </c>
      <c r="U51" s="49" t="s">
        <v>5131</v>
      </c>
      <c r="V51" s="49" t="s">
        <v>5132</v>
      </c>
      <c r="W51" s="49" t="s">
        <v>5133</v>
      </c>
      <c r="X51" s="49" t="s">
        <v>5134</v>
      </c>
      <c r="Y51" s="49" t="s">
        <v>4194</v>
      </c>
      <c r="Z51" s="49" t="s">
        <v>3768</v>
      </c>
      <c r="AA51" s="49" t="s">
        <v>3768</v>
      </c>
      <c r="AB51" s="49" t="s">
        <v>3768</v>
      </c>
      <c r="AC51" s="49" t="s">
        <v>3768</v>
      </c>
      <c r="AD51" s="49" t="s">
        <v>5135</v>
      </c>
      <c r="AE51" s="49" t="s">
        <v>3813</v>
      </c>
      <c r="AF51" s="49" t="s">
        <v>4196</v>
      </c>
      <c r="AG51" s="49" t="s">
        <v>3768</v>
      </c>
      <c r="AH51" s="49" t="s">
        <v>3768</v>
      </c>
      <c r="AI51" s="49" t="s">
        <v>3768</v>
      </c>
      <c r="AJ51" s="49" t="s">
        <v>3768</v>
      </c>
      <c r="AK51" s="49" t="s">
        <v>3813</v>
      </c>
      <c r="AL51" s="49" t="s">
        <v>3813</v>
      </c>
      <c r="AM51" s="49" t="s">
        <v>4096</v>
      </c>
      <c r="AN51" s="49" t="s">
        <v>3813</v>
      </c>
      <c r="AO51" s="49" t="s">
        <v>3768</v>
      </c>
      <c r="AP51" s="49" t="s">
        <v>3768</v>
      </c>
      <c r="AQ51" s="49" t="s">
        <v>3768</v>
      </c>
      <c r="AR51" s="49" t="s">
        <v>3813</v>
      </c>
      <c r="AS51" s="49" t="s">
        <v>3813</v>
      </c>
      <c r="AT51" s="49" t="s">
        <v>3813</v>
      </c>
      <c r="AU51" s="49" t="s">
        <v>3768</v>
      </c>
      <c r="AV51" s="49" t="s">
        <v>5136</v>
      </c>
      <c r="AW51" s="49" t="s">
        <v>5137</v>
      </c>
      <c r="AX51" s="49" t="s">
        <v>5138</v>
      </c>
      <c r="AY51" s="49" t="s">
        <v>5139</v>
      </c>
      <c r="AZ51" s="49" t="s">
        <v>5140</v>
      </c>
      <c r="BA51" s="49" t="s">
        <v>5141</v>
      </c>
      <c r="BB51" s="49" t="s">
        <v>5142</v>
      </c>
      <c r="BC51" s="49" t="s">
        <v>5143</v>
      </c>
      <c r="BD51" s="49" t="s">
        <v>5144</v>
      </c>
      <c r="BE51" s="49" t="s">
        <v>3768</v>
      </c>
      <c r="BF51" s="49" t="s">
        <v>5145</v>
      </c>
      <c r="BG51" s="49" t="s">
        <v>4243</v>
      </c>
      <c r="BH51" s="49" t="s">
        <v>3768</v>
      </c>
      <c r="BI51" s="49" t="s">
        <v>3768</v>
      </c>
      <c r="BJ51" s="49" t="s">
        <v>3768</v>
      </c>
      <c r="BK51" s="49" t="s">
        <v>4106</v>
      </c>
      <c r="BL51" s="49" t="s">
        <v>5146</v>
      </c>
      <c r="BM51" s="49" t="s">
        <v>5147</v>
      </c>
      <c r="BN51" s="49" t="s">
        <v>5148</v>
      </c>
      <c r="BO51" s="49" t="s">
        <v>5117</v>
      </c>
      <c r="BP51" s="49" t="s">
        <v>5149</v>
      </c>
      <c r="BQ51" s="49" t="s">
        <v>5150</v>
      </c>
      <c r="BR51" s="49" t="s">
        <v>4113</v>
      </c>
      <c r="BS51" s="49" t="s">
        <v>4114</v>
      </c>
      <c r="BT51" s="49" t="s">
        <v>5151</v>
      </c>
    </row>
    <row r="52" spans="1:72" ht="45" customHeight="1">
      <c r="A52" s="49" t="s">
        <v>712</v>
      </c>
      <c r="B52" s="49" t="s">
        <v>3102</v>
      </c>
      <c r="C52" s="49">
        <v>2025</v>
      </c>
      <c r="D52" s="49" t="s">
        <v>715</v>
      </c>
      <c r="E52" s="49" t="s">
        <v>716</v>
      </c>
      <c r="F52" s="49" t="s">
        <v>4867</v>
      </c>
      <c r="G52" s="49" t="s">
        <v>4077</v>
      </c>
      <c r="H52" s="49" t="s">
        <v>5152</v>
      </c>
      <c r="I52" s="49" t="s">
        <v>5153</v>
      </c>
      <c r="J52" s="49" t="s">
        <v>5154</v>
      </c>
      <c r="K52" s="49" t="s">
        <v>5155</v>
      </c>
      <c r="L52" s="49" t="s">
        <v>5156</v>
      </c>
      <c r="M52" s="49" t="s">
        <v>5157</v>
      </c>
      <c r="N52" s="49" t="s">
        <v>5158</v>
      </c>
      <c r="O52" s="49" t="s">
        <v>3813</v>
      </c>
      <c r="P52" s="49" t="s">
        <v>5159</v>
      </c>
      <c r="Q52" s="49" t="s">
        <v>5160</v>
      </c>
      <c r="R52" s="49" t="s">
        <v>5161</v>
      </c>
      <c r="S52" s="49" t="s">
        <v>5162</v>
      </c>
      <c r="T52" s="49" t="s">
        <v>5163</v>
      </c>
      <c r="U52" s="49" t="s">
        <v>5164</v>
      </c>
      <c r="V52" s="49" t="s">
        <v>5165</v>
      </c>
      <c r="W52" s="49" t="s">
        <v>5166</v>
      </c>
      <c r="X52" s="49" t="s">
        <v>5167</v>
      </c>
      <c r="Y52" s="49" t="s">
        <v>4194</v>
      </c>
      <c r="Z52" s="49" t="s">
        <v>3813</v>
      </c>
      <c r="AA52" s="49" t="s">
        <v>3768</v>
      </c>
      <c r="AB52" s="49" t="s">
        <v>3768</v>
      </c>
      <c r="AC52" s="49" t="s">
        <v>3768</v>
      </c>
      <c r="AD52" s="49" t="s">
        <v>5168</v>
      </c>
      <c r="AE52" s="49" t="s">
        <v>3813</v>
      </c>
      <c r="AF52" s="49" t="s">
        <v>7051</v>
      </c>
      <c r="AG52" s="49" t="s">
        <v>3813</v>
      </c>
      <c r="AH52" s="49" t="s">
        <v>3813</v>
      </c>
      <c r="AI52" s="49" t="s">
        <v>3813</v>
      </c>
      <c r="AJ52" s="49" t="s">
        <v>3813</v>
      </c>
      <c r="AK52" s="49" t="s">
        <v>3813</v>
      </c>
      <c r="AL52" s="49" t="s">
        <v>3768</v>
      </c>
      <c r="AM52" s="49" t="s">
        <v>5169</v>
      </c>
      <c r="AN52" s="49" t="s">
        <v>3768</v>
      </c>
      <c r="AO52" s="49" t="s">
        <v>3813</v>
      </c>
      <c r="AP52" s="49" t="s">
        <v>3813</v>
      </c>
      <c r="AQ52" s="49" t="s">
        <v>3813</v>
      </c>
      <c r="AR52" s="49" t="s">
        <v>3813</v>
      </c>
      <c r="AS52" s="49" t="s">
        <v>3813</v>
      </c>
      <c r="AT52" s="49" t="s">
        <v>3813</v>
      </c>
      <c r="AU52" s="49" t="s">
        <v>3813</v>
      </c>
      <c r="AV52" s="49" t="s">
        <v>5170</v>
      </c>
      <c r="AW52" s="49" t="s">
        <v>5171</v>
      </c>
      <c r="AX52" s="49" t="s">
        <v>5172</v>
      </c>
      <c r="AY52" s="49" t="s">
        <v>5173</v>
      </c>
      <c r="AZ52" s="49" t="s">
        <v>5174</v>
      </c>
      <c r="BA52" s="49" t="s">
        <v>5175</v>
      </c>
      <c r="BB52" s="49" t="s">
        <v>5176</v>
      </c>
      <c r="BC52" s="49" t="s">
        <v>5177</v>
      </c>
      <c r="BD52" s="49" t="s">
        <v>5178</v>
      </c>
      <c r="BE52" s="49" t="s">
        <v>3768</v>
      </c>
      <c r="BF52" s="49" t="s">
        <v>5179</v>
      </c>
      <c r="BG52" s="49" t="s">
        <v>3768</v>
      </c>
      <c r="BH52" s="49" t="s">
        <v>3768</v>
      </c>
      <c r="BI52" s="49" t="s">
        <v>3813</v>
      </c>
      <c r="BJ52" s="49" t="s">
        <v>3813</v>
      </c>
      <c r="BK52" s="49" t="s">
        <v>4138</v>
      </c>
      <c r="BL52" s="49" t="s">
        <v>5180</v>
      </c>
      <c r="BM52" s="49" t="s">
        <v>5181</v>
      </c>
      <c r="BN52" s="49" t="s">
        <v>5182</v>
      </c>
      <c r="BO52" s="49" t="s">
        <v>5183</v>
      </c>
      <c r="BP52" s="49" t="s">
        <v>5184</v>
      </c>
      <c r="BQ52" s="49" t="s">
        <v>5185</v>
      </c>
      <c r="BR52" s="49" t="s">
        <v>4113</v>
      </c>
      <c r="BS52" s="49" t="s">
        <v>4114</v>
      </c>
      <c r="BT52" s="49" t="s">
        <v>5186</v>
      </c>
    </row>
    <row r="53" spans="1:72" ht="45" customHeight="1">
      <c r="A53" s="49" t="s">
        <v>719</v>
      </c>
      <c r="B53" s="49" t="s">
        <v>720</v>
      </c>
      <c r="C53" s="49">
        <v>2025</v>
      </c>
      <c r="D53" s="49" t="s">
        <v>182</v>
      </c>
      <c r="E53" s="49" t="s">
        <v>722</v>
      </c>
      <c r="F53" s="49" t="s">
        <v>4076</v>
      </c>
      <c r="G53" s="49" t="s">
        <v>4077</v>
      </c>
      <c r="H53" s="49" t="s">
        <v>5187</v>
      </c>
      <c r="I53" s="49" t="s">
        <v>5188</v>
      </c>
      <c r="J53" s="49" t="s">
        <v>5189</v>
      </c>
      <c r="K53" s="49" t="s">
        <v>5190</v>
      </c>
      <c r="L53" s="49" t="s">
        <v>5191</v>
      </c>
      <c r="M53" s="49" t="s">
        <v>5192</v>
      </c>
      <c r="N53" s="49" t="s">
        <v>5193</v>
      </c>
      <c r="O53" s="49" t="s">
        <v>3813</v>
      </c>
      <c r="P53" s="49" t="s">
        <v>5194</v>
      </c>
      <c r="Q53" s="49" t="s">
        <v>5195</v>
      </c>
      <c r="R53" s="49" t="s">
        <v>5196</v>
      </c>
      <c r="S53" s="49" t="s">
        <v>5197</v>
      </c>
      <c r="T53" s="49" t="s">
        <v>5198</v>
      </c>
      <c r="U53" s="49" t="s">
        <v>5199</v>
      </c>
      <c r="V53" s="49" t="s">
        <v>5200</v>
      </c>
      <c r="W53" s="49" t="s">
        <v>5201</v>
      </c>
      <c r="X53" s="49" t="s">
        <v>5202</v>
      </c>
      <c r="Y53" s="49" t="s">
        <v>4194</v>
      </c>
      <c r="Z53" s="49" t="s">
        <v>3768</v>
      </c>
      <c r="AA53" s="49" t="s">
        <v>3768</v>
      </c>
      <c r="AB53" s="49" t="s">
        <v>3768</v>
      </c>
      <c r="AC53" s="49" t="s">
        <v>3813</v>
      </c>
      <c r="AD53" s="49" t="s">
        <v>5203</v>
      </c>
      <c r="AE53" s="49" t="s">
        <v>3813</v>
      </c>
      <c r="AF53" s="49" t="s">
        <v>4196</v>
      </c>
      <c r="AG53" s="49" t="s">
        <v>3768</v>
      </c>
      <c r="AH53" s="49" t="s">
        <v>3768</v>
      </c>
      <c r="AI53" s="49" t="s">
        <v>3768</v>
      </c>
      <c r="AJ53" s="49" t="s">
        <v>3768</v>
      </c>
      <c r="AK53" s="49" t="s">
        <v>3813</v>
      </c>
      <c r="AL53" s="49" t="s">
        <v>3813</v>
      </c>
      <c r="AM53" s="49" t="s">
        <v>4096</v>
      </c>
      <c r="AN53" s="49" t="s">
        <v>3813</v>
      </c>
      <c r="AO53" s="49" t="s">
        <v>3768</v>
      </c>
      <c r="AP53" s="49" t="s">
        <v>3768</v>
      </c>
      <c r="AQ53" s="49" t="s">
        <v>3768</v>
      </c>
      <c r="AR53" s="49" t="s">
        <v>3813</v>
      </c>
      <c r="AS53" s="49" t="s">
        <v>3813</v>
      </c>
      <c r="AT53" s="49" t="s">
        <v>3813</v>
      </c>
      <c r="AU53" s="49" t="s">
        <v>3813</v>
      </c>
      <c r="AV53" s="49" t="s">
        <v>84</v>
      </c>
      <c r="AW53" s="49" t="s">
        <v>5204</v>
      </c>
      <c r="AX53" s="49" t="s">
        <v>5205</v>
      </c>
      <c r="AY53" s="49" t="s">
        <v>5206</v>
      </c>
      <c r="AZ53" s="49" t="s">
        <v>5207</v>
      </c>
      <c r="BA53" s="49" t="s">
        <v>5208</v>
      </c>
      <c r="BB53" s="49" t="s">
        <v>5209</v>
      </c>
      <c r="BC53" s="49" t="s">
        <v>5210</v>
      </c>
      <c r="BD53" s="49" t="s">
        <v>5211</v>
      </c>
      <c r="BE53" s="49" t="s">
        <v>3768</v>
      </c>
      <c r="BF53" s="49" t="s">
        <v>5212</v>
      </c>
      <c r="BG53" s="49" t="s">
        <v>3768</v>
      </c>
      <c r="BH53" s="49" t="s">
        <v>3768</v>
      </c>
      <c r="BI53" s="49" t="s">
        <v>3768</v>
      </c>
      <c r="BJ53" s="49" t="s">
        <v>3768</v>
      </c>
      <c r="BK53" s="49" t="s">
        <v>4207</v>
      </c>
      <c r="BL53" s="49" t="s">
        <v>5213</v>
      </c>
      <c r="BM53" s="49" t="s">
        <v>5214</v>
      </c>
      <c r="BN53" s="49" t="s">
        <v>5215</v>
      </c>
      <c r="BO53" s="49" t="s">
        <v>5117</v>
      </c>
      <c r="BP53" s="49" t="s">
        <v>5216</v>
      </c>
      <c r="BQ53" s="49" t="s">
        <v>5217</v>
      </c>
      <c r="BR53" s="49" t="s">
        <v>4113</v>
      </c>
      <c r="BS53" s="49" t="s">
        <v>4114</v>
      </c>
      <c r="BT53" s="49" t="s">
        <v>5218</v>
      </c>
    </row>
    <row r="54" spans="1:72" ht="45" customHeight="1">
      <c r="A54" s="49" t="s">
        <v>726</v>
      </c>
      <c r="B54" s="49" t="s">
        <v>727</v>
      </c>
      <c r="C54" s="49">
        <v>2022</v>
      </c>
      <c r="D54" s="49" t="s">
        <v>729</v>
      </c>
      <c r="E54" s="49" t="s">
        <v>730</v>
      </c>
      <c r="F54" s="49" t="s">
        <v>4076</v>
      </c>
      <c r="G54" s="49" t="s">
        <v>4077</v>
      </c>
      <c r="H54" s="49" t="s">
        <v>5219</v>
      </c>
      <c r="I54" s="49" t="s">
        <v>5220</v>
      </c>
      <c r="J54" s="49" t="s">
        <v>5221</v>
      </c>
      <c r="K54" s="49" t="s">
        <v>5222</v>
      </c>
      <c r="L54" s="49" t="s">
        <v>5223</v>
      </c>
      <c r="M54" s="49" t="s">
        <v>3813</v>
      </c>
      <c r="N54" s="49" t="s">
        <v>5224</v>
      </c>
      <c r="O54" s="49" t="s">
        <v>5225</v>
      </c>
      <c r="P54" s="49" t="s">
        <v>5226</v>
      </c>
      <c r="Q54" s="49" t="s">
        <v>5227</v>
      </c>
      <c r="R54" s="49" t="s">
        <v>5066</v>
      </c>
      <c r="S54" s="49" t="s">
        <v>5228</v>
      </c>
      <c r="T54" s="49" t="s">
        <v>5229</v>
      </c>
      <c r="U54" s="49" t="s">
        <v>5230</v>
      </c>
      <c r="V54" s="49" t="s">
        <v>5231</v>
      </c>
      <c r="W54" s="49" t="s">
        <v>5232</v>
      </c>
      <c r="X54" s="49" t="s">
        <v>5233</v>
      </c>
      <c r="Y54" s="49" t="s">
        <v>4127</v>
      </c>
      <c r="Z54" s="49" t="s">
        <v>3768</v>
      </c>
      <c r="AA54" s="49" t="s">
        <v>3813</v>
      </c>
      <c r="AB54" s="49" t="s">
        <v>3813</v>
      </c>
      <c r="AC54" s="49" t="s">
        <v>3813</v>
      </c>
      <c r="AD54" s="49" t="s">
        <v>5041</v>
      </c>
      <c r="AE54" s="49" t="s">
        <v>3768</v>
      </c>
      <c r="AF54" s="49" t="s">
        <v>4196</v>
      </c>
      <c r="AG54" s="49" t="s">
        <v>3768</v>
      </c>
      <c r="AH54" s="49" t="s">
        <v>3813</v>
      </c>
      <c r="AI54" s="49" t="s">
        <v>3768</v>
      </c>
      <c r="AJ54" s="49" t="s">
        <v>3813</v>
      </c>
      <c r="AK54" s="49" t="s">
        <v>3813</v>
      </c>
      <c r="AL54" s="49" t="s">
        <v>3813</v>
      </c>
      <c r="AM54" s="49" t="s">
        <v>4096</v>
      </c>
      <c r="AN54" s="49" t="s">
        <v>3813</v>
      </c>
      <c r="AO54" s="49" t="s">
        <v>3813</v>
      </c>
      <c r="AP54" s="49" t="s">
        <v>3813</v>
      </c>
      <c r="AQ54" s="49" t="s">
        <v>3813</v>
      </c>
      <c r="AR54" s="49" t="s">
        <v>3813</v>
      </c>
      <c r="AS54" s="49" t="s">
        <v>3813</v>
      </c>
      <c r="AT54" s="49" t="s">
        <v>3813</v>
      </c>
      <c r="AU54" s="49" t="s">
        <v>3813</v>
      </c>
      <c r="AV54" s="49" t="s">
        <v>84</v>
      </c>
      <c r="AW54" s="49" t="s">
        <v>5234</v>
      </c>
      <c r="AX54" s="49" t="s">
        <v>5235</v>
      </c>
      <c r="AY54" s="49" t="s">
        <v>5236</v>
      </c>
      <c r="AZ54" s="49" t="s">
        <v>84</v>
      </c>
      <c r="BA54" s="49" t="s">
        <v>5237</v>
      </c>
      <c r="BB54" s="49" t="s">
        <v>5238</v>
      </c>
      <c r="BC54" s="49" t="s">
        <v>5239</v>
      </c>
      <c r="BD54" s="49" t="s">
        <v>5240</v>
      </c>
      <c r="BE54" s="49" t="s">
        <v>3768</v>
      </c>
      <c r="BF54" s="49" t="s">
        <v>5241</v>
      </c>
      <c r="BG54" s="49" t="s">
        <v>3813</v>
      </c>
      <c r="BH54" s="49" t="s">
        <v>3768</v>
      </c>
      <c r="BI54" s="49" t="s">
        <v>3768</v>
      </c>
      <c r="BJ54" s="49" t="s">
        <v>3813</v>
      </c>
      <c r="BK54" s="49" t="s">
        <v>4138</v>
      </c>
      <c r="BL54" s="49" t="s">
        <v>5242</v>
      </c>
      <c r="BM54" s="49" t="s">
        <v>5243</v>
      </c>
      <c r="BN54" s="49" t="s">
        <v>5244</v>
      </c>
      <c r="BO54" s="49" t="s">
        <v>5245</v>
      </c>
      <c r="BP54" s="49" t="s">
        <v>5246</v>
      </c>
      <c r="BQ54" s="49" t="s">
        <v>5247</v>
      </c>
      <c r="BR54" s="49" t="s">
        <v>4113</v>
      </c>
      <c r="BS54" s="49" t="s">
        <v>4114</v>
      </c>
      <c r="BT54" s="49" t="s">
        <v>5248</v>
      </c>
    </row>
    <row r="55" spans="1:72" ht="45" customHeight="1">
      <c r="A55" s="49" t="s">
        <v>741</v>
      </c>
      <c r="B55" s="49" t="s">
        <v>742</v>
      </c>
      <c r="C55" s="49">
        <v>2026</v>
      </c>
      <c r="D55" s="49" t="s">
        <v>744</v>
      </c>
      <c r="E55" s="49" t="s">
        <v>745</v>
      </c>
      <c r="F55" s="49" t="s">
        <v>4076</v>
      </c>
      <c r="G55" s="49" t="s">
        <v>4077</v>
      </c>
      <c r="H55" s="49" t="s">
        <v>5249</v>
      </c>
      <c r="I55" s="49" t="s">
        <v>5250</v>
      </c>
      <c r="J55" s="49" t="s">
        <v>5251</v>
      </c>
      <c r="K55" s="49" t="s">
        <v>4182</v>
      </c>
      <c r="L55" s="49" t="s">
        <v>5252</v>
      </c>
      <c r="M55" s="49" t="s">
        <v>5253</v>
      </c>
      <c r="N55" s="49" t="s">
        <v>3813</v>
      </c>
      <c r="O55" s="49" t="s">
        <v>3813</v>
      </c>
      <c r="P55" s="49" t="s">
        <v>5254</v>
      </c>
      <c r="Q55" s="49" t="s">
        <v>5255</v>
      </c>
      <c r="R55" s="49" t="s">
        <v>5256</v>
      </c>
      <c r="S55" s="49" t="s">
        <v>5257</v>
      </c>
      <c r="T55" s="49" t="s">
        <v>5258</v>
      </c>
      <c r="U55" s="49" t="s">
        <v>5259</v>
      </c>
      <c r="V55" s="49" t="s">
        <v>5260</v>
      </c>
      <c r="W55" s="49" t="s">
        <v>5261</v>
      </c>
      <c r="X55" s="49" t="s">
        <v>5262</v>
      </c>
      <c r="Y55" s="49" t="s">
        <v>4194</v>
      </c>
      <c r="Z55" s="49" t="s">
        <v>3768</v>
      </c>
      <c r="AA55" s="49" t="s">
        <v>3768</v>
      </c>
      <c r="AB55" s="49" t="s">
        <v>3813</v>
      </c>
      <c r="AC55" s="49" t="s">
        <v>3768</v>
      </c>
      <c r="AD55" s="49" t="s">
        <v>5263</v>
      </c>
      <c r="AE55" s="49" t="s">
        <v>3768</v>
      </c>
      <c r="AF55" s="49" t="s">
        <v>4196</v>
      </c>
      <c r="AG55" s="49" t="s">
        <v>3768</v>
      </c>
      <c r="AH55" s="49" t="s">
        <v>3768</v>
      </c>
      <c r="AI55" s="49" t="s">
        <v>3768</v>
      </c>
      <c r="AJ55" s="49" t="s">
        <v>3813</v>
      </c>
      <c r="AK55" s="49" t="s">
        <v>3813</v>
      </c>
      <c r="AL55" s="49" t="s">
        <v>3813</v>
      </c>
      <c r="AM55" s="49" t="s">
        <v>4096</v>
      </c>
      <c r="AN55" s="49" t="s">
        <v>3813</v>
      </c>
      <c r="AO55" s="49" t="s">
        <v>3768</v>
      </c>
      <c r="AP55" s="49" t="s">
        <v>3768</v>
      </c>
      <c r="AQ55" s="49" t="s">
        <v>3768</v>
      </c>
      <c r="AR55" s="49" t="s">
        <v>3813</v>
      </c>
      <c r="AS55" s="49" t="s">
        <v>3768</v>
      </c>
      <c r="AT55" s="49" t="s">
        <v>3813</v>
      </c>
      <c r="AU55" s="49" t="s">
        <v>3813</v>
      </c>
      <c r="AV55" s="49" t="s">
        <v>5264</v>
      </c>
      <c r="AW55" s="49" t="s">
        <v>5074</v>
      </c>
      <c r="AX55" s="49" t="s">
        <v>5265</v>
      </c>
      <c r="AY55" s="49" t="s">
        <v>5266</v>
      </c>
      <c r="AZ55" s="49" t="s">
        <v>5267</v>
      </c>
      <c r="BA55" s="49" t="s">
        <v>5268</v>
      </c>
      <c r="BB55" s="49" t="s">
        <v>5269</v>
      </c>
      <c r="BC55" s="49" t="s">
        <v>5270</v>
      </c>
      <c r="BD55" s="49" t="s">
        <v>5271</v>
      </c>
      <c r="BE55" s="49" t="s">
        <v>3768</v>
      </c>
      <c r="BF55" s="49" t="s">
        <v>5272</v>
      </c>
      <c r="BG55" s="49" t="s">
        <v>3813</v>
      </c>
      <c r="BH55" s="49" t="s">
        <v>3768</v>
      </c>
      <c r="BI55" s="49" t="s">
        <v>3768</v>
      </c>
      <c r="BJ55" s="49" t="s">
        <v>3768</v>
      </c>
      <c r="BK55" s="49" t="s">
        <v>4171</v>
      </c>
      <c r="BL55" s="49" t="s">
        <v>5273</v>
      </c>
      <c r="BM55" s="49" t="s">
        <v>5274</v>
      </c>
      <c r="BN55" s="49" t="s">
        <v>5275</v>
      </c>
      <c r="BO55" s="49" t="s">
        <v>5276</v>
      </c>
      <c r="BP55" s="49" t="s">
        <v>5277</v>
      </c>
      <c r="BQ55" s="49" t="s">
        <v>5278</v>
      </c>
      <c r="BR55" s="49" t="s">
        <v>4113</v>
      </c>
      <c r="BS55" s="49" t="s">
        <v>4114</v>
      </c>
      <c r="BT55" s="49" t="s">
        <v>5279</v>
      </c>
    </row>
    <row r="56" spans="1:72" ht="45" customHeight="1">
      <c r="A56" s="49" t="s">
        <v>749</v>
      </c>
      <c r="B56" s="49" t="s">
        <v>750</v>
      </c>
      <c r="C56" s="49">
        <v>2024</v>
      </c>
      <c r="D56" s="49" t="s">
        <v>438</v>
      </c>
      <c r="E56" s="49" t="s">
        <v>752</v>
      </c>
      <c r="F56" s="49" t="s">
        <v>4076</v>
      </c>
      <c r="G56" s="49" t="s">
        <v>4077</v>
      </c>
      <c r="H56" s="49" t="s">
        <v>6740</v>
      </c>
      <c r="I56" s="49" t="s">
        <v>6741</v>
      </c>
      <c r="J56" s="49" t="s">
        <v>6742</v>
      </c>
      <c r="K56" s="49" t="s">
        <v>4119</v>
      </c>
      <c r="L56" s="49" t="s">
        <v>6743</v>
      </c>
      <c r="M56" s="49" t="s">
        <v>3813</v>
      </c>
      <c r="N56" s="49" t="s">
        <v>3813</v>
      </c>
      <c r="O56" s="49" t="s">
        <v>3813</v>
      </c>
      <c r="P56" s="49" t="s">
        <v>3813</v>
      </c>
      <c r="Q56" s="49" t="s">
        <v>6744</v>
      </c>
      <c r="R56" s="49" t="s">
        <v>6745</v>
      </c>
      <c r="S56" s="49" t="s">
        <v>6746</v>
      </c>
      <c r="T56" s="49" t="s">
        <v>6747</v>
      </c>
      <c r="U56" s="49" t="s">
        <v>6748</v>
      </c>
      <c r="V56" s="49" t="s">
        <v>6749</v>
      </c>
      <c r="W56" s="49" t="s">
        <v>6746</v>
      </c>
      <c r="X56" s="49" t="s">
        <v>6750</v>
      </c>
      <c r="Y56" s="49" t="s">
        <v>4127</v>
      </c>
      <c r="Z56" s="49" t="s">
        <v>3768</v>
      </c>
      <c r="AA56" s="49" t="s">
        <v>3813</v>
      </c>
      <c r="AB56" s="49" t="s">
        <v>3813</v>
      </c>
      <c r="AC56" s="49" t="s">
        <v>3813</v>
      </c>
      <c r="AD56" s="49" t="s">
        <v>4416</v>
      </c>
      <c r="AE56" s="49" t="s">
        <v>3768</v>
      </c>
      <c r="AF56" s="49" t="s">
        <v>4129</v>
      </c>
      <c r="AG56" s="49" t="s">
        <v>3813</v>
      </c>
      <c r="AH56" s="49" t="s">
        <v>3813</v>
      </c>
      <c r="AI56" s="49" t="s">
        <v>3813</v>
      </c>
      <c r="AJ56" s="49" t="s">
        <v>3813</v>
      </c>
      <c r="AK56" s="49" t="s">
        <v>3813</v>
      </c>
      <c r="AL56" s="49" t="s">
        <v>3813</v>
      </c>
      <c r="AM56" s="49" t="s">
        <v>84</v>
      </c>
      <c r="AN56" s="49" t="s">
        <v>84</v>
      </c>
      <c r="AO56" s="49" t="s">
        <v>3813</v>
      </c>
      <c r="AP56" s="49" t="s">
        <v>3813</v>
      </c>
      <c r="AQ56" s="49" t="s">
        <v>3813</v>
      </c>
      <c r="AR56" s="49" t="s">
        <v>3813</v>
      </c>
      <c r="AS56" s="49" t="s">
        <v>3813</v>
      </c>
      <c r="AT56" s="49" t="s">
        <v>3813</v>
      </c>
      <c r="AU56" s="49" t="s">
        <v>3813</v>
      </c>
      <c r="AV56" s="49" t="s">
        <v>6751</v>
      </c>
      <c r="AW56" s="49" t="s">
        <v>6752</v>
      </c>
      <c r="AX56" s="49" t="s">
        <v>6753</v>
      </c>
      <c r="AY56" s="49" t="s">
        <v>6754</v>
      </c>
      <c r="AZ56" s="49" t="s">
        <v>4101</v>
      </c>
      <c r="BA56" s="49" t="s">
        <v>6755</v>
      </c>
      <c r="BB56" s="49" t="s">
        <v>6756</v>
      </c>
      <c r="BC56" s="49" t="s">
        <v>6757</v>
      </c>
      <c r="BD56" s="49" t="s">
        <v>6758</v>
      </c>
      <c r="BE56" s="49" t="s">
        <v>3768</v>
      </c>
      <c r="BF56" s="49" t="s">
        <v>3813</v>
      </c>
      <c r="BG56" s="49" t="s">
        <v>3813</v>
      </c>
      <c r="BH56" s="49" t="s">
        <v>3768</v>
      </c>
      <c r="BI56" s="49" t="s">
        <v>3813</v>
      </c>
      <c r="BJ56" s="49" t="s">
        <v>3813</v>
      </c>
      <c r="BK56" s="49" t="s">
        <v>4138</v>
      </c>
      <c r="BL56" s="49" t="s">
        <v>6759</v>
      </c>
      <c r="BM56" s="49" t="s">
        <v>6760</v>
      </c>
      <c r="BN56" s="49" t="s">
        <v>6761</v>
      </c>
      <c r="BO56" s="49" t="s">
        <v>6762</v>
      </c>
      <c r="BP56" s="49" t="s">
        <v>6763</v>
      </c>
      <c r="BQ56" s="49" t="s">
        <v>6764</v>
      </c>
      <c r="BR56" s="49" t="s">
        <v>4113</v>
      </c>
      <c r="BS56" s="49" t="s">
        <v>4114</v>
      </c>
      <c r="BT56" s="49" t="s">
        <v>7564</v>
      </c>
    </row>
    <row r="57" spans="1:72" ht="45" customHeight="1">
      <c r="A57" s="49" t="s">
        <v>756</v>
      </c>
      <c r="B57" s="49" t="s">
        <v>757</v>
      </c>
      <c r="C57" s="49">
        <v>2026</v>
      </c>
      <c r="D57" s="49" t="s">
        <v>759</v>
      </c>
      <c r="E57" s="49" t="s">
        <v>760</v>
      </c>
      <c r="F57" s="49" t="s">
        <v>4770</v>
      </c>
      <c r="G57" s="49" t="s">
        <v>4077</v>
      </c>
      <c r="H57" s="49" t="s">
        <v>5280</v>
      </c>
      <c r="I57" s="49" t="s">
        <v>5281</v>
      </c>
      <c r="J57" s="49" t="s">
        <v>5282</v>
      </c>
      <c r="K57" s="49" t="s">
        <v>4218</v>
      </c>
      <c r="L57" s="49" t="s">
        <v>5283</v>
      </c>
      <c r="M57" s="49" t="s">
        <v>5284</v>
      </c>
      <c r="N57" s="49" t="s">
        <v>3813</v>
      </c>
      <c r="O57" s="49" t="s">
        <v>5285</v>
      </c>
      <c r="P57" s="49" t="s">
        <v>5286</v>
      </c>
      <c r="Q57" s="49" t="s">
        <v>84</v>
      </c>
      <c r="R57" s="49" t="s">
        <v>84</v>
      </c>
      <c r="S57" s="49" t="s">
        <v>84</v>
      </c>
      <c r="T57" s="49" t="s">
        <v>84</v>
      </c>
      <c r="U57" s="49" t="s">
        <v>5287</v>
      </c>
      <c r="V57" s="49" t="s">
        <v>5288</v>
      </c>
      <c r="W57" s="49" t="s">
        <v>5289</v>
      </c>
      <c r="X57" s="49" t="s">
        <v>5290</v>
      </c>
      <c r="Y57" s="49" t="s">
        <v>4194</v>
      </c>
      <c r="Z57" s="49" t="s">
        <v>3768</v>
      </c>
      <c r="AA57" s="49" t="s">
        <v>3768</v>
      </c>
      <c r="AB57" s="49" t="s">
        <v>3768</v>
      </c>
      <c r="AC57" s="49" t="s">
        <v>3768</v>
      </c>
      <c r="AD57" s="49" t="s">
        <v>4416</v>
      </c>
      <c r="AE57" s="49" t="s">
        <v>3768</v>
      </c>
      <c r="AF57" s="49" t="s">
        <v>4196</v>
      </c>
      <c r="AG57" s="49" t="s">
        <v>3768</v>
      </c>
      <c r="AH57" s="49" t="s">
        <v>3768</v>
      </c>
      <c r="AI57" s="49" t="s">
        <v>3768</v>
      </c>
      <c r="AJ57" s="49" t="s">
        <v>3813</v>
      </c>
      <c r="AK57" s="49" t="s">
        <v>3813</v>
      </c>
      <c r="AL57" s="49" t="s">
        <v>3813</v>
      </c>
      <c r="AM57" s="49" t="s">
        <v>4096</v>
      </c>
      <c r="AN57" s="49" t="s">
        <v>3813</v>
      </c>
      <c r="AO57" s="49" t="s">
        <v>3813</v>
      </c>
      <c r="AP57" s="49" t="s">
        <v>3813</v>
      </c>
      <c r="AQ57" s="49" t="s">
        <v>3813</v>
      </c>
      <c r="AR57" s="49" t="s">
        <v>3813</v>
      </c>
      <c r="AS57" s="49" t="s">
        <v>3813</v>
      </c>
      <c r="AT57" s="49" t="s">
        <v>3813</v>
      </c>
      <c r="AU57" s="49" t="s">
        <v>3813</v>
      </c>
      <c r="AV57" s="49" t="s">
        <v>3813</v>
      </c>
      <c r="AW57" s="49" t="s">
        <v>4387</v>
      </c>
      <c r="AX57" s="49" t="s">
        <v>84</v>
      </c>
      <c r="AY57" s="49" t="s">
        <v>5291</v>
      </c>
      <c r="AZ57" s="49" t="s">
        <v>84</v>
      </c>
      <c r="BA57" s="49" t="s">
        <v>5292</v>
      </c>
      <c r="BB57" s="49" t="s">
        <v>5293</v>
      </c>
      <c r="BC57" s="49" t="s">
        <v>5294</v>
      </c>
      <c r="BD57" s="49" t="s">
        <v>5295</v>
      </c>
      <c r="BE57" s="49" t="s">
        <v>3813</v>
      </c>
      <c r="BF57" s="49" t="s">
        <v>3813</v>
      </c>
      <c r="BG57" s="49" t="s">
        <v>3768</v>
      </c>
      <c r="BH57" s="49" t="s">
        <v>3768</v>
      </c>
      <c r="BI57" s="49" t="s">
        <v>3768</v>
      </c>
      <c r="BJ57" s="49" t="s">
        <v>3768</v>
      </c>
      <c r="BK57" s="49" t="s">
        <v>4106</v>
      </c>
      <c r="BL57" s="49" t="s">
        <v>5296</v>
      </c>
      <c r="BM57" s="49" t="s">
        <v>5297</v>
      </c>
      <c r="BN57" s="49" t="s">
        <v>5298</v>
      </c>
      <c r="BO57" s="49" t="s">
        <v>5299</v>
      </c>
      <c r="BP57" s="49" t="s">
        <v>5300</v>
      </c>
      <c r="BQ57" s="49" t="s">
        <v>5301</v>
      </c>
      <c r="BR57" s="49" t="s">
        <v>4113</v>
      </c>
      <c r="BS57" s="49" t="s">
        <v>4114</v>
      </c>
      <c r="BT57" s="49" t="s">
        <v>5302</v>
      </c>
    </row>
    <row r="58" spans="1:72" ht="45" customHeight="1">
      <c r="A58" s="49" t="s">
        <v>764</v>
      </c>
      <c r="B58" s="49" t="s">
        <v>765</v>
      </c>
      <c r="C58" s="49">
        <v>2026</v>
      </c>
      <c r="D58" s="49" t="s">
        <v>570</v>
      </c>
      <c r="E58" s="49" t="s">
        <v>767</v>
      </c>
      <c r="F58" s="49" t="s">
        <v>4076</v>
      </c>
      <c r="G58" s="49" t="s">
        <v>4077</v>
      </c>
      <c r="H58" s="49" t="s">
        <v>6765</v>
      </c>
      <c r="I58" s="49" t="s">
        <v>6766</v>
      </c>
      <c r="J58" s="49" t="s">
        <v>6767</v>
      </c>
      <c r="K58" s="49" t="s">
        <v>4081</v>
      </c>
      <c r="L58" s="49" t="s">
        <v>6768</v>
      </c>
      <c r="M58" s="49" t="s">
        <v>3813</v>
      </c>
      <c r="N58" s="49" t="s">
        <v>6769</v>
      </c>
      <c r="O58" s="49" t="s">
        <v>3813</v>
      </c>
      <c r="P58" s="49" t="s">
        <v>3813</v>
      </c>
      <c r="Q58" s="49" t="s">
        <v>6770</v>
      </c>
      <c r="R58" s="49" t="s">
        <v>4187</v>
      </c>
      <c r="S58" s="49" t="s">
        <v>4565</v>
      </c>
      <c r="T58" s="49" t="s">
        <v>6771</v>
      </c>
      <c r="U58" s="49" t="s">
        <v>6772</v>
      </c>
      <c r="V58" s="49" t="s">
        <v>6773</v>
      </c>
      <c r="W58" s="49" t="s">
        <v>6774</v>
      </c>
      <c r="X58" s="49" t="s">
        <v>6775</v>
      </c>
      <c r="Y58" s="49" t="s">
        <v>4160</v>
      </c>
      <c r="Z58" s="49" t="s">
        <v>3768</v>
      </c>
      <c r="AA58" s="49" t="s">
        <v>3768</v>
      </c>
      <c r="AB58" s="49" t="s">
        <v>3813</v>
      </c>
      <c r="AC58" s="49" t="s">
        <v>3768</v>
      </c>
      <c r="AD58" s="49" t="s">
        <v>6776</v>
      </c>
      <c r="AE58" s="49" t="s">
        <v>3813</v>
      </c>
      <c r="AF58" s="49" t="s">
        <v>4196</v>
      </c>
      <c r="AG58" s="49" t="s">
        <v>3768</v>
      </c>
      <c r="AH58" s="49" t="s">
        <v>3768</v>
      </c>
      <c r="AI58" s="49" t="s">
        <v>3768</v>
      </c>
      <c r="AJ58" s="49" t="s">
        <v>3813</v>
      </c>
      <c r="AK58" s="49" t="s">
        <v>3813</v>
      </c>
      <c r="AL58" s="49" t="s">
        <v>3813</v>
      </c>
      <c r="AM58" s="49" t="s">
        <v>4096</v>
      </c>
      <c r="AN58" s="49" t="s">
        <v>3813</v>
      </c>
      <c r="AO58" s="49" t="s">
        <v>3813</v>
      </c>
      <c r="AP58" s="49" t="s">
        <v>3813</v>
      </c>
      <c r="AQ58" s="49" t="s">
        <v>3813</v>
      </c>
      <c r="AR58" s="49" t="s">
        <v>3813</v>
      </c>
      <c r="AS58" s="49" t="s">
        <v>3813</v>
      </c>
      <c r="AT58" s="49" t="s">
        <v>3813</v>
      </c>
      <c r="AU58" s="49" t="s">
        <v>3813</v>
      </c>
      <c r="AV58" s="49" t="s">
        <v>6777</v>
      </c>
      <c r="AW58" s="49" t="s">
        <v>4387</v>
      </c>
      <c r="AX58" s="49" t="s">
        <v>6778</v>
      </c>
      <c r="AY58" s="49" t="s">
        <v>6779</v>
      </c>
      <c r="AZ58" s="49" t="s">
        <v>6780</v>
      </c>
      <c r="BA58" s="49" t="s">
        <v>6781</v>
      </c>
      <c r="BB58" s="49" t="s">
        <v>6782</v>
      </c>
      <c r="BC58" s="49" t="s">
        <v>6783</v>
      </c>
      <c r="BD58" s="49" t="s">
        <v>6784</v>
      </c>
      <c r="BE58" s="49" t="s">
        <v>3768</v>
      </c>
      <c r="BF58" s="49" t="s">
        <v>3813</v>
      </c>
      <c r="BG58" s="49" t="s">
        <v>3813</v>
      </c>
      <c r="BH58" s="49" t="s">
        <v>3768</v>
      </c>
      <c r="BI58" s="49" t="s">
        <v>3768</v>
      </c>
      <c r="BJ58" s="49" t="s">
        <v>3768</v>
      </c>
      <c r="BK58" s="49" t="s">
        <v>4106</v>
      </c>
      <c r="BL58" s="49" t="s">
        <v>6785</v>
      </c>
      <c r="BM58" s="49" t="s">
        <v>6786</v>
      </c>
      <c r="BN58" s="49" t="s">
        <v>6787</v>
      </c>
      <c r="BO58" s="49" t="s">
        <v>6788</v>
      </c>
      <c r="BP58" s="49" t="s">
        <v>6789</v>
      </c>
      <c r="BQ58" s="49" t="s">
        <v>6790</v>
      </c>
      <c r="BR58" s="49" t="s">
        <v>4113</v>
      </c>
      <c r="BS58" s="49" t="s">
        <v>4114</v>
      </c>
      <c r="BT58" s="49" t="s">
        <v>7565</v>
      </c>
    </row>
    <row r="59" spans="1:72" ht="45" customHeight="1">
      <c r="A59" s="49" t="s">
        <v>778</v>
      </c>
      <c r="B59" s="49" t="s">
        <v>779</v>
      </c>
      <c r="C59" s="49">
        <v>2024</v>
      </c>
      <c r="D59" s="49" t="s">
        <v>438</v>
      </c>
      <c r="E59" s="49" t="s">
        <v>781</v>
      </c>
      <c r="F59" s="49" t="s">
        <v>4770</v>
      </c>
      <c r="G59" s="49" t="s">
        <v>4077</v>
      </c>
      <c r="H59" s="49" t="s">
        <v>5303</v>
      </c>
      <c r="I59" s="49" t="s">
        <v>5304</v>
      </c>
      <c r="J59" s="49" t="s">
        <v>5305</v>
      </c>
      <c r="K59" s="49" t="s">
        <v>5306</v>
      </c>
      <c r="L59" s="49" t="s">
        <v>5307</v>
      </c>
      <c r="M59" s="49" t="s">
        <v>5308</v>
      </c>
      <c r="N59" s="49" t="s">
        <v>5309</v>
      </c>
      <c r="O59" s="49" t="s">
        <v>3813</v>
      </c>
      <c r="P59" s="49" t="s">
        <v>5310</v>
      </c>
      <c r="Q59" s="49" t="s">
        <v>5311</v>
      </c>
      <c r="R59" s="49" t="s">
        <v>5312</v>
      </c>
      <c r="S59" s="49" t="s">
        <v>5313</v>
      </c>
      <c r="T59" s="49" t="s">
        <v>5314</v>
      </c>
      <c r="U59" s="49" t="s">
        <v>5315</v>
      </c>
      <c r="V59" s="49" t="s">
        <v>5316</v>
      </c>
      <c r="W59" s="49" t="s">
        <v>5317</v>
      </c>
      <c r="X59" s="49" t="s">
        <v>5318</v>
      </c>
      <c r="Y59" s="49" t="s">
        <v>4194</v>
      </c>
      <c r="Z59" s="49" t="s">
        <v>3768</v>
      </c>
      <c r="AA59" s="49" t="s">
        <v>3768</v>
      </c>
      <c r="AB59" s="49" t="s">
        <v>3768</v>
      </c>
      <c r="AC59" s="49" t="s">
        <v>3768</v>
      </c>
      <c r="AD59" s="49" t="s">
        <v>5319</v>
      </c>
      <c r="AE59" s="49" t="s">
        <v>3813</v>
      </c>
      <c r="AF59" s="49" t="s">
        <v>4196</v>
      </c>
      <c r="AG59" s="49" t="s">
        <v>3768</v>
      </c>
      <c r="AH59" s="49" t="s">
        <v>3768</v>
      </c>
      <c r="AI59" s="49" t="s">
        <v>3768</v>
      </c>
      <c r="AJ59" s="49" t="s">
        <v>3768</v>
      </c>
      <c r="AK59" s="49" t="s">
        <v>3813</v>
      </c>
      <c r="AL59" s="49" t="s">
        <v>3813</v>
      </c>
      <c r="AM59" s="49" t="s">
        <v>4096</v>
      </c>
      <c r="AN59" s="49" t="s">
        <v>3813</v>
      </c>
      <c r="AO59" s="49" t="s">
        <v>3768</v>
      </c>
      <c r="AP59" s="49" t="s">
        <v>3768</v>
      </c>
      <c r="AQ59" s="49" t="s">
        <v>3768</v>
      </c>
      <c r="AR59" s="49" t="s">
        <v>3813</v>
      </c>
      <c r="AS59" s="49" t="s">
        <v>3813</v>
      </c>
      <c r="AT59" s="49" t="s">
        <v>3813</v>
      </c>
      <c r="AU59" s="49" t="s">
        <v>3813</v>
      </c>
      <c r="AV59" s="49" t="s">
        <v>84</v>
      </c>
      <c r="AW59" s="49" t="s">
        <v>5320</v>
      </c>
      <c r="AX59" s="49" t="s">
        <v>5321</v>
      </c>
      <c r="AY59" s="49" t="s">
        <v>5322</v>
      </c>
      <c r="AZ59" s="49" t="s">
        <v>5323</v>
      </c>
      <c r="BA59" s="49" t="s">
        <v>5324</v>
      </c>
      <c r="BB59" s="49" t="s">
        <v>5325</v>
      </c>
      <c r="BC59" s="49" t="s">
        <v>5326</v>
      </c>
      <c r="BD59" s="49" t="s">
        <v>5327</v>
      </c>
      <c r="BE59" s="49" t="s">
        <v>3813</v>
      </c>
      <c r="BF59" s="49" t="s">
        <v>5328</v>
      </c>
      <c r="BG59" s="49" t="s">
        <v>4243</v>
      </c>
      <c r="BH59" s="49" t="s">
        <v>3768</v>
      </c>
      <c r="BI59" s="49" t="s">
        <v>3768</v>
      </c>
      <c r="BJ59" s="49" t="s">
        <v>3768</v>
      </c>
      <c r="BK59" s="49" t="s">
        <v>4171</v>
      </c>
      <c r="BL59" s="49" t="s">
        <v>5329</v>
      </c>
      <c r="BM59" s="49" t="s">
        <v>5330</v>
      </c>
      <c r="BN59" s="49" t="s">
        <v>5331</v>
      </c>
      <c r="BO59" s="49" t="s">
        <v>5332</v>
      </c>
      <c r="BP59" s="49" t="s">
        <v>5333</v>
      </c>
      <c r="BQ59" s="49" t="s">
        <v>5334</v>
      </c>
      <c r="BR59" s="49" t="s">
        <v>4113</v>
      </c>
      <c r="BS59" s="49" t="s">
        <v>4114</v>
      </c>
      <c r="BT59" s="49" t="s">
        <v>5335</v>
      </c>
    </row>
    <row r="60" spans="1:72" ht="45" customHeight="1">
      <c r="A60" s="49" t="s">
        <v>785</v>
      </c>
      <c r="B60" s="49" t="s">
        <v>786</v>
      </c>
      <c r="C60" s="49">
        <v>2026</v>
      </c>
      <c r="D60" s="49" t="s">
        <v>744</v>
      </c>
      <c r="E60" s="49" t="s">
        <v>788</v>
      </c>
      <c r="F60" s="49" t="s">
        <v>4770</v>
      </c>
      <c r="G60" s="49" t="s">
        <v>4077</v>
      </c>
      <c r="H60" s="49" t="s">
        <v>5336</v>
      </c>
      <c r="I60" s="49" t="s">
        <v>5337</v>
      </c>
      <c r="J60" s="49" t="s">
        <v>5338</v>
      </c>
      <c r="K60" s="49" t="s">
        <v>5339</v>
      </c>
      <c r="L60" s="49" t="s">
        <v>5340</v>
      </c>
      <c r="M60" s="49" t="s">
        <v>3813</v>
      </c>
      <c r="N60" s="49" t="s">
        <v>5341</v>
      </c>
      <c r="O60" s="49" t="s">
        <v>3813</v>
      </c>
      <c r="P60" s="49" t="s">
        <v>5342</v>
      </c>
      <c r="Q60" s="49" t="s">
        <v>5343</v>
      </c>
      <c r="R60" s="49" t="s">
        <v>5344</v>
      </c>
      <c r="S60" s="49" t="s">
        <v>5345</v>
      </c>
      <c r="T60" s="49" t="s">
        <v>5346</v>
      </c>
      <c r="U60" s="49" t="s">
        <v>5347</v>
      </c>
      <c r="V60" s="49" t="s">
        <v>5344</v>
      </c>
      <c r="W60" s="49" t="s">
        <v>5345</v>
      </c>
      <c r="X60" s="49" t="s">
        <v>4101</v>
      </c>
      <c r="Y60" s="49" t="s">
        <v>4194</v>
      </c>
      <c r="Z60" s="49" t="s">
        <v>3768</v>
      </c>
      <c r="AA60" s="49" t="s">
        <v>3768</v>
      </c>
      <c r="AB60" s="49" t="s">
        <v>3768</v>
      </c>
      <c r="AC60" s="49" t="s">
        <v>3768</v>
      </c>
      <c r="AD60" s="49" t="s">
        <v>5348</v>
      </c>
      <c r="AE60" s="49" t="s">
        <v>3813</v>
      </c>
      <c r="AF60" s="49" t="s">
        <v>4129</v>
      </c>
      <c r="AG60" s="49" t="s">
        <v>3813</v>
      </c>
      <c r="AH60" s="49" t="s">
        <v>3813</v>
      </c>
      <c r="AI60" s="49" t="s">
        <v>3813</v>
      </c>
      <c r="AJ60" s="49" t="s">
        <v>3813</v>
      </c>
      <c r="AK60" s="49" t="s">
        <v>3813</v>
      </c>
      <c r="AL60" s="49" t="s">
        <v>3813</v>
      </c>
      <c r="AM60" s="49" t="s">
        <v>84</v>
      </c>
      <c r="AN60" s="49" t="s">
        <v>84</v>
      </c>
      <c r="AO60" s="49" t="s">
        <v>3768</v>
      </c>
      <c r="AP60" s="49" t="s">
        <v>3768</v>
      </c>
      <c r="AQ60" s="49" t="s">
        <v>3813</v>
      </c>
      <c r="AR60" s="49" t="s">
        <v>3813</v>
      </c>
      <c r="AS60" s="49" t="s">
        <v>3813</v>
      </c>
      <c r="AT60" s="49" t="s">
        <v>3813</v>
      </c>
      <c r="AU60" s="49" t="s">
        <v>3813</v>
      </c>
      <c r="AV60" s="49" t="s">
        <v>3813</v>
      </c>
      <c r="AW60" s="49" t="s">
        <v>5350</v>
      </c>
      <c r="AX60" s="49" t="s">
        <v>5351</v>
      </c>
      <c r="AY60" s="49" t="s">
        <v>84</v>
      </c>
      <c r="AZ60" s="49" t="s">
        <v>5352</v>
      </c>
      <c r="BA60" s="49" t="s">
        <v>5353</v>
      </c>
      <c r="BB60" s="49" t="s">
        <v>5354</v>
      </c>
      <c r="BC60" s="49" t="s">
        <v>5355</v>
      </c>
      <c r="BD60" s="49" t="s">
        <v>5356</v>
      </c>
      <c r="BE60" s="49" t="s">
        <v>3768</v>
      </c>
      <c r="BF60" s="49" t="s">
        <v>5357</v>
      </c>
      <c r="BG60" s="49" t="s">
        <v>3768</v>
      </c>
      <c r="BH60" s="49" t="s">
        <v>3768</v>
      </c>
      <c r="BI60" s="49" t="s">
        <v>3768</v>
      </c>
      <c r="BJ60" s="49" t="s">
        <v>3813</v>
      </c>
      <c r="BK60" s="49" t="s">
        <v>4138</v>
      </c>
      <c r="BL60" s="49" t="s">
        <v>5358</v>
      </c>
      <c r="BM60" s="49" t="s">
        <v>5359</v>
      </c>
      <c r="BN60" s="49" t="s">
        <v>5360</v>
      </c>
      <c r="BO60" s="49" t="s">
        <v>5361</v>
      </c>
      <c r="BP60" s="49" t="s">
        <v>5362</v>
      </c>
      <c r="BQ60" s="49" t="s">
        <v>5363</v>
      </c>
      <c r="BR60" s="49" t="s">
        <v>4113</v>
      </c>
      <c r="BS60" s="49" t="s">
        <v>4114</v>
      </c>
      <c r="BT60" s="49" t="s">
        <v>5364</v>
      </c>
    </row>
    <row r="61" spans="1:72" ht="45" customHeight="1">
      <c r="A61" s="49" t="s">
        <v>805</v>
      </c>
      <c r="B61" s="49" t="s">
        <v>806</v>
      </c>
      <c r="C61" s="49">
        <v>2025</v>
      </c>
      <c r="D61" s="49" t="s">
        <v>5365</v>
      </c>
      <c r="E61" s="49" t="s">
        <v>809</v>
      </c>
      <c r="F61" s="49" t="s">
        <v>4076</v>
      </c>
      <c r="G61" s="49" t="s">
        <v>4077</v>
      </c>
      <c r="H61" s="49" t="s">
        <v>5366</v>
      </c>
      <c r="I61" s="49" t="s">
        <v>5367</v>
      </c>
      <c r="J61" s="49" t="s">
        <v>5368</v>
      </c>
      <c r="K61" s="49" t="s">
        <v>4182</v>
      </c>
      <c r="L61" s="49" t="s">
        <v>5369</v>
      </c>
      <c r="M61" s="49" t="s">
        <v>5370</v>
      </c>
      <c r="N61" s="49" t="s">
        <v>3813</v>
      </c>
      <c r="O61" s="49" t="s">
        <v>3813</v>
      </c>
      <c r="P61" s="49" t="s">
        <v>5371</v>
      </c>
      <c r="Q61" s="49" t="s">
        <v>5372</v>
      </c>
      <c r="R61" s="49" t="s">
        <v>5373</v>
      </c>
      <c r="S61" s="49" t="s">
        <v>4411</v>
      </c>
      <c r="T61" s="49">
        <v>24000</v>
      </c>
      <c r="U61" s="49" t="s">
        <v>5374</v>
      </c>
      <c r="V61" s="49" t="s">
        <v>5373</v>
      </c>
      <c r="W61" s="49" t="s">
        <v>5375</v>
      </c>
      <c r="X61" s="49">
        <v>3000</v>
      </c>
      <c r="Y61" s="49" t="s">
        <v>4127</v>
      </c>
      <c r="Z61" s="49" t="s">
        <v>3768</v>
      </c>
      <c r="AA61" s="49" t="s">
        <v>3813</v>
      </c>
      <c r="AB61" s="49" t="s">
        <v>3813</v>
      </c>
      <c r="AC61" s="49" t="s">
        <v>3813</v>
      </c>
      <c r="AD61" s="49" t="s">
        <v>4416</v>
      </c>
      <c r="AE61" s="49" t="s">
        <v>3768</v>
      </c>
      <c r="AF61" s="49" t="s">
        <v>4095</v>
      </c>
      <c r="AG61" s="49" t="s">
        <v>3768</v>
      </c>
      <c r="AH61" s="49" t="s">
        <v>3813</v>
      </c>
      <c r="AI61" s="49" t="s">
        <v>3813</v>
      </c>
      <c r="AJ61" s="49" t="s">
        <v>3813</v>
      </c>
      <c r="AK61" s="49" t="s">
        <v>3813</v>
      </c>
      <c r="AL61" s="49" t="s">
        <v>3813</v>
      </c>
      <c r="AM61" s="49" t="s">
        <v>4096</v>
      </c>
      <c r="AN61" s="49" t="s">
        <v>3813</v>
      </c>
      <c r="AO61" s="49" t="s">
        <v>3813</v>
      </c>
      <c r="AP61" s="49" t="s">
        <v>3813</v>
      </c>
      <c r="AQ61" s="49" t="s">
        <v>3813</v>
      </c>
      <c r="AR61" s="49" t="s">
        <v>3813</v>
      </c>
      <c r="AS61" s="49" t="s">
        <v>3813</v>
      </c>
      <c r="AT61" s="49" t="s">
        <v>3813</v>
      </c>
      <c r="AU61" s="49" t="s">
        <v>3813</v>
      </c>
      <c r="AV61" s="49" t="s">
        <v>3813</v>
      </c>
      <c r="AW61" s="49" t="s">
        <v>5376</v>
      </c>
      <c r="AX61" s="49" t="s">
        <v>5377</v>
      </c>
      <c r="AY61" s="49" t="s">
        <v>5378</v>
      </c>
      <c r="AZ61" s="49" t="s">
        <v>84</v>
      </c>
      <c r="BA61" s="49" t="s">
        <v>5379</v>
      </c>
      <c r="BB61" s="49" t="s">
        <v>5380</v>
      </c>
      <c r="BC61" s="49" t="s">
        <v>5381</v>
      </c>
      <c r="BD61" s="49" t="s">
        <v>5382</v>
      </c>
      <c r="BE61" s="49" t="s">
        <v>3768</v>
      </c>
      <c r="BF61" s="49" t="s">
        <v>3813</v>
      </c>
      <c r="BG61" s="49" t="s">
        <v>3813</v>
      </c>
      <c r="BH61" s="49" t="s">
        <v>3768</v>
      </c>
      <c r="BI61" s="49" t="s">
        <v>3768</v>
      </c>
      <c r="BJ61" s="49" t="s">
        <v>3768</v>
      </c>
      <c r="BK61" s="49" t="s">
        <v>4171</v>
      </c>
      <c r="BL61" s="49" t="s">
        <v>5383</v>
      </c>
      <c r="BM61" s="49" t="s">
        <v>5384</v>
      </c>
      <c r="BN61" s="49" t="s">
        <v>5385</v>
      </c>
      <c r="BO61" s="49" t="s">
        <v>5386</v>
      </c>
      <c r="BP61" s="49" t="s">
        <v>5387</v>
      </c>
      <c r="BQ61" s="49" t="s">
        <v>5388</v>
      </c>
      <c r="BR61" s="49" t="s">
        <v>4113</v>
      </c>
      <c r="BS61" s="49" t="s">
        <v>4114</v>
      </c>
      <c r="BT61" s="49" t="s">
        <v>5389</v>
      </c>
    </row>
    <row r="62" spans="1:72" ht="45" customHeight="1">
      <c r="A62" s="49" t="s">
        <v>812</v>
      </c>
      <c r="B62" s="49" t="s">
        <v>813</v>
      </c>
      <c r="C62" s="49">
        <v>2026</v>
      </c>
      <c r="D62" s="49" t="s">
        <v>277</v>
      </c>
      <c r="E62" s="49" t="s">
        <v>815</v>
      </c>
      <c r="F62" s="49" t="s">
        <v>4076</v>
      </c>
      <c r="G62" s="49" t="s">
        <v>4077</v>
      </c>
      <c r="H62" s="49" t="s">
        <v>6791</v>
      </c>
      <c r="I62" s="49" t="s">
        <v>6792</v>
      </c>
      <c r="J62" s="49" t="s">
        <v>6793</v>
      </c>
      <c r="K62" s="49" t="s">
        <v>6794</v>
      </c>
      <c r="L62" s="49" t="s">
        <v>6795</v>
      </c>
      <c r="M62" s="49" t="s">
        <v>6796</v>
      </c>
      <c r="N62" s="49" t="s">
        <v>6797</v>
      </c>
      <c r="O62" s="49" t="s">
        <v>3813</v>
      </c>
      <c r="P62" s="49" t="s">
        <v>6798</v>
      </c>
      <c r="Q62" s="49" t="s">
        <v>6799</v>
      </c>
      <c r="R62" s="49" t="s">
        <v>6800</v>
      </c>
      <c r="S62" s="49" t="s">
        <v>6801</v>
      </c>
      <c r="T62" s="49" t="s">
        <v>6802</v>
      </c>
      <c r="U62" s="49" t="s">
        <v>6803</v>
      </c>
      <c r="V62" s="49" t="s">
        <v>6800</v>
      </c>
      <c r="W62" s="49" t="s">
        <v>6804</v>
      </c>
      <c r="X62" s="49" t="s">
        <v>6805</v>
      </c>
      <c r="Y62" s="49" t="s">
        <v>4160</v>
      </c>
      <c r="Z62" s="49" t="s">
        <v>3768</v>
      </c>
      <c r="AA62" s="49" t="s">
        <v>3768</v>
      </c>
      <c r="AB62" s="49" t="s">
        <v>3813</v>
      </c>
      <c r="AC62" s="49" t="s">
        <v>3768</v>
      </c>
      <c r="AD62" s="49" t="s">
        <v>6806</v>
      </c>
      <c r="AE62" s="49" t="s">
        <v>3813</v>
      </c>
      <c r="AF62" s="49" t="s">
        <v>4196</v>
      </c>
      <c r="AG62" s="49" t="s">
        <v>3768</v>
      </c>
      <c r="AH62" s="49" t="s">
        <v>3768</v>
      </c>
      <c r="AI62" s="49" t="s">
        <v>3813</v>
      </c>
      <c r="AJ62" s="49" t="s">
        <v>3813</v>
      </c>
      <c r="AK62" s="49" t="s">
        <v>3813</v>
      </c>
      <c r="AL62" s="49" t="s">
        <v>3768</v>
      </c>
      <c r="AM62" s="49" t="s">
        <v>5169</v>
      </c>
      <c r="AN62" s="49" t="s">
        <v>3768</v>
      </c>
      <c r="AO62" s="49" t="s">
        <v>3768</v>
      </c>
      <c r="AP62" s="49" t="s">
        <v>3768</v>
      </c>
      <c r="AQ62" s="49" t="s">
        <v>3768</v>
      </c>
      <c r="AR62" s="49" t="s">
        <v>3813</v>
      </c>
      <c r="AS62" s="49" t="s">
        <v>3813</v>
      </c>
      <c r="AT62" s="49" t="s">
        <v>3813</v>
      </c>
      <c r="AU62" s="49" t="s">
        <v>3813</v>
      </c>
      <c r="AV62" s="49" t="s">
        <v>6807</v>
      </c>
      <c r="AW62" s="49" t="s">
        <v>6808</v>
      </c>
      <c r="AX62" s="49" t="s">
        <v>6809</v>
      </c>
      <c r="AY62" s="49" t="s">
        <v>6810</v>
      </c>
      <c r="AZ62" s="49" t="s">
        <v>6811</v>
      </c>
      <c r="BA62" s="49" t="s">
        <v>6812</v>
      </c>
      <c r="BB62" s="49" t="s">
        <v>6813</v>
      </c>
      <c r="BC62" s="49" t="s">
        <v>6814</v>
      </c>
      <c r="BD62" s="49" t="s">
        <v>6815</v>
      </c>
      <c r="BE62" s="49" t="s">
        <v>3768</v>
      </c>
      <c r="BF62" s="49" t="s">
        <v>3813</v>
      </c>
      <c r="BG62" s="49" t="s">
        <v>3813</v>
      </c>
      <c r="BH62" s="49" t="s">
        <v>3813</v>
      </c>
      <c r="BI62" s="49" t="s">
        <v>3768</v>
      </c>
      <c r="BJ62" s="49" t="s">
        <v>3768</v>
      </c>
      <c r="BK62" s="49" t="s">
        <v>4171</v>
      </c>
      <c r="BL62" s="49" t="s">
        <v>6816</v>
      </c>
      <c r="BM62" s="49" t="s">
        <v>6817</v>
      </c>
      <c r="BN62" s="49" t="s">
        <v>6818</v>
      </c>
      <c r="BO62" s="49" t="s">
        <v>6819</v>
      </c>
      <c r="BP62" s="49" t="s">
        <v>6820</v>
      </c>
      <c r="BQ62" s="49" t="s">
        <v>6821</v>
      </c>
      <c r="BR62" s="49" t="s">
        <v>4113</v>
      </c>
      <c r="BS62" s="49" t="s">
        <v>4114</v>
      </c>
      <c r="BT62" s="49" t="s">
        <v>7566</v>
      </c>
    </row>
    <row r="63" spans="1:72" ht="45" customHeight="1">
      <c r="A63" s="49" t="s">
        <v>819</v>
      </c>
      <c r="B63" s="49" t="s">
        <v>820</v>
      </c>
      <c r="C63" s="49">
        <v>2026</v>
      </c>
      <c r="D63" s="49" t="s">
        <v>239</v>
      </c>
      <c r="E63" s="49" t="s">
        <v>822</v>
      </c>
      <c r="F63" s="49" t="s">
        <v>4076</v>
      </c>
      <c r="G63" s="49" t="s">
        <v>4077</v>
      </c>
      <c r="H63" s="49" t="s">
        <v>6822</v>
      </c>
      <c r="I63" s="49" t="s">
        <v>6823</v>
      </c>
      <c r="J63" s="49" t="s">
        <v>6824</v>
      </c>
      <c r="K63" s="49" t="s">
        <v>5155</v>
      </c>
      <c r="L63" s="49" t="s">
        <v>6825</v>
      </c>
      <c r="M63" s="49" t="s">
        <v>3813</v>
      </c>
      <c r="N63" s="49" t="s">
        <v>6826</v>
      </c>
      <c r="O63" s="49" t="s">
        <v>3813</v>
      </c>
      <c r="P63" s="49" t="s">
        <v>3813</v>
      </c>
      <c r="Q63" s="49" t="s">
        <v>6827</v>
      </c>
      <c r="R63" s="49" t="s">
        <v>6828</v>
      </c>
      <c r="S63" s="49" t="s">
        <v>6829</v>
      </c>
      <c r="T63" s="49" t="s">
        <v>6830</v>
      </c>
      <c r="U63" s="49" t="s">
        <v>6831</v>
      </c>
      <c r="V63" s="49" t="s">
        <v>6832</v>
      </c>
      <c r="W63" s="49" t="s">
        <v>6833</v>
      </c>
      <c r="X63" s="49" t="s">
        <v>6834</v>
      </c>
      <c r="Y63" s="49" t="s">
        <v>4194</v>
      </c>
      <c r="Z63" s="49" t="s">
        <v>3768</v>
      </c>
      <c r="AA63" s="49" t="s">
        <v>3768</v>
      </c>
      <c r="AB63" s="49" t="s">
        <v>3768</v>
      </c>
      <c r="AC63" s="49" t="s">
        <v>3768</v>
      </c>
      <c r="AD63" s="49" t="s">
        <v>6402</v>
      </c>
      <c r="AE63" s="49" t="s">
        <v>3813</v>
      </c>
      <c r="AF63" s="49" t="s">
        <v>4196</v>
      </c>
      <c r="AG63" s="49" t="s">
        <v>3768</v>
      </c>
      <c r="AH63" s="49" t="s">
        <v>3768</v>
      </c>
      <c r="AI63" s="49" t="s">
        <v>3768</v>
      </c>
      <c r="AJ63" s="49" t="s">
        <v>3768</v>
      </c>
      <c r="AK63" s="49" t="s">
        <v>3813</v>
      </c>
      <c r="AL63" s="49" t="s">
        <v>3768</v>
      </c>
      <c r="AM63" s="49" t="s">
        <v>4162</v>
      </c>
      <c r="AN63" s="49" t="s">
        <v>3768</v>
      </c>
      <c r="AO63" s="49" t="s">
        <v>3768</v>
      </c>
      <c r="AP63" s="49" t="s">
        <v>3768</v>
      </c>
      <c r="AQ63" s="49" t="s">
        <v>3768</v>
      </c>
      <c r="AR63" s="49" t="s">
        <v>3813</v>
      </c>
      <c r="AS63" s="49" t="s">
        <v>3813</v>
      </c>
      <c r="AT63" s="49" t="s">
        <v>3813</v>
      </c>
      <c r="AU63" s="49" t="s">
        <v>3813</v>
      </c>
      <c r="AV63" s="49" t="s">
        <v>6835</v>
      </c>
      <c r="AW63" s="49" t="s">
        <v>6836</v>
      </c>
      <c r="AX63" s="49" t="s">
        <v>6778</v>
      </c>
      <c r="AY63" s="49" t="s">
        <v>6837</v>
      </c>
      <c r="AZ63" s="49" t="s">
        <v>6838</v>
      </c>
      <c r="BA63" s="49" t="s">
        <v>6839</v>
      </c>
      <c r="BB63" s="49" t="s">
        <v>6840</v>
      </c>
      <c r="BC63" s="49" t="s">
        <v>6841</v>
      </c>
      <c r="BD63" s="49" t="s">
        <v>6842</v>
      </c>
      <c r="BE63" s="49" t="s">
        <v>3768</v>
      </c>
      <c r="BF63" s="49" t="s">
        <v>3813</v>
      </c>
      <c r="BG63" s="49" t="s">
        <v>3813</v>
      </c>
      <c r="BH63" s="49" t="s">
        <v>3768</v>
      </c>
      <c r="BI63" s="49" t="s">
        <v>3768</v>
      </c>
      <c r="BJ63" s="49" t="s">
        <v>3768</v>
      </c>
      <c r="BK63" s="49" t="s">
        <v>4106</v>
      </c>
      <c r="BL63" s="49" t="s">
        <v>6843</v>
      </c>
      <c r="BM63" s="49" t="s">
        <v>6844</v>
      </c>
      <c r="BN63" s="49" t="s">
        <v>6845</v>
      </c>
      <c r="BO63" s="49" t="s">
        <v>6846</v>
      </c>
      <c r="BP63" s="49" t="s">
        <v>6847</v>
      </c>
      <c r="BQ63" s="49" t="s">
        <v>6848</v>
      </c>
      <c r="BR63" s="49" t="s">
        <v>4113</v>
      </c>
      <c r="BS63" s="49" t="s">
        <v>4114</v>
      </c>
      <c r="BT63" s="49" t="s">
        <v>7567</v>
      </c>
    </row>
    <row r="64" spans="1:72" ht="45" customHeight="1">
      <c r="A64" s="49" t="s">
        <v>849</v>
      </c>
      <c r="B64" s="49" t="s">
        <v>850</v>
      </c>
      <c r="C64" s="49">
        <v>2025</v>
      </c>
      <c r="D64" s="49" t="s">
        <v>3059</v>
      </c>
      <c r="E64" s="49" t="s">
        <v>852</v>
      </c>
      <c r="F64" s="49" t="s">
        <v>5390</v>
      </c>
      <c r="G64" s="49" t="s">
        <v>4077</v>
      </c>
      <c r="H64" s="49" t="s">
        <v>5391</v>
      </c>
      <c r="I64" s="49" t="s">
        <v>5392</v>
      </c>
      <c r="J64" s="49" t="s">
        <v>5393</v>
      </c>
      <c r="K64" s="49" t="s">
        <v>4081</v>
      </c>
      <c r="L64" s="49" t="s">
        <v>5394</v>
      </c>
      <c r="M64" s="49" t="s">
        <v>3813</v>
      </c>
      <c r="N64" s="49" t="s">
        <v>5395</v>
      </c>
      <c r="O64" s="49" t="s">
        <v>3813</v>
      </c>
      <c r="P64" s="49" t="s">
        <v>5396</v>
      </c>
      <c r="Q64" s="49" t="s">
        <v>5397</v>
      </c>
      <c r="R64" s="49" t="s">
        <v>5398</v>
      </c>
      <c r="S64" s="49" t="s">
        <v>5399</v>
      </c>
      <c r="T64" s="49">
        <v>10000</v>
      </c>
      <c r="U64" s="49" t="s">
        <v>5400</v>
      </c>
      <c r="V64" s="49" t="s">
        <v>5398</v>
      </c>
      <c r="W64" s="49" t="s">
        <v>5399</v>
      </c>
      <c r="X64" s="49">
        <v>3000</v>
      </c>
      <c r="Y64" s="49" t="s">
        <v>4093</v>
      </c>
      <c r="Z64" s="49" t="s">
        <v>3813</v>
      </c>
      <c r="AA64" s="49" t="s">
        <v>3768</v>
      </c>
      <c r="AB64" s="49" t="s">
        <v>3813</v>
      </c>
      <c r="AC64" s="49" t="s">
        <v>3768</v>
      </c>
      <c r="AD64" s="49" t="s">
        <v>5348</v>
      </c>
      <c r="AE64" s="49" t="s">
        <v>3813</v>
      </c>
      <c r="AF64" s="49" t="s">
        <v>7052</v>
      </c>
      <c r="AG64" s="49" t="s">
        <v>3813</v>
      </c>
      <c r="AH64" s="49" t="s">
        <v>3813</v>
      </c>
      <c r="AI64" s="49" t="s">
        <v>3813</v>
      </c>
      <c r="AJ64" s="49" t="s">
        <v>3813</v>
      </c>
      <c r="AK64" s="49" t="s">
        <v>3768</v>
      </c>
      <c r="AL64" s="49" t="s">
        <v>3813</v>
      </c>
      <c r="AM64" s="49" t="s">
        <v>5349</v>
      </c>
      <c r="AN64" s="49" t="s">
        <v>3813</v>
      </c>
      <c r="AO64" s="49" t="s">
        <v>3813</v>
      </c>
      <c r="AP64" s="49" t="s">
        <v>3813</v>
      </c>
      <c r="AQ64" s="49" t="s">
        <v>3813</v>
      </c>
      <c r="AR64" s="49" t="s">
        <v>3813</v>
      </c>
      <c r="AS64" s="49" t="s">
        <v>3813</v>
      </c>
      <c r="AT64" s="49" t="s">
        <v>3813</v>
      </c>
      <c r="AU64" s="49" t="s">
        <v>3813</v>
      </c>
      <c r="AV64" s="49" t="s">
        <v>3813</v>
      </c>
      <c r="AW64" s="49" t="s">
        <v>5401</v>
      </c>
      <c r="AX64" s="49" t="s">
        <v>5402</v>
      </c>
      <c r="AY64" s="49" t="s">
        <v>84</v>
      </c>
      <c r="AZ64" s="49" t="s">
        <v>84</v>
      </c>
      <c r="BA64" s="49" t="s">
        <v>5403</v>
      </c>
      <c r="BB64" s="49" t="s">
        <v>5404</v>
      </c>
      <c r="BC64" s="49" t="s">
        <v>5405</v>
      </c>
      <c r="BD64" s="49" t="s">
        <v>5406</v>
      </c>
      <c r="BE64" s="49" t="s">
        <v>3768</v>
      </c>
      <c r="BF64" s="49" t="s">
        <v>3813</v>
      </c>
      <c r="BG64" s="49" t="s">
        <v>3813</v>
      </c>
      <c r="BH64" s="49" t="s">
        <v>3768</v>
      </c>
      <c r="BI64" s="49" t="s">
        <v>3768</v>
      </c>
      <c r="BJ64" s="49" t="s">
        <v>3813</v>
      </c>
      <c r="BK64" s="49" t="s">
        <v>4138</v>
      </c>
      <c r="BL64" s="49" t="s">
        <v>5407</v>
      </c>
      <c r="BM64" s="49" t="s">
        <v>5408</v>
      </c>
      <c r="BN64" s="49" t="s">
        <v>5409</v>
      </c>
      <c r="BO64" s="49" t="s">
        <v>5410</v>
      </c>
      <c r="BP64" s="49" t="s">
        <v>5411</v>
      </c>
      <c r="BQ64" s="49" t="s">
        <v>5412</v>
      </c>
      <c r="BR64" s="49" t="s">
        <v>4113</v>
      </c>
      <c r="BS64" s="49" t="s">
        <v>4114</v>
      </c>
      <c r="BT64" s="49" t="s">
        <v>5413</v>
      </c>
    </row>
    <row r="65" spans="1:72" ht="45" customHeight="1">
      <c r="A65" s="49" t="s">
        <v>855</v>
      </c>
      <c r="B65" s="49" t="s">
        <v>856</v>
      </c>
      <c r="C65" s="49">
        <v>2026</v>
      </c>
      <c r="D65" s="49" t="s">
        <v>182</v>
      </c>
      <c r="E65" s="49" t="s">
        <v>858</v>
      </c>
      <c r="F65" s="49" t="s">
        <v>4076</v>
      </c>
      <c r="G65" s="49" t="s">
        <v>4077</v>
      </c>
      <c r="H65" s="49" t="s">
        <v>5414</v>
      </c>
      <c r="I65" s="49" t="s">
        <v>5415</v>
      </c>
      <c r="J65" s="49" t="s">
        <v>5416</v>
      </c>
      <c r="K65" s="49" t="s">
        <v>4836</v>
      </c>
      <c r="L65" s="49" t="s">
        <v>5417</v>
      </c>
      <c r="M65" s="49" t="s">
        <v>5418</v>
      </c>
      <c r="N65" s="49" t="s">
        <v>5419</v>
      </c>
      <c r="O65" s="49" t="s">
        <v>3813</v>
      </c>
      <c r="P65" s="49" t="s">
        <v>5420</v>
      </c>
      <c r="Q65" s="49" t="s">
        <v>5421</v>
      </c>
      <c r="R65" s="49" t="s">
        <v>4504</v>
      </c>
      <c r="S65" s="49" t="s">
        <v>4565</v>
      </c>
      <c r="T65" s="49" t="s">
        <v>4101</v>
      </c>
      <c r="U65" s="49" t="s">
        <v>5422</v>
      </c>
      <c r="V65" s="49" t="s">
        <v>5423</v>
      </c>
      <c r="W65" s="49" t="s">
        <v>5424</v>
      </c>
      <c r="X65" s="49" t="s">
        <v>4101</v>
      </c>
      <c r="Y65" s="49" t="s">
        <v>4194</v>
      </c>
      <c r="Z65" s="49" t="s">
        <v>3768</v>
      </c>
      <c r="AA65" s="49" t="s">
        <v>3768</v>
      </c>
      <c r="AB65" s="49" t="s">
        <v>3768</v>
      </c>
      <c r="AC65" s="49" t="s">
        <v>3768</v>
      </c>
      <c r="AD65" s="49" t="s">
        <v>5348</v>
      </c>
      <c r="AE65" s="49" t="s">
        <v>3813</v>
      </c>
      <c r="AF65" s="49" t="s">
        <v>4196</v>
      </c>
      <c r="AG65" s="49" t="s">
        <v>3768</v>
      </c>
      <c r="AH65" s="49" t="s">
        <v>3768</v>
      </c>
      <c r="AI65" s="49" t="s">
        <v>3768</v>
      </c>
      <c r="AJ65" s="49" t="s">
        <v>3813</v>
      </c>
      <c r="AK65" s="49" t="s">
        <v>3768</v>
      </c>
      <c r="AL65" s="49" t="s">
        <v>3813</v>
      </c>
      <c r="AM65" s="49" t="s">
        <v>5349</v>
      </c>
      <c r="AN65" s="49" t="s">
        <v>3813</v>
      </c>
      <c r="AO65" s="49" t="s">
        <v>3768</v>
      </c>
      <c r="AP65" s="49" t="s">
        <v>3768</v>
      </c>
      <c r="AQ65" s="49" t="s">
        <v>3768</v>
      </c>
      <c r="AR65" s="49" t="s">
        <v>3768</v>
      </c>
      <c r="AS65" s="49" t="s">
        <v>3813</v>
      </c>
      <c r="AT65" s="49" t="s">
        <v>3813</v>
      </c>
      <c r="AU65" s="49" t="s">
        <v>3813</v>
      </c>
      <c r="AV65" s="49" t="s">
        <v>3813</v>
      </c>
      <c r="AW65" s="49" t="s">
        <v>5425</v>
      </c>
      <c r="AX65" s="49" t="s">
        <v>5426</v>
      </c>
      <c r="AY65" s="49" t="s">
        <v>5427</v>
      </c>
      <c r="AZ65" s="49" t="s">
        <v>5428</v>
      </c>
      <c r="BA65" s="49" t="s">
        <v>5429</v>
      </c>
      <c r="BB65" s="49" t="s">
        <v>5430</v>
      </c>
      <c r="BC65" s="49" t="s">
        <v>5431</v>
      </c>
      <c r="BD65" s="49" t="s">
        <v>5432</v>
      </c>
      <c r="BE65" s="49" t="s">
        <v>3768</v>
      </c>
      <c r="BF65" s="49" t="s">
        <v>3768</v>
      </c>
      <c r="BG65" s="49" t="s">
        <v>3813</v>
      </c>
      <c r="BH65" s="49" t="s">
        <v>3768</v>
      </c>
      <c r="BI65" s="49" t="s">
        <v>3768</v>
      </c>
      <c r="BJ65" s="49" t="s">
        <v>3768</v>
      </c>
      <c r="BK65" s="49" t="s">
        <v>4106</v>
      </c>
      <c r="BL65" s="49" t="s">
        <v>5433</v>
      </c>
      <c r="BM65" s="49" t="s">
        <v>5434</v>
      </c>
      <c r="BN65" s="49" t="s">
        <v>5435</v>
      </c>
      <c r="BO65" s="49" t="s">
        <v>5436</v>
      </c>
      <c r="BP65" s="49" t="s">
        <v>5437</v>
      </c>
      <c r="BQ65" s="49" t="s">
        <v>5438</v>
      </c>
      <c r="BR65" s="49" t="s">
        <v>4113</v>
      </c>
      <c r="BS65" s="49" t="s">
        <v>4114</v>
      </c>
      <c r="BT65" s="49" t="s">
        <v>5439</v>
      </c>
    </row>
    <row r="66" spans="1:72" ht="45" customHeight="1">
      <c r="A66" s="49" t="s">
        <v>862</v>
      </c>
      <c r="B66" s="49" t="s">
        <v>863</v>
      </c>
      <c r="C66" s="49">
        <v>2026</v>
      </c>
      <c r="D66" s="49" t="s">
        <v>380</v>
      </c>
      <c r="E66" s="49" t="s">
        <v>865</v>
      </c>
      <c r="F66" s="49" t="s">
        <v>4076</v>
      </c>
      <c r="G66" s="49" t="s">
        <v>4077</v>
      </c>
      <c r="H66" s="49" t="s">
        <v>5440</v>
      </c>
      <c r="I66" s="49" t="s">
        <v>5441</v>
      </c>
      <c r="J66" s="49" t="s">
        <v>5442</v>
      </c>
      <c r="K66" s="49" t="s">
        <v>4836</v>
      </c>
      <c r="L66" s="49" t="s">
        <v>5443</v>
      </c>
      <c r="M66" s="49" t="s">
        <v>5444</v>
      </c>
      <c r="N66" s="49" t="s">
        <v>5445</v>
      </c>
      <c r="O66" s="49" t="s">
        <v>3813</v>
      </c>
      <c r="P66" s="49" t="s">
        <v>5446</v>
      </c>
      <c r="Q66" s="49" t="s">
        <v>5447</v>
      </c>
      <c r="R66" s="49" t="s">
        <v>5423</v>
      </c>
      <c r="S66" s="49" t="s">
        <v>4535</v>
      </c>
      <c r="T66" s="49">
        <v>2000</v>
      </c>
      <c r="U66" s="49" t="s">
        <v>5448</v>
      </c>
      <c r="V66" s="49" t="s">
        <v>5449</v>
      </c>
      <c r="W66" s="49" t="s">
        <v>5450</v>
      </c>
      <c r="X66" s="49">
        <v>12200</v>
      </c>
      <c r="Y66" s="49" t="s">
        <v>4194</v>
      </c>
      <c r="Z66" s="49" t="s">
        <v>3768</v>
      </c>
      <c r="AA66" s="49" t="s">
        <v>3768</v>
      </c>
      <c r="AB66" s="49" t="s">
        <v>3768</v>
      </c>
      <c r="AC66" s="49" t="s">
        <v>3768</v>
      </c>
      <c r="AD66" s="49" t="s">
        <v>5348</v>
      </c>
      <c r="AE66" s="49" t="s">
        <v>3813</v>
      </c>
      <c r="AF66" s="49" t="s">
        <v>4196</v>
      </c>
      <c r="AG66" s="49" t="s">
        <v>3768</v>
      </c>
      <c r="AH66" s="49" t="s">
        <v>3768</v>
      </c>
      <c r="AI66" s="49" t="s">
        <v>3768</v>
      </c>
      <c r="AJ66" s="49" t="s">
        <v>3813</v>
      </c>
      <c r="AK66" s="49" t="s">
        <v>3768</v>
      </c>
      <c r="AL66" s="49" t="s">
        <v>3813</v>
      </c>
      <c r="AM66" s="49" t="s">
        <v>4096</v>
      </c>
      <c r="AN66" s="49" t="s">
        <v>3813</v>
      </c>
      <c r="AO66" s="49" t="s">
        <v>3768</v>
      </c>
      <c r="AP66" s="49" t="s">
        <v>3768</v>
      </c>
      <c r="AQ66" s="49" t="s">
        <v>3768</v>
      </c>
      <c r="AR66" s="49" t="s">
        <v>3768</v>
      </c>
      <c r="AS66" s="49" t="s">
        <v>3768</v>
      </c>
      <c r="AT66" s="49" t="s">
        <v>3813</v>
      </c>
      <c r="AU66" s="49" t="s">
        <v>3813</v>
      </c>
      <c r="AV66" s="49" t="s">
        <v>5451</v>
      </c>
      <c r="AW66" s="49" t="s">
        <v>5452</v>
      </c>
      <c r="AX66" s="49" t="s">
        <v>5453</v>
      </c>
      <c r="AY66" s="49" t="s">
        <v>5454</v>
      </c>
      <c r="AZ66" s="49" t="s">
        <v>5455</v>
      </c>
      <c r="BA66" s="49" t="s">
        <v>5456</v>
      </c>
      <c r="BB66" s="49" t="s">
        <v>5457</v>
      </c>
      <c r="BC66" s="49" t="s">
        <v>5458</v>
      </c>
      <c r="BD66" s="49" t="s">
        <v>5459</v>
      </c>
      <c r="BE66" s="49" t="s">
        <v>3768</v>
      </c>
      <c r="BF66" s="49" t="s">
        <v>3768</v>
      </c>
      <c r="BG66" s="49" t="s">
        <v>3768</v>
      </c>
      <c r="BH66" s="49" t="s">
        <v>3768</v>
      </c>
      <c r="BI66" s="49" t="s">
        <v>3768</v>
      </c>
      <c r="BJ66" s="49" t="s">
        <v>3768</v>
      </c>
      <c r="BK66" s="49" t="s">
        <v>4171</v>
      </c>
      <c r="BL66" s="49" t="s">
        <v>5460</v>
      </c>
      <c r="BM66" s="49" t="s">
        <v>5461</v>
      </c>
      <c r="BN66" s="49" t="s">
        <v>5462</v>
      </c>
      <c r="BO66" s="49" t="s">
        <v>5463</v>
      </c>
      <c r="BP66" s="49" t="s">
        <v>5464</v>
      </c>
      <c r="BQ66" s="49" t="s">
        <v>5465</v>
      </c>
      <c r="BR66" s="49" t="s">
        <v>4113</v>
      </c>
      <c r="BS66" s="49" t="s">
        <v>4114</v>
      </c>
      <c r="BT66" s="49" t="s">
        <v>7053</v>
      </c>
    </row>
    <row r="67" spans="1:72" ht="45" customHeight="1">
      <c r="A67" s="49" t="s">
        <v>869</v>
      </c>
      <c r="B67" s="49" t="s">
        <v>870</v>
      </c>
      <c r="C67" s="49">
        <v>2026</v>
      </c>
      <c r="D67" s="49" t="s">
        <v>872</v>
      </c>
      <c r="E67" s="49" t="s">
        <v>873</v>
      </c>
      <c r="F67" s="49" t="s">
        <v>5390</v>
      </c>
      <c r="G67" s="49" t="s">
        <v>4077</v>
      </c>
      <c r="H67" s="49" t="s">
        <v>5466</v>
      </c>
      <c r="I67" s="49" t="s">
        <v>5467</v>
      </c>
      <c r="J67" s="49" t="s">
        <v>5468</v>
      </c>
      <c r="K67" s="49" t="s">
        <v>4081</v>
      </c>
      <c r="L67" s="49" t="s">
        <v>5469</v>
      </c>
      <c r="M67" s="49" t="s">
        <v>3813</v>
      </c>
      <c r="N67" s="49" t="s">
        <v>5470</v>
      </c>
      <c r="O67" s="49" t="s">
        <v>3813</v>
      </c>
      <c r="P67" s="49" t="s">
        <v>5471</v>
      </c>
      <c r="Q67" s="49" t="s">
        <v>5472</v>
      </c>
      <c r="R67" s="49" t="s">
        <v>5473</v>
      </c>
      <c r="S67" s="49" t="s">
        <v>5474</v>
      </c>
      <c r="T67" s="49">
        <v>1200</v>
      </c>
      <c r="U67" s="49" t="s">
        <v>5475</v>
      </c>
      <c r="V67" s="49" t="s">
        <v>5473</v>
      </c>
      <c r="W67" s="49" t="s">
        <v>5474</v>
      </c>
      <c r="X67" s="49">
        <v>400</v>
      </c>
      <c r="Y67" s="49" t="s">
        <v>4194</v>
      </c>
      <c r="Z67" s="49" t="s">
        <v>3768</v>
      </c>
      <c r="AA67" s="49" t="s">
        <v>3768</v>
      </c>
      <c r="AB67" s="49" t="s">
        <v>3813</v>
      </c>
      <c r="AC67" s="49" t="s">
        <v>3813</v>
      </c>
      <c r="AD67" s="49" t="s">
        <v>5476</v>
      </c>
      <c r="AE67" s="49" t="s">
        <v>3813</v>
      </c>
      <c r="AF67" s="49" t="s">
        <v>4129</v>
      </c>
      <c r="AG67" s="49" t="s">
        <v>3813</v>
      </c>
      <c r="AH67" s="49" t="s">
        <v>3813</v>
      </c>
      <c r="AI67" s="49" t="s">
        <v>3813</v>
      </c>
      <c r="AJ67" s="49" t="s">
        <v>3813</v>
      </c>
      <c r="AK67" s="49" t="s">
        <v>3813</v>
      </c>
      <c r="AL67" s="49" t="s">
        <v>3813</v>
      </c>
      <c r="AM67" s="49" t="s">
        <v>84</v>
      </c>
      <c r="AN67" s="49" t="s">
        <v>84</v>
      </c>
      <c r="AO67" s="49" t="s">
        <v>3813</v>
      </c>
      <c r="AP67" s="49" t="s">
        <v>3813</v>
      </c>
      <c r="AQ67" s="49" t="s">
        <v>3813</v>
      </c>
      <c r="AR67" s="49" t="s">
        <v>3813</v>
      </c>
      <c r="AS67" s="49" t="s">
        <v>3813</v>
      </c>
      <c r="AT67" s="49" t="s">
        <v>3813</v>
      </c>
      <c r="AU67" s="49" t="s">
        <v>3813</v>
      </c>
      <c r="AV67" s="49" t="s">
        <v>3813</v>
      </c>
      <c r="AW67" s="49" t="s">
        <v>5477</v>
      </c>
      <c r="AX67" s="49" t="s">
        <v>5478</v>
      </c>
      <c r="AY67" s="49" t="s">
        <v>5479</v>
      </c>
      <c r="AZ67" s="49" t="s">
        <v>5480</v>
      </c>
      <c r="BA67" s="49" t="s">
        <v>5481</v>
      </c>
      <c r="BB67" s="49" t="s">
        <v>5482</v>
      </c>
      <c r="BC67" s="49" t="s">
        <v>5483</v>
      </c>
      <c r="BD67" s="49" t="s">
        <v>5484</v>
      </c>
      <c r="BE67" s="49" t="s">
        <v>3768</v>
      </c>
      <c r="BF67" s="49" t="s">
        <v>3813</v>
      </c>
      <c r="BG67" s="49" t="s">
        <v>3813</v>
      </c>
      <c r="BH67" s="49" t="s">
        <v>3813</v>
      </c>
      <c r="BI67" s="49" t="s">
        <v>3768</v>
      </c>
      <c r="BJ67" s="49" t="s">
        <v>3813</v>
      </c>
      <c r="BK67" s="49" t="s">
        <v>4138</v>
      </c>
      <c r="BL67" s="49" t="s">
        <v>5485</v>
      </c>
      <c r="BM67" s="49" t="s">
        <v>5486</v>
      </c>
      <c r="BN67" s="49" t="s">
        <v>5487</v>
      </c>
      <c r="BO67" s="49" t="s">
        <v>5488</v>
      </c>
      <c r="BP67" s="49" t="s">
        <v>5489</v>
      </c>
      <c r="BQ67" s="49" t="s">
        <v>5490</v>
      </c>
      <c r="BR67" s="49" t="s">
        <v>4113</v>
      </c>
      <c r="BS67" s="49" t="s">
        <v>4114</v>
      </c>
      <c r="BT67" s="49" t="s">
        <v>7054</v>
      </c>
    </row>
    <row r="68" spans="1:72" ht="45" customHeight="1">
      <c r="A68" s="49" t="s">
        <v>876</v>
      </c>
      <c r="B68" s="49" t="s">
        <v>5491</v>
      </c>
      <c r="C68" s="49">
        <v>2025</v>
      </c>
      <c r="D68" s="49" t="s">
        <v>879</v>
      </c>
      <c r="E68" s="49" t="s">
        <v>880</v>
      </c>
      <c r="F68" s="49" t="s">
        <v>4076</v>
      </c>
      <c r="G68" s="49" t="s">
        <v>4077</v>
      </c>
      <c r="H68" s="49" t="s">
        <v>5492</v>
      </c>
      <c r="I68" s="49" t="s">
        <v>5493</v>
      </c>
      <c r="J68" s="49" t="s">
        <v>5494</v>
      </c>
      <c r="K68" s="49" t="s">
        <v>4836</v>
      </c>
      <c r="L68" s="49" t="s">
        <v>5495</v>
      </c>
      <c r="M68" s="49" t="s">
        <v>5496</v>
      </c>
      <c r="N68" s="49" t="s">
        <v>5497</v>
      </c>
      <c r="O68" s="49" t="s">
        <v>3813</v>
      </c>
      <c r="P68" s="49" t="s">
        <v>5498</v>
      </c>
      <c r="Q68" s="49" t="s">
        <v>5499</v>
      </c>
      <c r="R68" s="49" t="s">
        <v>5500</v>
      </c>
      <c r="S68" s="49" t="s">
        <v>5501</v>
      </c>
      <c r="T68" s="49" t="s">
        <v>5502</v>
      </c>
      <c r="U68" s="49" t="s">
        <v>5503</v>
      </c>
      <c r="V68" s="49" t="s">
        <v>5504</v>
      </c>
      <c r="W68" s="49" t="s">
        <v>5505</v>
      </c>
      <c r="X68" s="49" t="s">
        <v>5502</v>
      </c>
      <c r="Y68" s="49" t="s">
        <v>4194</v>
      </c>
      <c r="Z68" s="49" t="s">
        <v>3768</v>
      </c>
      <c r="AA68" s="49" t="s">
        <v>3813</v>
      </c>
      <c r="AB68" s="49" t="s">
        <v>3813</v>
      </c>
      <c r="AC68" s="49" t="s">
        <v>3813</v>
      </c>
      <c r="AD68" s="49" t="s">
        <v>5506</v>
      </c>
      <c r="AE68" s="49" t="s">
        <v>3813</v>
      </c>
      <c r="AF68" s="49" t="s">
        <v>4196</v>
      </c>
      <c r="AG68" s="49" t="s">
        <v>3768</v>
      </c>
      <c r="AH68" s="49" t="s">
        <v>3813</v>
      </c>
      <c r="AI68" s="49" t="s">
        <v>3768</v>
      </c>
      <c r="AJ68" s="49" t="s">
        <v>3768</v>
      </c>
      <c r="AK68" s="49" t="s">
        <v>3768</v>
      </c>
      <c r="AL68" s="49" t="s">
        <v>3813</v>
      </c>
      <c r="AM68" s="49" t="s">
        <v>4096</v>
      </c>
      <c r="AN68" s="49" t="s">
        <v>3813</v>
      </c>
      <c r="AO68" s="49" t="s">
        <v>3813</v>
      </c>
      <c r="AP68" s="49" t="s">
        <v>3813</v>
      </c>
      <c r="AQ68" s="49" t="s">
        <v>3813</v>
      </c>
      <c r="AR68" s="49" t="s">
        <v>3813</v>
      </c>
      <c r="AS68" s="49" t="s">
        <v>3813</v>
      </c>
      <c r="AT68" s="49" t="s">
        <v>3813</v>
      </c>
      <c r="AU68" s="49" t="s">
        <v>3813</v>
      </c>
      <c r="AV68" s="49" t="s">
        <v>3813</v>
      </c>
      <c r="AW68" s="49" t="s">
        <v>5507</v>
      </c>
      <c r="AX68" s="49" t="s">
        <v>5508</v>
      </c>
      <c r="AY68" s="49" t="s">
        <v>5509</v>
      </c>
      <c r="AZ68" s="49" t="s">
        <v>5510</v>
      </c>
      <c r="BA68" s="49" t="s">
        <v>5511</v>
      </c>
      <c r="BB68" s="49" t="s">
        <v>5512</v>
      </c>
      <c r="BC68" s="49" t="s">
        <v>5513</v>
      </c>
      <c r="BD68" s="49" t="s">
        <v>5514</v>
      </c>
      <c r="BE68" s="49" t="s">
        <v>3768</v>
      </c>
      <c r="BF68" s="49" t="s">
        <v>3813</v>
      </c>
      <c r="BG68" s="49" t="s">
        <v>3813</v>
      </c>
      <c r="BH68" s="49" t="s">
        <v>3813</v>
      </c>
      <c r="BI68" s="49" t="s">
        <v>3768</v>
      </c>
      <c r="BJ68" s="49" t="s">
        <v>3768</v>
      </c>
      <c r="BK68" s="49" t="s">
        <v>4171</v>
      </c>
      <c r="BL68" s="49" t="s">
        <v>5515</v>
      </c>
      <c r="BM68" s="49" t="s">
        <v>5516</v>
      </c>
      <c r="BN68" s="49" t="s">
        <v>5517</v>
      </c>
      <c r="BO68" s="49" t="s">
        <v>5518</v>
      </c>
      <c r="BP68" s="49" t="s">
        <v>5519</v>
      </c>
      <c r="BQ68" s="49" t="s">
        <v>5520</v>
      </c>
      <c r="BR68" s="49" t="s">
        <v>4113</v>
      </c>
      <c r="BS68" s="49" t="s">
        <v>4114</v>
      </c>
      <c r="BT68" s="49" t="s">
        <v>5521</v>
      </c>
    </row>
    <row r="69" spans="1:72" ht="45" customHeight="1">
      <c r="A69" s="49" t="s">
        <v>890</v>
      </c>
      <c r="B69" s="49" t="s">
        <v>891</v>
      </c>
      <c r="C69" s="49">
        <v>2023</v>
      </c>
      <c r="D69" s="49" t="s">
        <v>893</v>
      </c>
      <c r="E69" s="49" t="s">
        <v>894</v>
      </c>
      <c r="F69" s="49" t="s">
        <v>5390</v>
      </c>
      <c r="G69" s="49" t="s">
        <v>4077</v>
      </c>
      <c r="H69" s="49" t="s">
        <v>5522</v>
      </c>
      <c r="I69" s="49" t="s">
        <v>5523</v>
      </c>
      <c r="J69" s="49" t="s">
        <v>5524</v>
      </c>
      <c r="K69" s="49" t="s">
        <v>5525</v>
      </c>
      <c r="L69" s="49" t="s">
        <v>5526</v>
      </c>
      <c r="M69" s="49" t="s">
        <v>3813</v>
      </c>
      <c r="N69" s="49" t="s">
        <v>5527</v>
      </c>
      <c r="O69" s="49" t="s">
        <v>5528</v>
      </c>
      <c r="P69" s="49" t="s">
        <v>5529</v>
      </c>
      <c r="Q69" s="49" t="s">
        <v>5530</v>
      </c>
      <c r="R69" s="49" t="s">
        <v>5531</v>
      </c>
      <c r="S69" s="49" t="s">
        <v>5532</v>
      </c>
      <c r="T69" s="49" t="s">
        <v>5533</v>
      </c>
      <c r="U69" s="49" t="s">
        <v>5534</v>
      </c>
      <c r="V69" s="49" t="s">
        <v>5535</v>
      </c>
      <c r="W69" s="49" t="s">
        <v>5536</v>
      </c>
      <c r="X69" s="49" t="s">
        <v>5537</v>
      </c>
      <c r="Y69" s="49" t="s">
        <v>4127</v>
      </c>
      <c r="Z69" s="49" t="s">
        <v>3768</v>
      </c>
      <c r="AA69" s="49" t="s">
        <v>3813</v>
      </c>
      <c r="AB69" s="49" t="s">
        <v>3813</v>
      </c>
      <c r="AC69" s="49" t="s">
        <v>3813</v>
      </c>
      <c r="AD69" s="49" t="s">
        <v>5538</v>
      </c>
      <c r="AE69" s="49" t="s">
        <v>3768</v>
      </c>
      <c r="AF69" s="49" t="s">
        <v>4196</v>
      </c>
      <c r="AG69" s="49" t="s">
        <v>3768</v>
      </c>
      <c r="AH69" s="49" t="s">
        <v>3813</v>
      </c>
      <c r="AI69" s="49" t="s">
        <v>3768</v>
      </c>
      <c r="AJ69" s="49" t="s">
        <v>3813</v>
      </c>
      <c r="AK69" s="49" t="s">
        <v>3768</v>
      </c>
      <c r="AL69" s="49" t="s">
        <v>3813</v>
      </c>
      <c r="AM69" s="49" t="s">
        <v>4096</v>
      </c>
      <c r="AN69" s="49" t="s">
        <v>3813</v>
      </c>
      <c r="AO69" s="49" t="s">
        <v>3768</v>
      </c>
      <c r="AP69" s="49" t="s">
        <v>3813</v>
      </c>
      <c r="AQ69" s="49" t="s">
        <v>3768</v>
      </c>
      <c r="AR69" s="49" t="s">
        <v>3768</v>
      </c>
      <c r="AS69" s="49" t="s">
        <v>3813</v>
      </c>
      <c r="AT69" s="49" t="s">
        <v>3813</v>
      </c>
      <c r="AU69" s="49" t="s">
        <v>3768</v>
      </c>
      <c r="AV69" s="49" t="s">
        <v>5539</v>
      </c>
      <c r="AW69" s="49" t="s">
        <v>5540</v>
      </c>
      <c r="AX69" s="49" t="s">
        <v>5541</v>
      </c>
      <c r="AY69" s="49" t="s">
        <v>5542</v>
      </c>
      <c r="AZ69" s="49" t="s">
        <v>5543</v>
      </c>
      <c r="BA69" s="49" t="s">
        <v>5544</v>
      </c>
      <c r="BB69" s="49" t="s">
        <v>5545</v>
      </c>
      <c r="BC69" s="49" t="s">
        <v>5546</v>
      </c>
      <c r="BD69" s="49" t="s">
        <v>5547</v>
      </c>
      <c r="BE69" s="49" t="s">
        <v>3768</v>
      </c>
      <c r="BF69" s="49" t="s">
        <v>3813</v>
      </c>
      <c r="BG69" s="49" t="s">
        <v>3768</v>
      </c>
      <c r="BH69" s="49" t="s">
        <v>3813</v>
      </c>
      <c r="BI69" s="49" t="s">
        <v>3768</v>
      </c>
      <c r="BJ69" s="49" t="s">
        <v>3768</v>
      </c>
      <c r="BK69" s="49" t="s">
        <v>4171</v>
      </c>
      <c r="BL69" s="49" t="s">
        <v>5548</v>
      </c>
      <c r="BM69" s="49" t="s">
        <v>5549</v>
      </c>
      <c r="BN69" s="49" t="s">
        <v>5550</v>
      </c>
      <c r="BO69" s="49" t="s">
        <v>5551</v>
      </c>
      <c r="BP69" s="49" t="s">
        <v>5552</v>
      </c>
      <c r="BQ69" s="49" t="s">
        <v>5553</v>
      </c>
      <c r="BR69" s="49" t="s">
        <v>4113</v>
      </c>
      <c r="BS69" s="49" t="s">
        <v>4114</v>
      </c>
      <c r="BT69" s="49" t="s">
        <v>7055</v>
      </c>
    </row>
    <row r="70" spans="1:72" ht="45" customHeight="1">
      <c r="A70" s="49" t="s">
        <v>913</v>
      </c>
      <c r="B70" s="49" t="s">
        <v>914</v>
      </c>
      <c r="C70" s="49">
        <v>2026</v>
      </c>
      <c r="D70" s="49" t="s">
        <v>5554</v>
      </c>
      <c r="E70" s="49" t="s">
        <v>917</v>
      </c>
      <c r="F70" s="49" t="s">
        <v>4076</v>
      </c>
      <c r="G70" s="49" t="s">
        <v>4077</v>
      </c>
      <c r="H70" s="49" t="s">
        <v>5555</v>
      </c>
      <c r="I70" s="49" t="s">
        <v>5556</v>
      </c>
      <c r="J70" s="49" t="s">
        <v>5557</v>
      </c>
      <c r="K70" s="49" t="s">
        <v>5525</v>
      </c>
      <c r="L70" s="49" t="s">
        <v>5558</v>
      </c>
      <c r="M70" s="49" t="s">
        <v>3813</v>
      </c>
      <c r="N70" s="49" t="s">
        <v>5559</v>
      </c>
      <c r="O70" s="49" t="s">
        <v>5560</v>
      </c>
      <c r="P70" s="49" t="s">
        <v>5561</v>
      </c>
      <c r="Q70" s="49" t="s">
        <v>5562</v>
      </c>
      <c r="R70" s="49" t="s">
        <v>5563</v>
      </c>
      <c r="S70" s="49" t="s">
        <v>5564</v>
      </c>
      <c r="T70" s="49" t="s">
        <v>5565</v>
      </c>
      <c r="U70" s="49" t="s">
        <v>5562</v>
      </c>
      <c r="V70" s="49" t="s">
        <v>5566</v>
      </c>
      <c r="W70" s="49" t="s">
        <v>5564</v>
      </c>
      <c r="X70" s="49" t="s">
        <v>5567</v>
      </c>
      <c r="Y70" s="49" t="s">
        <v>4194</v>
      </c>
      <c r="Z70" s="49" t="s">
        <v>3768</v>
      </c>
      <c r="AA70" s="49" t="s">
        <v>3768</v>
      </c>
      <c r="AB70" s="49" t="s">
        <v>3813</v>
      </c>
      <c r="AC70" s="49" t="s">
        <v>3768</v>
      </c>
      <c r="AD70" s="49" t="s">
        <v>5568</v>
      </c>
      <c r="AE70" s="49" t="s">
        <v>3813</v>
      </c>
      <c r="AF70" s="49" t="s">
        <v>4196</v>
      </c>
      <c r="AG70" s="49" t="s">
        <v>3768</v>
      </c>
      <c r="AH70" s="49" t="s">
        <v>3768</v>
      </c>
      <c r="AI70" s="49" t="s">
        <v>3768</v>
      </c>
      <c r="AJ70" s="49" t="s">
        <v>3768</v>
      </c>
      <c r="AK70" s="49" t="s">
        <v>3768</v>
      </c>
      <c r="AL70" s="49" t="s">
        <v>3813</v>
      </c>
      <c r="AM70" s="49" t="s">
        <v>4096</v>
      </c>
      <c r="AN70" s="49" t="s">
        <v>3813</v>
      </c>
      <c r="AO70" s="49" t="s">
        <v>3768</v>
      </c>
      <c r="AP70" s="49" t="s">
        <v>3768</v>
      </c>
      <c r="AQ70" s="49" t="s">
        <v>3768</v>
      </c>
      <c r="AR70" s="49" t="s">
        <v>3813</v>
      </c>
      <c r="AS70" s="49" t="s">
        <v>3813</v>
      </c>
      <c r="AT70" s="49" t="s">
        <v>3813</v>
      </c>
      <c r="AU70" s="49" t="s">
        <v>3813</v>
      </c>
      <c r="AV70" s="49" t="s">
        <v>5569</v>
      </c>
      <c r="AW70" s="49" t="s">
        <v>5570</v>
      </c>
      <c r="AX70" s="49" t="s">
        <v>5571</v>
      </c>
      <c r="AY70" s="49" t="s">
        <v>5572</v>
      </c>
      <c r="AZ70" s="49" t="s">
        <v>5573</v>
      </c>
      <c r="BA70" s="49" t="s">
        <v>5574</v>
      </c>
      <c r="BB70" s="49" t="s">
        <v>5575</v>
      </c>
      <c r="BC70" s="49" t="s">
        <v>5576</v>
      </c>
      <c r="BD70" s="49" t="s">
        <v>5577</v>
      </c>
      <c r="BE70" s="49" t="s">
        <v>3768</v>
      </c>
      <c r="BF70" s="49" t="s">
        <v>3813</v>
      </c>
      <c r="BG70" s="49" t="s">
        <v>3768</v>
      </c>
      <c r="BH70" s="49" t="s">
        <v>3768</v>
      </c>
      <c r="BI70" s="49" t="s">
        <v>3768</v>
      </c>
      <c r="BJ70" s="49" t="s">
        <v>3768</v>
      </c>
      <c r="BK70" s="49" t="s">
        <v>4171</v>
      </c>
      <c r="BL70" s="49" t="s">
        <v>5578</v>
      </c>
      <c r="BM70" s="49" t="s">
        <v>5579</v>
      </c>
      <c r="BN70" s="49" t="s">
        <v>5580</v>
      </c>
      <c r="BO70" s="49" t="s">
        <v>5581</v>
      </c>
      <c r="BP70" s="49" t="s">
        <v>5582</v>
      </c>
      <c r="BQ70" s="49" t="s">
        <v>5583</v>
      </c>
      <c r="BR70" s="49" t="s">
        <v>4113</v>
      </c>
      <c r="BS70" s="49" t="s">
        <v>4114</v>
      </c>
      <c r="BT70" s="49" t="s">
        <v>5584</v>
      </c>
    </row>
    <row r="71" spans="1:72" ht="45" customHeight="1">
      <c r="A71" s="49" t="s">
        <v>920</v>
      </c>
      <c r="B71" s="49" t="s">
        <v>921</v>
      </c>
      <c r="C71" s="49">
        <v>2024</v>
      </c>
      <c r="D71" s="49" t="s">
        <v>923</v>
      </c>
      <c r="E71" s="49" t="s">
        <v>924</v>
      </c>
      <c r="F71" s="49" t="s">
        <v>5585</v>
      </c>
      <c r="G71" s="49" t="s">
        <v>4077</v>
      </c>
      <c r="H71" s="49" t="s">
        <v>5586</v>
      </c>
      <c r="I71" s="49" t="s">
        <v>5587</v>
      </c>
      <c r="J71" s="49" t="s">
        <v>5588</v>
      </c>
      <c r="K71" s="49" t="s">
        <v>4182</v>
      </c>
      <c r="L71" s="49" t="s">
        <v>5589</v>
      </c>
      <c r="M71" s="49" t="s">
        <v>5590</v>
      </c>
      <c r="N71" s="49" t="s">
        <v>3813</v>
      </c>
      <c r="O71" s="49" t="s">
        <v>3813</v>
      </c>
      <c r="P71" s="49" t="s">
        <v>5591</v>
      </c>
      <c r="Q71" s="49" t="s">
        <v>5592</v>
      </c>
      <c r="R71" s="49" t="s">
        <v>5593</v>
      </c>
      <c r="S71" s="49" t="s">
        <v>5594</v>
      </c>
      <c r="T71" s="49" t="s">
        <v>5595</v>
      </c>
      <c r="U71" s="49" t="s">
        <v>5596</v>
      </c>
      <c r="V71" s="49" t="s">
        <v>5597</v>
      </c>
      <c r="W71" s="49" t="s">
        <v>5598</v>
      </c>
      <c r="X71" s="49" t="s">
        <v>4101</v>
      </c>
      <c r="Y71" s="49" t="s">
        <v>4194</v>
      </c>
      <c r="Z71" s="49" t="s">
        <v>3768</v>
      </c>
      <c r="AA71" s="49" t="s">
        <v>3768</v>
      </c>
      <c r="AB71" s="49" t="s">
        <v>3813</v>
      </c>
      <c r="AC71" s="49" t="s">
        <v>3813</v>
      </c>
      <c r="AD71" s="49" t="s">
        <v>5599</v>
      </c>
      <c r="AE71" s="49" t="s">
        <v>3813</v>
      </c>
      <c r="AF71" s="49" t="s">
        <v>4196</v>
      </c>
      <c r="AG71" s="49" t="s">
        <v>3768</v>
      </c>
      <c r="AH71" s="49" t="s">
        <v>3813</v>
      </c>
      <c r="AI71" s="49" t="s">
        <v>3768</v>
      </c>
      <c r="AJ71" s="49" t="s">
        <v>4243</v>
      </c>
      <c r="AK71" s="49" t="s">
        <v>3813</v>
      </c>
      <c r="AL71" s="49" t="s">
        <v>3813</v>
      </c>
      <c r="AM71" s="49" t="s">
        <v>4096</v>
      </c>
      <c r="AN71" s="49" t="s">
        <v>3813</v>
      </c>
      <c r="AO71" s="49" t="s">
        <v>3813</v>
      </c>
      <c r="AP71" s="49" t="s">
        <v>3813</v>
      </c>
      <c r="AQ71" s="49" t="s">
        <v>3813</v>
      </c>
      <c r="AR71" s="49" t="s">
        <v>3813</v>
      </c>
      <c r="AS71" s="49" t="s">
        <v>3813</v>
      </c>
      <c r="AT71" s="49" t="s">
        <v>3813</v>
      </c>
      <c r="AU71" s="49" t="s">
        <v>3813</v>
      </c>
      <c r="AV71" s="49" t="s">
        <v>3813</v>
      </c>
      <c r="AW71" s="49" t="s">
        <v>5600</v>
      </c>
      <c r="AX71" s="49" t="s">
        <v>5601</v>
      </c>
      <c r="AY71" s="49" t="s">
        <v>5602</v>
      </c>
      <c r="AZ71" s="49" t="s">
        <v>84</v>
      </c>
      <c r="BA71" s="49" t="s">
        <v>5603</v>
      </c>
      <c r="BB71" s="49" t="s">
        <v>5604</v>
      </c>
      <c r="BC71" s="49" t="s">
        <v>5605</v>
      </c>
      <c r="BD71" s="49" t="s">
        <v>5606</v>
      </c>
      <c r="BE71" s="49" t="s">
        <v>3768</v>
      </c>
      <c r="BF71" s="49" t="s">
        <v>5607</v>
      </c>
      <c r="BG71" s="49" t="s">
        <v>3768</v>
      </c>
      <c r="BH71" s="49" t="s">
        <v>3768</v>
      </c>
      <c r="BI71" s="49" t="s">
        <v>3768</v>
      </c>
      <c r="BJ71" s="49" t="s">
        <v>3813</v>
      </c>
      <c r="BK71" s="49" t="s">
        <v>4138</v>
      </c>
      <c r="BL71" s="49" t="s">
        <v>5608</v>
      </c>
      <c r="BM71" s="49" t="s">
        <v>5609</v>
      </c>
      <c r="BN71" s="49" t="s">
        <v>5610</v>
      </c>
      <c r="BO71" s="49" t="s">
        <v>5611</v>
      </c>
      <c r="BP71" s="49" t="s">
        <v>5612</v>
      </c>
      <c r="BQ71" s="49" t="s">
        <v>5613</v>
      </c>
      <c r="BR71" s="49" t="s">
        <v>4113</v>
      </c>
      <c r="BS71" s="49" t="s">
        <v>4114</v>
      </c>
      <c r="BT71" s="49" t="s">
        <v>5614</v>
      </c>
    </row>
    <row r="72" spans="1:72" ht="45" customHeight="1">
      <c r="A72" s="49" t="s">
        <v>928</v>
      </c>
      <c r="B72" s="49" t="s">
        <v>929</v>
      </c>
      <c r="C72" s="49">
        <v>2025</v>
      </c>
      <c r="D72" s="49" t="s">
        <v>931</v>
      </c>
      <c r="E72" s="49" t="s">
        <v>932</v>
      </c>
      <c r="F72" s="49" t="s">
        <v>4076</v>
      </c>
      <c r="G72" s="49" t="s">
        <v>4077</v>
      </c>
      <c r="H72" s="49" t="s">
        <v>5615</v>
      </c>
      <c r="I72" s="49" t="s">
        <v>5616</v>
      </c>
      <c r="J72" s="49" t="s">
        <v>5617</v>
      </c>
      <c r="K72" s="49" t="s">
        <v>4182</v>
      </c>
      <c r="L72" s="49" t="s">
        <v>5618</v>
      </c>
      <c r="M72" s="49" t="s">
        <v>5619</v>
      </c>
      <c r="N72" s="49" t="s">
        <v>5620</v>
      </c>
      <c r="O72" s="49" t="s">
        <v>3813</v>
      </c>
      <c r="P72" s="49" t="s">
        <v>5621</v>
      </c>
      <c r="Q72" s="49" t="s">
        <v>5622</v>
      </c>
      <c r="R72" s="49" t="s">
        <v>5623</v>
      </c>
      <c r="S72" s="49" t="s">
        <v>5624</v>
      </c>
      <c r="T72" s="49" t="s">
        <v>5625</v>
      </c>
      <c r="U72" s="49" t="s">
        <v>5626</v>
      </c>
      <c r="V72" s="49" t="s">
        <v>5623</v>
      </c>
      <c r="W72" s="49" t="s">
        <v>5627</v>
      </c>
      <c r="X72" s="49" t="s">
        <v>5628</v>
      </c>
      <c r="Y72" s="49" t="s">
        <v>4194</v>
      </c>
      <c r="Z72" s="49" t="s">
        <v>3768</v>
      </c>
      <c r="AA72" s="49" t="s">
        <v>3768</v>
      </c>
      <c r="AB72" s="49" t="s">
        <v>3768</v>
      </c>
      <c r="AC72" s="49" t="s">
        <v>3768</v>
      </c>
      <c r="AD72" s="49" t="s">
        <v>5629</v>
      </c>
      <c r="AE72" s="49" t="s">
        <v>3813</v>
      </c>
      <c r="AF72" s="49" t="s">
        <v>4095</v>
      </c>
      <c r="AG72" s="49" t="s">
        <v>3768</v>
      </c>
      <c r="AH72" s="49" t="s">
        <v>3768</v>
      </c>
      <c r="AI72" s="49" t="s">
        <v>3813</v>
      </c>
      <c r="AJ72" s="49" t="s">
        <v>4243</v>
      </c>
      <c r="AK72" s="49" t="s">
        <v>3813</v>
      </c>
      <c r="AL72" s="49" t="s">
        <v>3813</v>
      </c>
      <c r="AM72" s="49" t="s">
        <v>4096</v>
      </c>
      <c r="AN72" s="49" t="s">
        <v>3813</v>
      </c>
      <c r="AO72" s="49" t="s">
        <v>3768</v>
      </c>
      <c r="AP72" s="49" t="s">
        <v>3768</v>
      </c>
      <c r="AQ72" s="49" t="s">
        <v>3813</v>
      </c>
      <c r="AR72" s="49" t="s">
        <v>3768</v>
      </c>
      <c r="AS72" s="49" t="s">
        <v>3813</v>
      </c>
      <c r="AT72" s="49" t="s">
        <v>3813</v>
      </c>
      <c r="AU72" s="49" t="s">
        <v>3813</v>
      </c>
      <c r="AV72" s="49" t="s">
        <v>5630</v>
      </c>
      <c r="AW72" s="49" t="s">
        <v>7056</v>
      </c>
      <c r="AX72" s="49" t="s">
        <v>7057</v>
      </c>
      <c r="AY72" s="49" t="s">
        <v>7058</v>
      </c>
      <c r="AZ72" s="49" t="s">
        <v>7059</v>
      </c>
      <c r="BA72" s="49" t="s">
        <v>7060</v>
      </c>
      <c r="BB72" s="49" t="s">
        <v>7061</v>
      </c>
      <c r="BC72" s="49" t="s">
        <v>7062</v>
      </c>
      <c r="BD72" s="49" t="s">
        <v>5631</v>
      </c>
      <c r="BE72" s="49" t="s">
        <v>3768</v>
      </c>
      <c r="BF72" s="49" t="s">
        <v>7063</v>
      </c>
      <c r="BG72" s="49" t="s">
        <v>3768</v>
      </c>
      <c r="BH72" s="49" t="s">
        <v>3768</v>
      </c>
      <c r="BI72" s="49" t="s">
        <v>3768</v>
      </c>
      <c r="BJ72" s="49" t="s">
        <v>3768</v>
      </c>
      <c r="BK72" s="49" t="s">
        <v>4106</v>
      </c>
      <c r="BL72" s="49" t="s">
        <v>7064</v>
      </c>
      <c r="BM72" s="49" t="s">
        <v>7065</v>
      </c>
      <c r="BN72" s="49" t="s">
        <v>7066</v>
      </c>
      <c r="BO72" s="49" t="s">
        <v>7067</v>
      </c>
      <c r="BP72" s="49" t="s">
        <v>7068</v>
      </c>
      <c r="BQ72" s="49" t="s">
        <v>7069</v>
      </c>
      <c r="BR72" s="49" t="s">
        <v>4113</v>
      </c>
      <c r="BS72" s="49" t="s">
        <v>4114</v>
      </c>
      <c r="BT72" s="49" t="s">
        <v>7070</v>
      </c>
    </row>
    <row r="73" spans="1:72" ht="45" customHeight="1">
      <c r="A73" s="49" t="s">
        <v>943</v>
      </c>
      <c r="B73" s="49" t="s">
        <v>944</v>
      </c>
      <c r="C73" s="49">
        <v>2023</v>
      </c>
      <c r="D73" s="49" t="s">
        <v>534</v>
      </c>
      <c r="E73" s="49" t="s">
        <v>946</v>
      </c>
      <c r="F73" s="49" t="s">
        <v>4076</v>
      </c>
      <c r="G73" s="49" t="s">
        <v>4077</v>
      </c>
      <c r="H73" s="49" t="s">
        <v>5632</v>
      </c>
      <c r="I73" s="49" t="s">
        <v>5633</v>
      </c>
      <c r="J73" s="49" t="s">
        <v>5634</v>
      </c>
      <c r="K73" s="49" t="s">
        <v>4119</v>
      </c>
      <c r="L73" s="49" t="s">
        <v>5635</v>
      </c>
      <c r="M73" s="49" t="s">
        <v>3813</v>
      </c>
      <c r="N73" s="49" t="s">
        <v>3813</v>
      </c>
      <c r="O73" s="49" t="s">
        <v>3813</v>
      </c>
      <c r="P73" s="49" t="s">
        <v>5636</v>
      </c>
      <c r="Q73" s="49" t="s">
        <v>5637</v>
      </c>
      <c r="R73" s="49" t="s">
        <v>5638</v>
      </c>
      <c r="S73" s="49" t="s">
        <v>5639</v>
      </c>
      <c r="T73" s="49" t="s">
        <v>5640</v>
      </c>
      <c r="U73" s="49" t="s">
        <v>5641</v>
      </c>
      <c r="V73" s="49" t="s">
        <v>5642</v>
      </c>
      <c r="W73" s="49" t="s">
        <v>5639</v>
      </c>
      <c r="X73" s="49" t="s">
        <v>5643</v>
      </c>
      <c r="Y73" s="49" t="s">
        <v>4194</v>
      </c>
      <c r="Z73" s="49" t="s">
        <v>3768</v>
      </c>
      <c r="AA73" s="49" t="s">
        <v>3813</v>
      </c>
      <c r="AB73" s="49" t="s">
        <v>3768</v>
      </c>
      <c r="AC73" s="49" t="s">
        <v>3813</v>
      </c>
      <c r="AD73" s="49" t="s">
        <v>5644</v>
      </c>
      <c r="AE73" s="49" t="s">
        <v>3813</v>
      </c>
      <c r="AF73" s="49" t="s">
        <v>4196</v>
      </c>
      <c r="AG73" s="49" t="s">
        <v>3768</v>
      </c>
      <c r="AH73" s="49" t="s">
        <v>3813</v>
      </c>
      <c r="AI73" s="49" t="s">
        <v>3768</v>
      </c>
      <c r="AJ73" s="49" t="s">
        <v>3768</v>
      </c>
      <c r="AK73" s="49" t="s">
        <v>3813</v>
      </c>
      <c r="AL73" s="49" t="s">
        <v>3813</v>
      </c>
      <c r="AM73" s="49" t="s">
        <v>4096</v>
      </c>
      <c r="AN73" s="49" t="s">
        <v>3813</v>
      </c>
      <c r="AO73" s="49" t="s">
        <v>3813</v>
      </c>
      <c r="AP73" s="49" t="s">
        <v>3813</v>
      </c>
      <c r="AQ73" s="49" t="s">
        <v>3813</v>
      </c>
      <c r="AR73" s="49" t="s">
        <v>3813</v>
      </c>
      <c r="AS73" s="49" t="s">
        <v>3813</v>
      </c>
      <c r="AT73" s="49" t="s">
        <v>3813</v>
      </c>
      <c r="AU73" s="49" t="s">
        <v>3813</v>
      </c>
      <c r="AV73" s="49" t="s">
        <v>3813</v>
      </c>
      <c r="AW73" s="49" t="s">
        <v>5645</v>
      </c>
      <c r="AX73" s="49" t="s">
        <v>5646</v>
      </c>
      <c r="AY73" s="49" t="s">
        <v>5647</v>
      </c>
      <c r="AZ73" s="49" t="s">
        <v>84</v>
      </c>
      <c r="BA73" s="49" t="s">
        <v>5648</v>
      </c>
      <c r="BB73" s="49" t="s">
        <v>5649</v>
      </c>
      <c r="BC73" s="49" t="s">
        <v>5650</v>
      </c>
      <c r="BD73" s="49" t="s">
        <v>5651</v>
      </c>
      <c r="BE73" s="49" t="s">
        <v>3768</v>
      </c>
      <c r="BF73" s="49" t="s">
        <v>5652</v>
      </c>
      <c r="BG73" s="49" t="s">
        <v>3813</v>
      </c>
      <c r="BH73" s="49" t="s">
        <v>3768</v>
      </c>
      <c r="BI73" s="49" t="s">
        <v>3768</v>
      </c>
      <c r="BJ73" s="49" t="s">
        <v>3768</v>
      </c>
      <c r="BK73" s="49" t="s">
        <v>4171</v>
      </c>
      <c r="BL73" s="49" t="s">
        <v>5653</v>
      </c>
      <c r="BM73" s="49" t="s">
        <v>5654</v>
      </c>
      <c r="BN73" s="49" t="s">
        <v>5655</v>
      </c>
      <c r="BO73" s="49" t="s">
        <v>5656</v>
      </c>
      <c r="BP73" s="49" t="s">
        <v>5657</v>
      </c>
      <c r="BQ73" s="49" t="s">
        <v>5658</v>
      </c>
      <c r="BR73" s="49" t="s">
        <v>4113</v>
      </c>
      <c r="BS73" s="49" t="s">
        <v>4114</v>
      </c>
      <c r="BT73" s="49" t="s">
        <v>5659</v>
      </c>
    </row>
    <row r="74" spans="1:72" ht="45" customHeight="1">
      <c r="A74" s="49" t="s">
        <v>950</v>
      </c>
      <c r="B74" s="49" t="s">
        <v>951</v>
      </c>
      <c r="C74" s="49">
        <v>2026</v>
      </c>
      <c r="D74" s="49" t="s">
        <v>4434</v>
      </c>
      <c r="E74" s="49" t="s">
        <v>953</v>
      </c>
      <c r="F74" s="49" t="s">
        <v>4076</v>
      </c>
      <c r="G74" s="49" t="s">
        <v>4077</v>
      </c>
      <c r="H74" s="49" t="s">
        <v>5660</v>
      </c>
      <c r="I74" s="49" t="s">
        <v>5661</v>
      </c>
      <c r="J74" s="49" t="s">
        <v>5662</v>
      </c>
      <c r="K74" s="49" t="s">
        <v>4182</v>
      </c>
      <c r="L74" s="49" t="s">
        <v>5663</v>
      </c>
      <c r="M74" s="49" t="s">
        <v>5664</v>
      </c>
      <c r="N74" s="49" t="s">
        <v>3813</v>
      </c>
      <c r="O74" s="49" t="s">
        <v>3813</v>
      </c>
      <c r="P74" s="49" t="s">
        <v>5665</v>
      </c>
      <c r="Q74" s="49" t="s">
        <v>5666</v>
      </c>
      <c r="R74" s="49" t="s">
        <v>4187</v>
      </c>
      <c r="S74" s="49" t="s">
        <v>4565</v>
      </c>
      <c r="T74" s="49" t="s">
        <v>5667</v>
      </c>
      <c r="U74" s="49" t="s">
        <v>5668</v>
      </c>
      <c r="V74" s="49" t="s">
        <v>5669</v>
      </c>
      <c r="W74" s="49" t="s">
        <v>5670</v>
      </c>
      <c r="X74" s="49" t="s">
        <v>5671</v>
      </c>
      <c r="Y74" s="49" t="s">
        <v>4194</v>
      </c>
      <c r="Z74" s="49" t="s">
        <v>3768</v>
      </c>
      <c r="AA74" s="49" t="s">
        <v>3768</v>
      </c>
      <c r="AB74" s="49" t="s">
        <v>3768</v>
      </c>
      <c r="AC74" s="49" t="s">
        <v>3768</v>
      </c>
      <c r="AD74" s="49" t="s">
        <v>5672</v>
      </c>
      <c r="AE74" s="49" t="s">
        <v>3813</v>
      </c>
      <c r="AF74" s="49" t="s">
        <v>4196</v>
      </c>
      <c r="AG74" s="49" t="s">
        <v>3768</v>
      </c>
      <c r="AH74" s="49" t="s">
        <v>3768</v>
      </c>
      <c r="AI74" s="49" t="s">
        <v>3768</v>
      </c>
      <c r="AJ74" s="49" t="s">
        <v>3768</v>
      </c>
      <c r="AK74" s="49" t="s">
        <v>3813</v>
      </c>
      <c r="AL74" s="49" t="s">
        <v>3813</v>
      </c>
      <c r="AM74" s="49" t="s">
        <v>4096</v>
      </c>
      <c r="AN74" s="49" t="s">
        <v>3813</v>
      </c>
      <c r="AO74" s="49" t="s">
        <v>3768</v>
      </c>
      <c r="AP74" s="49" t="s">
        <v>3768</v>
      </c>
      <c r="AQ74" s="49" t="s">
        <v>3768</v>
      </c>
      <c r="AR74" s="49" t="s">
        <v>3768</v>
      </c>
      <c r="AS74" s="49" t="s">
        <v>3813</v>
      </c>
      <c r="AT74" s="49" t="s">
        <v>3813</v>
      </c>
      <c r="AU74" s="49" t="s">
        <v>3813</v>
      </c>
      <c r="AV74" s="49" t="s">
        <v>3813</v>
      </c>
      <c r="AW74" s="49" t="s">
        <v>5673</v>
      </c>
      <c r="AX74" s="49" t="s">
        <v>5674</v>
      </c>
      <c r="AY74" s="49" t="s">
        <v>5675</v>
      </c>
      <c r="AZ74" s="49" t="s">
        <v>5676</v>
      </c>
      <c r="BA74" s="49" t="s">
        <v>5677</v>
      </c>
      <c r="BB74" s="49" t="s">
        <v>5678</v>
      </c>
      <c r="BC74" s="49" t="s">
        <v>5679</v>
      </c>
      <c r="BD74" s="49" t="s">
        <v>5680</v>
      </c>
      <c r="BE74" s="49" t="s">
        <v>3768</v>
      </c>
      <c r="BF74" s="49" t="s">
        <v>5681</v>
      </c>
      <c r="BG74" s="49" t="s">
        <v>4243</v>
      </c>
      <c r="BH74" s="49" t="s">
        <v>3768</v>
      </c>
      <c r="BI74" s="49" t="s">
        <v>3768</v>
      </c>
      <c r="BJ74" s="49" t="s">
        <v>3768</v>
      </c>
      <c r="BK74" s="49" t="s">
        <v>4106</v>
      </c>
      <c r="BL74" s="49" t="s">
        <v>5682</v>
      </c>
      <c r="BM74" s="49" t="s">
        <v>5683</v>
      </c>
      <c r="BN74" s="49" t="s">
        <v>5684</v>
      </c>
      <c r="BO74" s="49" t="s">
        <v>5685</v>
      </c>
      <c r="BP74" s="49" t="s">
        <v>5686</v>
      </c>
      <c r="BQ74" s="49" t="s">
        <v>5687</v>
      </c>
      <c r="BR74" s="49" t="s">
        <v>4113</v>
      </c>
      <c r="BS74" s="49" t="s">
        <v>4114</v>
      </c>
      <c r="BT74" s="49" t="s">
        <v>5688</v>
      </c>
    </row>
    <row r="75" spans="1:72" ht="45" customHeight="1">
      <c r="A75" s="49" t="s">
        <v>980</v>
      </c>
      <c r="B75" s="49" t="s">
        <v>981</v>
      </c>
      <c r="C75" s="49">
        <v>2026</v>
      </c>
      <c r="D75" s="49" t="s">
        <v>3928</v>
      </c>
      <c r="E75" s="49" t="s">
        <v>984</v>
      </c>
      <c r="F75" s="49" t="s">
        <v>4076</v>
      </c>
      <c r="G75" s="49" t="s">
        <v>4077</v>
      </c>
      <c r="H75" s="49" t="s">
        <v>5689</v>
      </c>
      <c r="I75" s="49" t="s">
        <v>5690</v>
      </c>
      <c r="J75" s="49" t="s">
        <v>5691</v>
      </c>
      <c r="K75" s="49" t="s">
        <v>4081</v>
      </c>
      <c r="L75" s="49" t="s">
        <v>5692</v>
      </c>
      <c r="M75" s="49" t="s">
        <v>3813</v>
      </c>
      <c r="N75" s="49" t="s">
        <v>5693</v>
      </c>
      <c r="O75" s="49" t="s">
        <v>5694</v>
      </c>
      <c r="P75" s="49" t="s">
        <v>3813</v>
      </c>
      <c r="Q75" s="49" t="s">
        <v>5695</v>
      </c>
      <c r="R75" s="49" t="s">
        <v>5696</v>
      </c>
      <c r="S75" s="49" t="s">
        <v>5697</v>
      </c>
      <c r="T75" s="49" t="s">
        <v>5698</v>
      </c>
      <c r="U75" s="49" t="s">
        <v>5699</v>
      </c>
      <c r="V75" s="49" t="s">
        <v>5696</v>
      </c>
      <c r="W75" s="49" t="s">
        <v>5700</v>
      </c>
      <c r="X75" s="49" t="s">
        <v>5701</v>
      </c>
      <c r="Y75" s="49" t="s">
        <v>4194</v>
      </c>
      <c r="Z75" s="49" t="s">
        <v>3768</v>
      </c>
      <c r="AA75" s="49" t="s">
        <v>3768</v>
      </c>
      <c r="AB75" s="49" t="s">
        <v>3768</v>
      </c>
      <c r="AC75" s="49" t="s">
        <v>3768</v>
      </c>
      <c r="AD75" s="49" t="s">
        <v>5702</v>
      </c>
      <c r="AE75" s="49" t="s">
        <v>3813</v>
      </c>
      <c r="AF75" s="49" t="s">
        <v>4196</v>
      </c>
      <c r="AG75" s="49" t="s">
        <v>3768</v>
      </c>
      <c r="AH75" s="49" t="s">
        <v>3768</v>
      </c>
      <c r="AI75" s="49" t="s">
        <v>3768</v>
      </c>
      <c r="AJ75" s="49" t="s">
        <v>3768</v>
      </c>
      <c r="AK75" s="49" t="s">
        <v>3813</v>
      </c>
      <c r="AL75" s="49" t="s">
        <v>3813</v>
      </c>
      <c r="AM75" s="49" t="s">
        <v>4096</v>
      </c>
      <c r="AN75" s="49" t="s">
        <v>3813</v>
      </c>
      <c r="AO75" s="49" t="s">
        <v>3768</v>
      </c>
      <c r="AP75" s="49" t="s">
        <v>3768</v>
      </c>
      <c r="AQ75" s="49" t="s">
        <v>3768</v>
      </c>
      <c r="AR75" s="49" t="s">
        <v>3813</v>
      </c>
      <c r="AS75" s="49" t="s">
        <v>3813</v>
      </c>
      <c r="AT75" s="49" t="s">
        <v>3768</v>
      </c>
      <c r="AU75" s="49" t="s">
        <v>3813</v>
      </c>
      <c r="AV75" s="49" t="s">
        <v>3813</v>
      </c>
      <c r="AW75" s="49" t="s">
        <v>5703</v>
      </c>
      <c r="AX75" s="49" t="s">
        <v>5704</v>
      </c>
      <c r="AY75" s="49" t="s">
        <v>5705</v>
      </c>
      <c r="AZ75" s="49" t="s">
        <v>5706</v>
      </c>
      <c r="BA75" s="49" t="s">
        <v>5707</v>
      </c>
      <c r="BB75" s="49" t="s">
        <v>5708</v>
      </c>
      <c r="BC75" s="49" t="s">
        <v>5709</v>
      </c>
      <c r="BD75" s="49" t="s">
        <v>5710</v>
      </c>
      <c r="BE75" s="49" t="s">
        <v>3768</v>
      </c>
      <c r="BF75" s="49" t="s">
        <v>5711</v>
      </c>
      <c r="BG75" s="49" t="s">
        <v>3768</v>
      </c>
      <c r="BH75" s="49" t="s">
        <v>3768</v>
      </c>
      <c r="BI75" s="49" t="s">
        <v>3768</v>
      </c>
      <c r="BJ75" s="49" t="s">
        <v>3768</v>
      </c>
      <c r="BK75" s="49" t="s">
        <v>4106</v>
      </c>
      <c r="BL75" s="49" t="s">
        <v>5712</v>
      </c>
      <c r="BM75" s="49" t="s">
        <v>5713</v>
      </c>
      <c r="BN75" s="49" t="s">
        <v>5714</v>
      </c>
      <c r="BO75" s="49" t="s">
        <v>5715</v>
      </c>
      <c r="BP75" s="49" t="s">
        <v>5716</v>
      </c>
      <c r="BQ75" s="49" t="s">
        <v>5717</v>
      </c>
      <c r="BR75" s="49" t="s">
        <v>4113</v>
      </c>
      <c r="BS75" s="49" t="s">
        <v>4114</v>
      </c>
      <c r="BT75" s="49" t="s">
        <v>5718</v>
      </c>
    </row>
    <row r="76" spans="1:72" ht="45" customHeight="1">
      <c r="A76" s="49" t="s">
        <v>988</v>
      </c>
      <c r="B76" s="49" t="s">
        <v>989</v>
      </c>
      <c r="C76" s="49">
        <v>2024</v>
      </c>
      <c r="D76" s="49" t="s">
        <v>534</v>
      </c>
      <c r="E76" s="49" t="s">
        <v>991</v>
      </c>
      <c r="F76" s="49" t="s">
        <v>4076</v>
      </c>
      <c r="G76" s="49" t="s">
        <v>4077</v>
      </c>
      <c r="H76" s="49" t="s">
        <v>5719</v>
      </c>
      <c r="I76" s="49" t="s">
        <v>5720</v>
      </c>
      <c r="J76" s="49" t="s">
        <v>5721</v>
      </c>
      <c r="K76" s="49" t="s">
        <v>4182</v>
      </c>
      <c r="L76" s="49" t="s">
        <v>5722</v>
      </c>
      <c r="M76" s="49" t="s">
        <v>5723</v>
      </c>
      <c r="N76" s="49" t="s">
        <v>3813</v>
      </c>
      <c r="O76" s="49" t="s">
        <v>3813</v>
      </c>
      <c r="P76" s="49" t="s">
        <v>5724</v>
      </c>
      <c r="Q76" s="49" t="s">
        <v>5725</v>
      </c>
      <c r="R76" s="49" t="s">
        <v>5726</v>
      </c>
      <c r="S76" s="49" t="s">
        <v>5727</v>
      </c>
      <c r="T76" s="49" t="s">
        <v>5728</v>
      </c>
      <c r="U76" s="49" t="s">
        <v>5729</v>
      </c>
      <c r="V76" s="49" t="s">
        <v>5730</v>
      </c>
      <c r="W76" s="49" t="s">
        <v>5731</v>
      </c>
      <c r="X76" s="49" t="s">
        <v>5732</v>
      </c>
      <c r="Y76" s="49" t="s">
        <v>4194</v>
      </c>
      <c r="Z76" s="49" t="s">
        <v>3768</v>
      </c>
      <c r="AA76" s="49" t="s">
        <v>3768</v>
      </c>
      <c r="AB76" s="49" t="s">
        <v>3768</v>
      </c>
      <c r="AC76" s="49" t="s">
        <v>3768</v>
      </c>
      <c r="AD76" s="49" t="s">
        <v>5733</v>
      </c>
      <c r="AE76" s="49" t="s">
        <v>3813</v>
      </c>
      <c r="AF76" s="49" t="s">
        <v>4196</v>
      </c>
      <c r="AG76" s="49" t="s">
        <v>3768</v>
      </c>
      <c r="AH76" s="49" t="s">
        <v>3768</v>
      </c>
      <c r="AI76" s="49" t="s">
        <v>3768</v>
      </c>
      <c r="AJ76" s="49" t="s">
        <v>3768</v>
      </c>
      <c r="AK76" s="49" t="s">
        <v>3813</v>
      </c>
      <c r="AL76" s="49" t="s">
        <v>3813</v>
      </c>
      <c r="AM76" s="49" t="s">
        <v>4096</v>
      </c>
      <c r="AN76" s="49" t="s">
        <v>3813</v>
      </c>
      <c r="AO76" s="49" t="s">
        <v>3768</v>
      </c>
      <c r="AP76" s="49" t="s">
        <v>3768</v>
      </c>
      <c r="AQ76" s="49" t="s">
        <v>3813</v>
      </c>
      <c r="AR76" s="49" t="s">
        <v>3768</v>
      </c>
      <c r="AS76" s="49" t="s">
        <v>3813</v>
      </c>
      <c r="AT76" s="49" t="s">
        <v>3768</v>
      </c>
      <c r="AU76" s="49" t="s">
        <v>3813</v>
      </c>
      <c r="AV76" s="49" t="s">
        <v>3813</v>
      </c>
      <c r="AW76" s="49" t="s">
        <v>5734</v>
      </c>
      <c r="AX76" s="49" t="s">
        <v>5735</v>
      </c>
      <c r="AY76" s="49" t="s">
        <v>5736</v>
      </c>
      <c r="AZ76" s="49" t="s">
        <v>5737</v>
      </c>
      <c r="BA76" s="49" t="s">
        <v>5738</v>
      </c>
      <c r="BB76" s="49" t="s">
        <v>5739</v>
      </c>
      <c r="BC76" s="49" t="s">
        <v>5740</v>
      </c>
      <c r="BD76" s="49" t="s">
        <v>5741</v>
      </c>
      <c r="BE76" s="49" t="s">
        <v>3768</v>
      </c>
      <c r="BF76" s="49" t="s">
        <v>5742</v>
      </c>
      <c r="BG76" s="49" t="s">
        <v>3768</v>
      </c>
      <c r="BH76" s="49" t="s">
        <v>3768</v>
      </c>
      <c r="BI76" s="49" t="s">
        <v>3768</v>
      </c>
      <c r="BJ76" s="49" t="s">
        <v>3768</v>
      </c>
      <c r="BK76" s="49" t="s">
        <v>4106</v>
      </c>
      <c r="BL76" s="49" t="s">
        <v>5743</v>
      </c>
      <c r="BM76" s="49" t="s">
        <v>5744</v>
      </c>
      <c r="BN76" s="49" t="s">
        <v>5745</v>
      </c>
      <c r="BO76" s="49" t="s">
        <v>5746</v>
      </c>
      <c r="BP76" s="49" t="s">
        <v>5747</v>
      </c>
      <c r="BQ76" s="49" t="s">
        <v>5748</v>
      </c>
      <c r="BR76" s="49" t="s">
        <v>4113</v>
      </c>
      <c r="BS76" s="49" t="s">
        <v>4114</v>
      </c>
      <c r="BT76" s="49" t="s">
        <v>5749</v>
      </c>
    </row>
    <row r="77" spans="1:72" ht="45" customHeight="1">
      <c r="A77" s="49" t="s">
        <v>995</v>
      </c>
      <c r="B77" s="49" t="s">
        <v>996</v>
      </c>
      <c r="C77" s="49">
        <v>2024</v>
      </c>
      <c r="D77" s="49" t="s">
        <v>277</v>
      </c>
      <c r="E77" s="49" t="s">
        <v>998</v>
      </c>
      <c r="F77" s="49" t="s">
        <v>4076</v>
      </c>
      <c r="G77" s="49" t="s">
        <v>4077</v>
      </c>
      <c r="H77" s="49" t="s">
        <v>6849</v>
      </c>
      <c r="I77" s="49" t="s">
        <v>6850</v>
      </c>
      <c r="J77" s="49" t="s">
        <v>6851</v>
      </c>
      <c r="K77" s="49" t="s">
        <v>4182</v>
      </c>
      <c r="L77" s="49" t="s">
        <v>6852</v>
      </c>
      <c r="M77" s="49" t="s">
        <v>6853</v>
      </c>
      <c r="N77" s="49" t="s">
        <v>3813</v>
      </c>
      <c r="O77" s="49" t="s">
        <v>3813</v>
      </c>
      <c r="P77" s="49" t="s">
        <v>6854</v>
      </c>
      <c r="Q77" s="49" t="s">
        <v>6855</v>
      </c>
      <c r="R77" s="49" t="s">
        <v>6856</v>
      </c>
      <c r="S77" s="49" t="s">
        <v>6857</v>
      </c>
      <c r="T77" s="49" t="s">
        <v>6858</v>
      </c>
      <c r="U77" s="49" t="s">
        <v>6859</v>
      </c>
      <c r="V77" s="49" t="s">
        <v>6856</v>
      </c>
      <c r="W77" s="49" t="s">
        <v>6860</v>
      </c>
      <c r="X77" s="49" t="s">
        <v>6861</v>
      </c>
      <c r="Y77" s="49" t="s">
        <v>4160</v>
      </c>
      <c r="Z77" s="49" t="s">
        <v>3768</v>
      </c>
      <c r="AA77" s="49" t="s">
        <v>3768</v>
      </c>
      <c r="AB77" s="49" t="s">
        <v>3813</v>
      </c>
      <c r="AC77" s="49" t="s">
        <v>3768</v>
      </c>
      <c r="AD77" s="49" t="s">
        <v>6862</v>
      </c>
      <c r="AE77" s="49" t="s">
        <v>3813</v>
      </c>
      <c r="AF77" s="49" t="s">
        <v>4095</v>
      </c>
      <c r="AG77" s="49" t="s">
        <v>3768</v>
      </c>
      <c r="AH77" s="49" t="s">
        <v>3768</v>
      </c>
      <c r="AI77" s="49" t="s">
        <v>3813</v>
      </c>
      <c r="AJ77" s="49" t="s">
        <v>3813</v>
      </c>
      <c r="AK77" s="49" t="s">
        <v>3813</v>
      </c>
      <c r="AL77" s="49" t="s">
        <v>3813</v>
      </c>
      <c r="AM77" s="49" t="s">
        <v>4096</v>
      </c>
      <c r="AN77" s="49" t="s">
        <v>3813</v>
      </c>
      <c r="AO77" s="49" t="s">
        <v>3768</v>
      </c>
      <c r="AP77" s="49" t="s">
        <v>3768</v>
      </c>
      <c r="AQ77" s="49" t="s">
        <v>3768</v>
      </c>
      <c r="AR77" s="49" t="s">
        <v>3768</v>
      </c>
      <c r="AS77" s="49" t="s">
        <v>3768</v>
      </c>
      <c r="AT77" s="49" t="s">
        <v>3813</v>
      </c>
      <c r="AU77" s="49" t="s">
        <v>3768</v>
      </c>
      <c r="AV77" s="49" t="s">
        <v>6863</v>
      </c>
      <c r="AW77" s="49" t="s">
        <v>6864</v>
      </c>
      <c r="AX77" s="49" t="s">
        <v>6865</v>
      </c>
      <c r="AY77" s="49" t="s">
        <v>6866</v>
      </c>
      <c r="AZ77" s="49" t="s">
        <v>6867</v>
      </c>
      <c r="BA77" s="49" t="s">
        <v>6868</v>
      </c>
      <c r="BB77" s="49" t="s">
        <v>6869</v>
      </c>
      <c r="BC77" s="49" t="s">
        <v>6870</v>
      </c>
      <c r="BD77" s="49" t="s">
        <v>6871</v>
      </c>
      <c r="BE77" s="49" t="s">
        <v>3768</v>
      </c>
      <c r="BF77" s="49" t="s">
        <v>6472</v>
      </c>
      <c r="BG77" s="49" t="s">
        <v>3813</v>
      </c>
      <c r="BH77" s="49" t="s">
        <v>3768</v>
      </c>
      <c r="BI77" s="49" t="s">
        <v>3768</v>
      </c>
      <c r="BJ77" s="49" t="s">
        <v>3813</v>
      </c>
      <c r="BK77" s="49" t="s">
        <v>4171</v>
      </c>
      <c r="BL77" s="49" t="s">
        <v>6872</v>
      </c>
      <c r="BM77" s="49" t="s">
        <v>6873</v>
      </c>
      <c r="BN77" s="49" t="s">
        <v>6874</v>
      </c>
      <c r="BO77" s="49" t="s">
        <v>6875</v>
      </c>
      <c r="BP77" s="49" t="s">
        <v>6876</v>
      </c>
      <c r="BQ77" s="49" t="s">
        <v>6877</v>
      </c>
      <c r="BR77" s="49" t="s">
        <v>4113</v>
      </c>
      <c r="BS77" s="49" t="s">
        <v>4114</v>
      </c>
      <c r="BT77" s="49" t="s">
        <v>7568</v>
      </c>
    </row>
    <row r="78" spans="1:72" ht="15.75" customHeight="1">
      <c r="A78" s="49" t="s">
        <v>1017</v>
      </c>
      <c r="B78" s="49" t="s">
        <v>1018</v>
      </c>
      <c r="C78" s="49">
        <v>2026</v>
      </c>
      <c r="D78" s="49" t="s">
        <v>570</v>
      </c>
      <c r="E78" s="49" t="s">
        <v>1020</v>
      </c>
      <c r="F78" s="49" t="s">
        <v>4076</v>
      </c>
      <c r="G78" s="49" t="s">
        <v>4077</v>
      </c>
      <c r="H78" s="49" t="s">
        <v>6878</v>
      </c>
      <c r="I78" s="49" t="s">
        <v>6879</v>
      </c>
      <c r="J78" s="49" t="s">
        <v>6880</v>
      </c>
      <c r="K78" s="49" t="s">
        <v>4119</v>
      </c>
      <c r="L78" s="49" t="s">
        <v>6881</v>
      </c>
      <c r="M78" s="49" t="s">
        <v>3813</v>
      </c>
      <c r="N78" s="49" t="s">
        <v>3813</v>
      </c>
      <c r="O78" s="49" t="s">
        <v>3813</v>
      </c>
      <c r="P78" s="49" t="s">
        <v>3813</v>
      </c>
      <c r="Q78" s="49" t="s">
        <v>6882</v>
      </c>
      <c r="R78" s="49" t="s">
        <v>4187</v>
      </c>
      <c r="S78" s="49" t="s">
        <v>4565</v>
      </c>
      <c r="T78" s="49" t="s">
        <v>6883</v>
      </c>
      <c r="U78" s="49" t="s">
        <v>6884</v>
      </c>
      <c r="V78" s="49" t="s">
        <v>6885</v>
      </c>
      <c r="W78" s="49" t="s">
        <v>6886</v>
      </c>
      <c r="X78" s="49" t="s">
        <v>4101</v>
      </c>
      <c r="Y78" s="49" t="s">
        <v>4194</v>
      </c>
      <c r="Z78" s="49" t="s">
        <v>3768</v>
      </c>
      <c r="AA78" s="49" t="s">
        <v>3768</v>
      </c>
      <c r="AB78" s="49" t="s">
        <v>3768</v>
      </c>
      <c r="AC78" s="49" t="s">
        <v>3768</v>
      </c>
      <c r="AD78" s="49" t="s">
        <v>6776</v>
      </c>
      <c r="AE78" s="49" t="s">
        <v>3813</v>
      </c>
      <c r="AF78" s="49" t="s">
        <v>4196</v>
      </c>
      <c r="AG78" s="49" t="s">
        <v>3768</v>
      </c>
      <c r="AH78" s="49" t="s">
        <v>3768</v>
      </c>
      <c r="AI78" s="49" t="s">
        <v>3768</v>
      </c>
      <c r="AJ78" s="49" t="s">
        <v>3813</v>
      </c>
      <c r="AK78" s="49" t="s">
        <v>3813</v>
      </c>
      <c r="AL78" s="49" t="s">
        <v>3813</v>
      </c>
      <c r="AM78" s="49" t="s">
        <v>4096</v>
      </c>
      <c r="AN78" s="49" t="s">
        <v>3813</v>
      </c>
      <c r="AO78" s="49" t="s">
        <v>3813</v>
      </c>
      <c r="AP78" s="49" t="s">
        <v>3813</v>
      </c>
      <c r="AQ78" s="49" t="s">
        <v>3813</v>
      </c>
      <c r="AR78" s="49" t="s">
        <v>3813</v>
      </c>
      <c r="AS78" s="49" t="s">
        <v>3813</v>
      </c>
      <c r="AT78" s="49" t="s">
        <v>3813</v>
      </c>
      <c r="AU78" s="49" t="s">
        <v>3813</v>
      </c>
      <c r="AV78" s="49" t="s">
        <v>3813</v>
      </c>
      <c r="AW78" s="49" t="s">
        <v>4387</v>
      </c>
      <c r="AX78" s="49" t="s">
        <v>6778</v>
      </c>
      <c r="AY78" s="49" t="s">
        <v>6887</v>
      </c>
      <c r="AZ78" s="49" t="s">
        <v>4101</v>
      </c>
      <c r="BA78" s="49" t="s">
        <v>6888</v>
      </c>
      <c r="BB78" s="49" t="s">
        <v>6889</v>
      </c>
      <c r="BC78" s="49" t="s">
        <v>6890</v>
      </c>
      <c r="BD78" s="49" t="s">
        <v>6891</v>
      </c>
      <c r="BE78" s="49" t="s">
        <v>3768</v>
      </c>
      <c r="BF78" s="49" t="s">
        <v>3813</v>
      </c>
      <c r="BG78" s="49" t="s">
        <v>3813</v>
      </c>
      <c r="BH78" s="49" t="s">
        <v>3768</v>
      </c>
      <c r="BI78" s="49" t="s">
        <v>3768</v>
      </c>
      <c r="BJ78" s="49" t="s">
        <v>3768</v>
      </c>
      <c r="BK78" s="49" t="s">
        <v>4106</v>
      </c>
      <c r="BL78" s="49" t="s">
        <v>6892</v>
      </c>
      <c r="BM78" s="49" t="s">
        <v>6893</v>
      </c>
      <c r="BN78" s="49" t="s">
        <v>6894</v>
      </c>
      <c r="BO78" s="49" t="s">
        <v>6895</v>
      </c>
      <c r="BP78" s="49" t="s">
        <v>6896</v>
      </c>
      <c r="BQ78" s="49" t="s">
        <v>6897</v>
      </c>
      <c r="BR78" s="49" t="s">
        <v>4113</v>
      </c>
      <c r="BS78" s="49" t="s">
        <v>4114</v>
      </c>
      <c r="BT78" s="49" t="s">
        <v>7569</v>
      </c>
    </row>
    <row r="79" spans="1:72" ht="15.75" customHeight="1">
      <c r="A79" s="49" t="s">
        <v>1032</v>
      </c>
      <c r="B79" s="49" t="s">
        <v>1033</v>
      </c>
      <c r="C79" s="49">
        <v>2025</v>
      </c>
      <c r="D79" s="49" t="s">
        <v>3339</v>
      </c>
      <c r="E79" s="49" t="s">
        <v>1036</v>
      </c>
      <c r="F79" s="49" t="s">
        <v>4770</v>
      </c>
      <c r="G79" s="49" t="s">
        <v>4077</v>
      </c>
      <c r="H79" s="49" t="s">
        <v>5750</v>
      </c>
      <c r="I79" s="49" t="s">
        <v>5751</v>
      </c>
      <c r="J79" s="49" t="s">
        <v>5752</v>
      </c>
      <c r="K79" s="49" t="s">
        <v>5753</v>
      </c>
      <c r="L79" s="49" t="s">
        <v>5754</v>
      </c>
      <c r="M79" s="49" t="s">
        <v>5755</v>
      </c>
      <c r="N79" s="49" t="s">
        <v>5756</v>
      </c>
      <c r="O79" s="49" t="s">
        <v>3813</v>
      </c>
      <c r="P79" s="49" t="s">
        <v>5757</v>
      </c>
      <c r="Q79" s="49" t="s">
        <v>5758</v>
      </c>
      <c r="R79" s="49" t="s">
        <v>5759</v>
      </c>
      <c r="S79" s="49" t="s">
        <v>5760</v>
      </c>
      <c r="T79" s="49" t="s">
        <v>5761</v>
      </c>
      <c r="U79" s="49" t="s">
        <v>5762</v>
      </c>
      <c r="V79" s="49" t="s">
        <v>5763</v>
      </c>
      <c r="W79" s="49" t="s">
        <v>5764</v>
      </c>
      <c r="X79" s="49" t="s">
        <v>5765</v>
      </c>
      <c r="Y79" s="49" t="s">
        <v>4194</v>
      </c>
      <c r="Z79" s="49" t="s">
        <v>3768</v>
      </c>
      <c r="AA79" s="49" t="s">
        <v>3813</v>
      </c>
      <c r="AB79" s="49" t="s">
        <v>3768</v>
      </c>
      <c r="AC79" s="49" t="s">
        <v>3768</v>
      </c>
      <c r="AD79" s="49" t="s">
        <v>5766</v>
      </c>
      <c r="AE79" s="49" t="s">
        <v>3768</v>
      </c>
      <c r="AF79" s="49" t="s">
        <v>4196</v>
      </c>
      <c r="AG79" s="49" t="s">
        <v>3768</v>
      </c>
      <c r="AH79" s="49" t="s">
        <v>3768</v>
      </c>
      <c r="AI79" s="49" t="s">
        <v>3768</v>
      </c>
      <c r="AJ79" s="49" t="s">
        <v>3813</v>
      </c>
      <c r="AK79" s="49" t="s">
        <v>3813</v>
      </c>
      <c r="AL79" s="49" t="s">
        <v>3813</v>
      </c>
      <c r="AM79" s="49" t="s">
        <v>4096</v>
      </c>
      <c r="AN79" s="49" t="s">
        <v>3813</v>
      </c>
      <c r="AO79" s="49" t="s">
        <v>3813</v>
      </c>
      <c r="AP79" s="49" t="s">
        <v>3813</v>
      </c>
      <c r="AQ79" s="49" t="s">
        <v>3813</v>
      </c>
      <c r="AR79" s="49" t="s">
        <v>3813</v>
      </c>
      <c r="AS79" s="49" t="s">
        <v>3813</v>
      </c>
      <c r="AT79" s="49" t="s">
        <v>3813</v>
      </c>
      <c r="AU79" s="49" t="s">
        <v>3813</v>
      </c>
      <c r="AV79" s="49" t="s">
        <v>3813</v>
      </c>
      <c r="AW79" s="49" t="s">
        <v>5767</v>
      </c>
      <c r="AX79" s="49" t="s">
        <v>5768</v>
      </c>
      <c r="AY79" s="49" t="s">
        <v>5769</v>
      </c>
      <c r="AZ79" s="49" t="s">
        <v>5770</v>
      </c>
      <c r="BA79" s="49" t="s">
        <v>5771</v>
      </c>
      <c r="BB79" s="49" t="s">
        <v>5772</v>
      </c>
      <c r="BC79" s="49" t="s">
        <v>5773</v>
      </c>
      <c r="BD79" s="49" t="s">
        <v>5774</v>
      </c>
      <c r="BE79" s="49" t="s">
        <v>3813</v>
      </c>
      <c r="BF79" s="49" t="s">
        <v>5775</v>
      </c>
      <c r="BG79" s="49" t="s">
        <v>3768</v>
      </c>
      <c r="BH79" s="49" t="s">
        <v>3768</v>
      </c>
      <c r="BI79" s="49" t="s">
        <v>3768</v>
      </c>
      <c r="BJ79" s="49" t="s">
        <v>3768</v>
      </c>
      <c r="BK79" s="49" t="s">
        <v>4171</v>
      </c>
      <c r="BL79" s="49" t="s">
        <v>5776</v>
      </c>
      <c r="BM79" s="49" t="s">
        <v>5777</v>
      </c>
      <c r="BN79" s="49" t="s">
        <v>5778</v>
      </c>
      <c r="BO79" s="49" t="s">
        <v>5779</v>
      </c>
      <c r="BP79" s="49" t="s">
        <v>5780</v>
      </c>
      <c r="BQ79" s="49" t="s">
        <v>5781</v>
      </c>
      <c r="BR79" s="49" t="s">
        <v>4113</v>
      </c>
      <c r="BS79" s="49" t="s">
        <v>4114</v>
      </c>
      <c r="BT79" s="49" t="s">
        <v>5782</v>
      </c>
    </row>
    <row r="80" spans="1:72" ht="15.75" customHeight="1">
      <c r="A80" s="49" t="s">
        <v>1040</v>
      </c>
      <c r="B80" s="49" t="s">
        <v>1041</v>
      </c>
      <c r="C80" s="49">
        <v>2026</v>
      </c>
      <c r="D80" s="49" t="s">
        <v>3339</v>
      </c>
      <c r="E80" s="49" t="s">
        <v>1043</v>
      </c>
      <c r="F80" s="49" t="s">
        <v>4076</v>
      </c>
      <c r="G80" s="49" t="s">
        <v>4077</v>
      </c>
      <c r="H80" s="49" t="s">
        <v>5783</v>
      </c>
      <c r="I80" s="49" t="s">
        <v>5784</v>
      </c>
      <c r="J80" s="49" t="s">
        <v>5785</v>
      </c>
      <c r="K80" s="49" t="s">
        <v>4836</v>
      </c>
      <c r="L80" s="49" t="s">
        <v>5786</v>
      </c>
      <c r="M80" s="49" t="s">
        <v>5787</v>
      </c>
      <c r="N80" s="49" t="s">
        <v>5788</v>
      </c>
      <c r="O80" s="49" t="s">
        <v>3813</v>
      </c>
      <c r="P80" s="49" t="s">
        <v>5789</v>
      </c>
      <c r="Q80" s="49" t="s">
        <v>5790</v>
      </c>
      <c r="R80" s="49" t="s">
        <v>5791</v>
      </c>
      <c r="S80" s="49" t="s">
        <v>5792</v>
      </c>
      <c r="T80" s="49" t="s">
        <v>5793</v>
      </c>
      <c r="U80" s="49" t="s">
        <v>5794</v>
      </c>
      <c r="V80" s="49" t="s">
        <v>5795</v>
      </c>
      <c r="W80" s="49" t="s">
        <v>5796</v>
      </c>
      <c r="X80" s="49" t="s">
        <v>5797</v>
      </c>
      <c r="Y80" s="49" t="s">
        <v>4194</v>
      </c>
      <c r="Z80" s="49" t="s">
        <v>3768</v>
      </c>
      <c r="AA80" s="49" t="s">
        <v>3768</v>
      </c>
      <c r="AB80" s="49" t="s">
        <v>3768</v>
      </c>
      <c r="AC80" s="49" t="s">
        <v>3768</v>
      </c>
      <c r="AD80" s="49" t="s">
        <v>5798</v>
      </c>
      <c r="AE80" s="49" t="s">
        <v>3813</v>
      </c>
      <c r="AF80" s="49" t="s">
        <v>4196</v>
      </c>
      <c r="AG80" s="49" t="s">
        <v>3768</v>
      </c>
      <c r="AH80" s="49" t="s">
        <v>3768</v>
      </c>
      <c r="AI80" s="49" t="s">
        <v>3768</v>
      </c>
      <c r="AJ80" s="49" t="s">
        <v>3768</v>
      </c>
      <c r="AK80" s="49" t="s">
        <v>3813</v>
      </c>
      <c r="AL80" s="49" t="s">
        <v>3813</v>
      </c>
      <c r="AM80" s="49" t="s">
        <v>4096</v>
      </c>
      <c r="AN80" s="49" t="s">
        <v>3813</v>
      </c>
      <c r="AO80" s="49" t="s">
        <v>3813</v>
      </c>
      <c r="AP80" s="49" t="s">
        <v>3813</v>
      </c>
      <c r="AQ80" s="49" t="s">
        <v>3813</v>
      </c>
      <c r="AR80" s="49" t="s">
        <v>3813</v>
      </c>
      <c r="AS80" s="49" t="s">
        <v>3813</v>
      </c>
      <c r="AT80" s="49" t="s">
        <v>3813</v>
      </c>
      <c r="AU80" s="49" t="s">
        <v>3813</v>
      </c>
      <c r="AV80" s="49" t="s">
        <v>3813</v>
      </c>
      <c r="AW80" s="49" t="s">
        <v>5799</v>
      </c>
      <c r="AX80" s="49" t="s">
        <v>5800</v>
      </c>
      <c r="AY80" s="49" t="s">
        <v>5801</v>
      </c>
      <c r="AZ80" s="49" t="s">
        <v>5802</v>
      </c>
      <c r="BA80" s="49" t="s">
        <v>5803</v>
      </c>
      <c r="BB80" s="49" t="s">
        <v>5804</v>
      </c>
      <c r="BC80" s="49" t="s">
        <v>5805</v>
      </c>
      <c r="BD80" s="49" t="s">
        <v>5806</v>
      </c>
      <c r="BE80" s="49" t="s">
        <v>3768</v>
      </c>
      <c r="BF80" s="49" t="s">
        <v>5807</v>
      </c>
      <c r="BG80" s="49" t="s">
        <v>3813</v>
      </c>
      <c r="BH80" s="49" t="s">
        <v>3768</v>
      </c>
      <c r="BI80" s="49" t="s">
        <v>3768</v>
      </c>
      <c r="BJ80" s="49" t="s">
        <v>3768</v>
      </c>
      <c r="BK80" s="49" t="s">
        <v>4106</v>
      </c>
      <c r="BL80" s="49" t="s">
        <v>5808</v>
      </c>
      <c r="BM80" s="49" t="s">
        <v>5809</v>
      </c>
      <c r="BN80" s="49" t="s">
        <v>5810</v>
      </c>
      <c r="BO80" s="49" t="s">
        <v>5811</v>
      </c>
      <c r="BP80" s="49" t="s">
        <v>5812</v>
      </c>
      <c r="BQ80" s="49" t="s">
        <v>5813</v>
      </c>
      <c r="BR80" s="49" t="s">
        <v>4113</v>
      </c>
      <c r="BS80" s="49" t="s">
        <v>4114</v>
      </c>
      <c r="BT80" s="49" t="s">
        <v>5814</v>
      </c>
    </row>
    <row r="81" spans="1:72" ht="15.75" customHeight="1">
      <c r="A81" s="49" t="s">
        <v>1047</v>
      </c>
      <c r="B81" s="49" t="s">
        <v>1048</v>
      </c>
      <c r="C81" s="49">
        <v>2025</v>
      </c>
      <c r="D81" s="49" t="s">
        <v>3339</v>
      </c>
      <c r="E81" s="49" t="s">
        <v>1050</v>
      </c>
      <c r="F81" s="49" t="s">
        <v>4076</v>
      </c>
      <c r="G81" s="49" t="s">
        <v>4077</v>
      </c>
      <c r="H81" s="49" t="s">
        <v>5815</v>
      </c>
      <c r="I81" s="49" t="s">
        <v>5816</v>
      </c>
      <c r="J81" s="49" t="s">
        <v>5817</v>
      </c>
      <c r="K81" s="49" t="s">
        <v>5818</v>
      </c>
      <c r="L81" s="49" t="s">
        <v>5819</v>
      </c>
      <c r="M81" s="49" t="s">
        <v>3813</v>
      </c>
      <c r="N81" s="49" t="s">
        <v>5820</v>
      </c>
      <c r="O81" s="49" t="s">
        <v>3813</v>
      </c>
      <c r="P81" s="49" t="s">
        <v>5821</v>
      </c>
      <c r="Q81" s="49" t="s">
        <v>5822</v>
      </c>
      <c r="R81" s="49" t="s">
        <v>5823</v>
      </c>
      <c r="S81" s="49" t="s">
        <v>5824</v>
      </c>
      <c r="T81" s="49" t="s">
        <v>5825</v>
      </c>
      <c r="U81" s="49" t="s">
        <v>5826</v>
      </c>
      <c r="V81" s="49" t="s">
        <v>5823</v>
      </c>
      <c r="W81" s="49" t="s">
        <v>5827</v>
      </c>
      <c r="X81" s="49" t="s">
        <v>5828</v>
      </c>
      <c r="Y81" s="49" t="s">
        <v>4093</v>
      </c>
      <c r="Z81" s="49" t="s">
        <v>3813</v>
      </c>
      <c r="AA81" s="49" t="s">
        <v>3768</v>
      </c>
      <c r="AB81" s="49" t="s">
        <v>3813</v>
      </c>
      <c r="AC81" s="49" t="s">
        <v>3813</v>
      </c>
      <c r="AD81" s="49" t="s">
        <v>5829</v>
      </c>
      <c r="AE81" s="49" t="s">
        <v>3813</v>
      </c>
      <c r="AF81" s="49" t="s">
        <v>4129</v>
      </c>
      <c r="AG81" s="49" t="s">
        <v>3813</v>
      </c>
      <c r="AH81" s="49" t="s">
        <v>3813</v>
      </c>
      <c r="AI81" s="49" t="s">
        <v>3813</v>
      </c>
      <c r="AJ81" s="49" t="s">
        <v>3813</v>
      </c>
      <c r="AK81" s="49" t="s">
        <v>3813</v>
      </c>
      <c r="AL81" s="49" t="s">
        <v>3813</v>
      </c>
      <c r="AM81" s="49" t="s">
        <v>84</v>
      </c>
      <c r="AN81" s="49" t="s">
        <v>84</v>
      </c>
      <c r="AO81" s="49" t="s">
        <v>3813</v>
      </c>
      <c r="AP81" s="49" t="s">
        <v>3813</v>
      </c>
      <c r="AQ81" s="49" t="s">
        <v>3813</v>
      </c>
      <c r="AR81" s="49" t="s">
        <v>3813</v>
      </c>
      <c r="AS81" s="49" t="s">
        <v>3813</v>
      </c>
      <c r="AT81" s="49" t="s">
        <v>3813</v>
      </c>
      <c r="AU81" s="49" t="s">
        <v>3813</v>
      </c>
      <c r="AV81" s="49" t="s">
        <v>3813</v>
      </c>
      <c r="AW81" s="49" t="s">
        <v>5830</v>
      </c>
      <c r="AX81" s="49" t="s">
        <v>5831</v>
      </c>
      <c r="AY81" s="49" t="s">
        <v>5832</v>
      </c>
      <c r="AZ81" s="49" t="s">
        <v>5833</v>
      </c>
      <c r="BA81" s="49" t="s">
        <v>5834</v>
      </c>
      <c r="BB81" s="49" t="s">
        <v>5835</v>
      </c>
      <c r="BC81" s="49" t="s">
        <v>5836</v>
      </c>
      <c r="BD81" s="49" t="s">
        <v>5837</v>
      </c>
      <c r="BE81" s="49" t="s">
        <v>3768</v>
      </c>
      <c r="BF81" s="49" t="s">
        <v>5838</v>
      </c>
      <c r="BG81" s="49" t="s">
        <v>3813</v>
      </c>
      <c r="BH81" s="49" t="s">
        <v>3768</v>
      </c>
      <c r="BI81" s="49" t="s">
        <v>3768</v>
      </c>
      <c r="BJ81" s="49" t="s">
        <v>3813</v>
      </c>
      <c r="BK81" s="49" t="s">
        <v>4138</v>
      </c>
      <c r="BL81" s="49" t="s">
        <v>5839</v>
      </c>
      <c r="BM81" s="49" t="s">
        <v>5840</v>
      </c>
      <c r="BN81" s="49" t="s">
        <v>5841</v>
      </c>
      <c r="BO81" s="49" t="s">
        <v>5842</v>
      </c>
      <c r="BP81" s="49" t="s">
        <v>5843</v>
      </c>
      <c r="BQ81" s="49" t="s">
        <v>5844</v>
      </c>
      <c r="BR81" s="49" t="s">
        <v>4113</v>
      </c>
      <c r="BS81" s="49" t="s">
        <v>4114</v>
      </c>
      <c r="BT81" s="49" t="s">
        <v>7071</v>
      </c>
    </row>
    <row r="82" spans="1:72" ht="15.75" customHeight="1">
      <c r="A82" s="49" t="s">
        <v>1076</v>
      </c>
      <c r="B82" s="49" t="s">
        <v>1077</v>
      </c>
      <c r="C82" s="49">
        <v>2024</v>
      </c>
      <c r="D82" s="49" t="s">
        <v>453</v>
      </c>
      <c r="E82" s="49" t="s">
        <v>1079</v>
      </c>
      <c r="F82" s="49" t="s">
        <v>4076</v>
      </c>
      <c r="G82" s="49" t="s">
        <v>4077</v>
      </c>
      <c r="H82" s="49" t="s">
        <v>5845</v>
      </c>
      <c r="I82" s="49" t="s">
        <v>5846</v>
      </c>
      <c r="J82" s="49" t="s">
        <v>5847</v>
      </c>
      <c r="K82" s="49" t="s">
        <v>5848</v>
      </c>
      <c r="L82" s="49" t="s">
        <v>5849</v>
      </c>
      <c r="M82" s="49" t="s">
        <v>5850</v>
      </c>
      <c r="N82" s="49" t="s">
        <v>3813</v>
      </c>
      <c r="O82" s="49" t="s">
        <v>3813</v>
      </c>
      <c r="P82" s="49" t="s">
        <v>5851</v>
      </c>
      <c r="Q82" s="49" t="s">
        <v>5852</v>
      </c>
      <c r="R82" s="49" t="s">
        <v>5853</v>
      </c>
      <c r="S82" s="49" t="s">
        <v>5854</v>
      </c>
      <c r="T82" s="49" t="s">
        <v>5855</v>
      </c>
      <c r="U82" s="49" t="s">
        <v>5856</v>
      </c>
      <c r="V82" s="49" t="s">
        <v>5857</v>
      </c>
      <c r="W82" s="49" t="s">
        <v>5858</v>
      </c>
      <c r="X82" s="49" t="s">
        <v>5859</v>
      </c>
      <c r="Y82" s="49" t="s">
        <v>4093</v>
      </c>
      <c r="Z82" s="49" t="s">
        <v>3813</v>
      </c>
      <c r="AA82" s="49" t="s">
        <v>3768</v>
      </c>
      <c r="AB82" s="49" t="s">
        <v>3813</v>
      </c>
      <c r="AC82" s="49" t="s">
        <v>3768</v>
      </c>
      <c r="AD82" s="49" t="s">
        <v>5860</v>
      </c>
      <c r="AE82" s="49" t="s">
        <v>3813</v>
      </c>
      <c r="AF82" s="49" t="s">
        <v>4196</v>
      </c>
      <c r="AG82" s="49" t="s">
        <v>3768</v>
      </c>
      <c r="AH82" s="49" t="s">
        <v>3813</v>
      </c>
      <c r="AI82" s="49" t="s">
        <v>3768</v>
      </c>
      <c r="AJ82" s="49" t="s">
        <v>3768</v>
      </c>
      <c r="AK82" s="49" t="s">
        <v>3768</v>
      </c>
      <c r="AL82" s="49" t="s">
        <v>3813</v>
      </c>
      <c r="AM82" s="49" t="s">
        <v>4096</v>
      </c>
      <c r="AN82" s="49" t="s">
        <v>3813</v>
      </c>
      <c r="AO82" s="49" t="s">
        <v>3768</v>
      </c>
      <c r="AP82" s="49" t="s">
        <v>3768</v>
      </c>
      <c r="AQ82" s="49" t="s">
        <v>3813</v>
      </c>
      <c r="AR82" s="49" t="s">
        <v>3813</v>
      </c>
      <c r="AS82" s="49" t="s">
        <v>3813</v>
      </c>
      <c r="AT82" s="49" t="s">
        <v>3813</v>
      </c>
      <c r="AU82" s="49" t="s">
        <v>3813</v>
      </c>
      <c r="AV82" s="49" t="s">
        <v>5861</v>
      </c>
      <c r="AW82" s="49" t="s">
        <v>5862</v>
      </c>
      <c r="AX82" s="49" t="s">
        <v>5863</v>
      </c>
      <c r="AY82" s="49" t="s">
        <v>5864</v>
      </c>
      <c r="AZ82" s="49" t="s">
        <v>5865</v>
      </c>
      <c r="BA82" s="49" t="s">
        <v>5866</v>
      </c>
      <c r="BB82" s="49" t="s">
        <v>5867</v>
      </c>
      <c r="BC82" s="49" t="s">
        <v>5868</v>
      </c>
      <c r="BD82" s="49" t="s">
        <v>5869</v>
      </c>
      <c r="BE82" s="49" t="s">
        <v>3768</v>
      </c>
      <c r="BF82" s="49" t="s">
        <v>5870</v>
      </c>
      <c r="BG82" s="49" t="s">
        <v>3768</v>
      </c>
      <c r="BH82" s="49" t="s">
        <v>3768</v>
      </c>
      <c r="BI82" s="49" t="s">
        <v>3768</v>
      </c>
      <c r="BJ82" s="49" t="s">
        <v>3768</v>
      </c>
      <c r="BK82" s="49" t="s">
        <v>4171</v>
      </c>
      <c r="BL82" s="49" t="s">
        <v>5871</v>
      </c>
      <c r="BM82" s="49" t="s">
        <v>5872</v>
      </c>
      <c r="BN82" s="49" t="s">
        <v>5873</v>
      </c>
      <c r="BO82" s="49" t="s">
        <v>5874</v>
      </c>
      <c r="BP82" s="49" t="s">
        <v>5875</v>
      </c>
      <c r="BQ82" s="49" t="s">
        <v>5876</v>
      </c>
      <c r="BR82" s="49" t="s">
        <v>4113</v>
      </c>
      <c r="BS82" s="49" t="s">
        <v>4114</v>
      </c>
      <c r="BT82" s="49" t="s">
        <v>7072</v>
      </c>
    </row>
    <row r="83" spans="1:72" ht="15.75" customHeight="1">
      <c r="A83" s="49" t="s">
        <v>1091</v>
      </c>
      <c r="B83" s="49" t="s">
        <v>1092</v>
      </c>
      <c r="C83" s="49">
        <v>2025</v>
      </c>
      <c r="D83" s="49" t="s">
        <v>198</v>
      </c>
      <c r="E83" s="49" t="s">
        <v>1094</v>
      </c>
      <c r="F83" s="49" t="s">
        <v>4076</v>
      </c>
      <c r="G83" s="49" t="s">
        <v>4077</v>
      </c>
      <c r="H83" s="49" t="s">
        <v>5877</v>
      </c>
      <c r="I83" s="49" t="s">
        <v>5878</v>
      </c>
      <c r="J83" s="49" t="s">
        <v>5879</v>
      </c>
      <c r="K83" s="49" t="s">
        <v>5880</v>
      </c>
      <c r="L83" s="49" t="s">
        <v>5881</v>
      </c>
      <c r="M83" s="49" t="s">
        <v>3813</v>
      </c>
      <c r="N83" s="49" t="s">
        <v>5882</v>
      </c>
      <c r="O83" s="49" t="s">
        <v>3813</v>
      </c>
      <c r="P83" s="49" t="s">
        <v>5883</v>
      </c>
      <c r="Q83" s="49" t="s">
        <v>5884</v>
      </c>
      <c r="R83" s="49" t="s">
        <v>5885</v>
      </c>
      <c r="S83" s="49" t="s">
        <v>5886</v>
      </c>
      <c r="T83" s="49" t="s">
        <v>5887</v>
      </c>
      <c r="U83" s="49" t="s">
        <v>5888</v>
      </c>
      <c r="V83" s="49" t="s">
        <v>5889</v>
      </c>
      <c r="W83" s="49" t="s">
        <v>5890</v>
      </c>
      <c r="X83" s="49" t="s">
        <v>5891</v>
      </c>
      <c r="Y83" s="49" t="s">
        <v>4194</v>
      </c>
      <c r="Z83" s="49" t="s">
        <v>3768</v>
      </c>
      <c r="AA83" s="49" t="s">
        <v>3768</v>
      </c>
      <c r="AB83" s="49" t="s">
        <v>3768</v>
      </c>
      <c r="AC83" s="49" t="s">
        <v>3768</v>
      </c>
      <c r="AD83" s="49" t="s">
        <v>5892</v>
      </c>
      <c r="AE83" s="49" t="s">
        <v>3813</v>
      </c>
      <c r="AF83" s="49" t="s">
        <v>4196</v>
      </c>
      <c r="AG83" s="49" t="s">
        <v>3768</v>
      </c>
      <c r="AH83" s="49" t="s">
        <v>3768</v>
      </c>
      <c r="AI83" s="49" t="s">
        <v>3768</v>
      </c>
      <c r="AJ83" s="49" t="s">
        <v>3768</v>
      </c>
      <c r="AK83" s="49" t="s">
        <v>3813</v>
      </c>
      <c r="AL83" s="49" t="s">
        <v>3813</v>
      </c>
      <c r="AM83" s="49" t="s">
        <v>4096</v>
      </c>
      <c r="AN83" s="49" t="s">
        <v>3813</v>
      </c>
      <c r="AO83" s="49" t="s">
        <v>3813</v>
      </c>
      <c r="AP83" s="49" t="s">
        <v>3813</v>
      </c>
      <c r="AQ83" s="49" t="s">
        <v>3813</v>
      </c>
      <c r="AR83" s="49" t="s">
        <v>3813</v>
      </c>
      <c r="AS83" s="49" t="s">
        <v>3813</v>
      </c>
      <c r="AT83" s="49" t="s">
        <v>3813</v>
      </c>
      <c r="AU83" s="49" t="s">
        <v>3813</v>
      </c>
      <c r="AV83" s="49" t="s">
        <v>3813</v>
      </c>
      <c r="AW83" s="49" t="s">
        <v>5893</v>
      </c>
      <c r="AX83" s="49" t="s">
        <v>5894</v>
      </c>
      <c r="AY83" s="49" t="s">
        <v>5895</v>
      </c>
      <c r="AZ83" s="49" t="s">
        <v>5896</v>
      </c>
      <c r="BA83" s="49" t="s">
        <v>5897</v>
      </c>
      <c r="BB83" s="49" t="s">
        <v>5898</v>
      </c>
      <c r="BC83" s="49" t="s">
        <v>5899</v>
      </c>
      <c r="BD83" s="49" t="s">
        <v>5900</v>
      </c>
      <c r="BE83" s="49" t="s">
        <v>3768</v>
      </c>
      <c r="BF83" s="49" t="s">
        <v>5901</v>
      </c>
      <c r="BG83" s="49" t="s">
        <v>3813</v>
      </c>
      <c r="BH83" s="49" t="s">
        <v>3768</v>
      </c>
      <c r="BI83" s="49" t="s">
        <v>3768</v>
      </c>
      <c r="BJ83" s="49" t="s">
        <v>3768</v>
      </c>
      <c r="BK83" s="49" t="s">
        <v>4207</v>
      </c>
      <c r="BL83" s="49" t="s">
        <v>7073</v>
      </c>
      <c r="BM83" s="49" t="s">
        <v>7074</v>
      </c>
      <c r="BN83" s="49" t="s">
        <v>7075</v>
      </c>
      <c r="BO83" s="49" t="s">
        <v>7076</v>
      </c>
      <c r="BP83" s="49" t="s">
        <v>7077</v>
      </c>
      <c r="BQ83" s="49" t="s">
        <v>7078</v>
      </c>
      <c r="BR83" s="49" t="s">
        <v>4113</v>
      </c>
      <c r="BS83" s="49" t="s">
        <v>4114</v>
      </c>
      <c r="BT83" s="49" t="s">
        <v>7079</v>
      </c>
    </row>
    <row r="84" spans="1:72" ht="15.75" customHeight="1">
      <c r="A84" s="49" t="s">
        <v>1111</v>
      </c>
      <c r="B84" s="49" t="s">
        <v>1112</v>
      </c>
      <c r="C84" s="49">
        <v>2025</v>
      </c>
      <c r="D84" s="49" t="s">
        <v>1114</v>
      </c>
      <c r="E84" s="49" t="s">
        <v>1115</v>
      </c>
      <c r="F84" s="49" t="s">
        <v>4076</v>
      </c>
      <c r="G84" s="49" t="s">
        <v>4077</v>
      </c>
      <c r="H84" s="49" t="s">
        <v>5902</v>
      </c>
      <c r="I84" s="49" t="s">
        <v>5903</v>
      </c>
      <c r="J84" s="49" t="s">
        <v>5904</v>
      </c>
      <c r="K84" s="49" t="s">
        <v>4119</v>
      </c>
      <c r="L84" s="49" t="s">
        <v>5905</v>
      </c>
      <c r="M84" s="49" t="s">
        <v>3813</v>
      </c>
      <c r="N84" s="49" t="s">
        <v>3813</v>
      </c>
      <c r="O84" s="49" t="s">
        <v>5906</v>
      </c>
      <c r="P84" s="49" t="s">
        <v>5907</v>
      </c>
      <c r="Q84" s="49" t="s">
        <v>5908</v>
      </c>
      <c r="R84" s="49" t="s">
        <v>5909</v>
      </c>
      <c r="S84" s="49" t="s">
        <v>5910</v>
      </c>
      <c r="T84" s="49" t="s">
        <v>5911</v>
      </c>
      <c r="U84" s="49" t="s">
        <v>5908</v>
      </c>
      <c r="V84" s="49" t="s">
        <v>5909</v>
      </c>
      <c r="W84" s="49" t="s">
        <v>5910</v>
      </c>
      <c r="X84" s="49" t="s">
        <v>5912</v>
      </c>
      <c r="Y84" s="49" t="s">
        <v>4127</v>
      </c>
      <c r="Z84" s="49" t="s">
        <v>3768</v>
      </c>
      <c r="AA84" s="49" t="s">
        <v>3813</v>
      </c>
      <c r="AB84" s="49" t="s">
        <v>3813</v>
      </c>
      <c r="AC84" s="49" t="s">
        <v>3813</v>
      </c>
      <c r="AD84" s="49" t="s">
        <v>5913</v>
      </c>
      <c r="AE84" s="49" t="s">
        <v>3768</v>
      </c>
      <c r="AF84" s="49" t="s">
        <v>4129</v>
      </c>
      <c r="AG84" s="49" t="s">
        <v>3813</v>
      </c>
      <c r="AH84" s="49" t="s">
        <v>3813</v>
      </c>
      <c r="AI84" s="49" t="s">
        <v>3813</v>
      </c>
      <c r="AJ84" s="49" t="s">
        <v>3813</v>
      </c>
      <c r="AK84" s="49" t="s">
        <v>3813</v>
      </c>
      <c r="AL84" s="49" t="s">
        <v>3813</v>
      </c>
      <c r="AM84" s="49" t="s">
        <v>84</v>
      </c>
      <c r="AN84" s="49" t="s">
        <v>84</v>
      </c>
      <c r="AO84" s="49" t="s">
        <v>3813</v>
      </c>
      <c r="AP84" s="49" t="s">
        <v>3813</v>
      </c>
      <c r="AQ84" s="49" t="s">
        <v>3813</v>
      </c>
      <c r="AR84" s="49" t="s">
        <v>3813</v>
      </c>
      <c r="AS84" s="49" t="s">
        <v>3813</v>
      </c>
      <c r="AT84" s="49" t="s">
        <v>3813</v>
      </c>
      <c r="AU84" s="49" t="s">
        <v>3813</v>
      </c>
      <c r="AV84" s="49" t="s">
        <v>5914</v>
      </c>
      <c r="AW84" s="49" t="s">
        <v>5915</v>
      </c>
      <c r="AX84" s="49" t="s">
        <v>5916</v>
      </c>
      <c r="AY84" s="49" t="s">
        <v>5917</v>
      </c>
      <c r="AZ84" s="49" t="s">
        <v>5918</v>
      </c>
      <c r="BA84" s="49" t="s">
        <v>5916</v>
      </c>
      <c r="BB84" s="49" t="s">
        <v>5919</v>
      </c>
      <c r="BC84" s="49" t="s">
        <v>5920</v>
      </c>
      <c r="BD84" s="49" t="s">
        <v>5921</v>
      </c>
      <c r="BE84" s="49" t="s">
        <v>3768</v>
      </c>
      <c r="BF84" s="49" t="s">
        <v>3813</v>
      </c>
      <c r="BG84" s="49" t="s">
        <v>3768</v>
      </c>
      <c r="BH84" s="49" t="s">
        <v>3768</v>
      </c>
      <c r="BI84" s="49" t="s">
        <v>3768</v>
      </c>
      <c r="BJ84" s="49" t="s">
        <v>3813</v>
      </c>
      <c r="BK84" s="49" t="s">
        <v>4138</v>
      </c>
      <c r="BL84" s="49" t="s">
        <v>5922</v>
      </c>
      <c r="BM84" s="49" t="s">
        <v>5923</v>
      </c>
      <c r="BN84" s="49" t="s">
        <v>5924</v>
      </c>
      <c r="BO84" s="49" t="s">
        <v>5925</v>
      </c>
      <c r="BP84" s="49" t="s">
        <v>5926</v>
      </c>
      <c r="BQ84" s="49" t="s">
        <v>5927</v>
      </c>
      <c r="BR84" s="49" t="s">
        <v>4113</v>
      </c>
      <c r="BS84" s="49" t="s">
        <v>4114</v>
      </c>
      <c r="BT84" s="49" t="s">
        <v>7080</v>
      </c>
    </row>
    <row r="85" spans="1:72" ht="15.75" customHeight="1">
      <c r="A85" s="49" t="s">
        <v>1126</v>
      </c>
      <c r="B85" s="49" t="s">
        <v>1127</v>
      </c>
      <c r="C85" s="49">
        <v>2026</v>
      </c>
      <c r="D85" s="49" t="s">
        <v>501</v>
      </c>
      <c r="E85" s="49" t="s">
        <v>1129</v>
      </c>
      <c r="F85" s="49" t="s">
        <v>4867</v>
      </c>
      <c r="G85" s="49" t="s">
        <v>4077</v>
      </c>
      <c r="H85" s="49" t="s">
        <v>5928</v>
      </c>
      <c r="I85" s="49" t="s">
        <v>5929</v>
      </c>
      <c r="J85" s="49" t="s">
        <v>5930</v>
      </c>
      <c r="K85" s="49" t="s">
        <v>5931</v>
      </c>
      <c r="L85" s="49" t="s">
        <v>5932</v>
      </c>
      <c r="M85" s="49" t="s">
        <v>5933</v>
      </c>
      <c r="N85" s="49" t="s">
        <v>5934</v>
      </c>
      <c r="O85" s="49" t="s">
        <v>3813</v>
      </c>
      <c r="P85" s="49" t="s">
        <v>5935</v>
      </c>
      <c r="Q85" s="49" t="s">
        <v>5936</v>
      </c>
      <c r="R85" s="49" t="s">
        <v>5937</v>
      </c>
      <c r="S85" s="49" t="s">
        <v>5938</v>
      </c>
      <c r="T85" s="49" t="s">
        <v>5939</v>
      </c>
      <c r="U85" s="49" t="s">
        <v>5940</v>
      </c>
      <c r="V85" s="49" t="s">
        <v>5941</v>
      </c>
      <c r="W85" s="49" t="s">
        <v>5942</v>
      </c>
      <c r="X85" s="49" t="s">
        <v>5943</v>
      </c>
      <c r="Y85" s="49" t="s">
        <v>4194</v>
      </c>
      <c r="Z85" s="49" t="s">
        <v>3768</v>
      </c>
      <c r="AA85" s="49" t="s">
        <v>3768</v>
      </c>
      <c r="AB85" s="49" t="s">
        <v>3768</v>
      </c>
      <c r="AC85" s="49" t="s">
        <v>3768</v>
      </c>
      <c r="AD85" s="49" t="s">
        <v>5944</v>
      </c>
      <c r="AE85" s="49" t="s">
        <v>3813</v>
      </c>
      <c r="AF85" s="49" t="s">
        <v>4196</v>
      </c>
      <c r="AG85" s="49" t="s">
        <v>3768</v>
      </c>
      <c r="AH85" s="49" t="s">
        <v>3768</v>
      </c>
      <c r="AI85" s="49" t="s">
        <v>3768</v>
      </c>
      <c r="AJ85" s="49" t="s">
        <v>3768</v>
      </c>
      <c r="AK85" s="49" t="s">
        <v>3813</v>
      </c>
      <c r="AL85" s="49" t="s">
        <v>3813</v>
      </c>
      <c r="AM85" s="49" t="s">
        <v>4096</v>
      </c>
      <c r="AN85" s="49" t="s">
        <v>3813</v>
      </c>
      <c r="AO85" s="49" t="s">
        <v>3768</v>
      </c>
      <c r="AP85" s="49" t="s">
        <v>3768</v>
      </c>
      <c r="AQ85" s="49" t="s">
        <v>3768</v>
      </c>
      <c r="AR85" s="49" t="s">
        <v>3768</v>
      </c>
      <c r="AS85" s="49" t="s">
        <v>3768</v>
      </c>
      <c r="AT85" s="49" t="s">
        <v>3813</v>
      </c>
      <c r="AU85" s="49" t="s">
        <v>3813</v>
      </c>
      <c r="AV85" s="49" t="s">
        <v>5945</v>
      </c>
      <c r="AW85" s="49" t="s">
        <v>5946</v>
      </c>
      <c r="AX85" s="49" t="s">
        <v>5947</v>
      </c>
      <c r="AY85" s="49" t="s">
        <v>5948</v>
      </c>
      <c r="AZ85" s="49" t="s">
        <v>5949</v>
      </c>
      <c r="BA85" s="49" t="s">
        <v>5950</v>
      </c>
      <c r="BB85" s="49" t="s">
        <v>5951</v>
      </c>
      <c r="BC85" s="49" t="s">
        <v>5952</v>
      </c>
      <c r="BD85" s="49" t="s">
        <v>5953</v>
      </c>
      <c r="BE85" s="49" t="s">
        <v>3768</v>
      </c>
      <c r="BF85" s="49" t="s">
        <v>5954</v>
      </c>
      <c r="BG85" s="49" t="s">
        <v>3768</v>
      </c>
      <c r="BH85" s="49" t="s">
        <v>3768</v>
      </c>
      <c r="BI85" s="49" t="s">
        <v>3768</v>
      </c>
      <c r="BJ85" s="49" t="s">
        <v>3768</v>
      </c>
      <c r="BK85" s="49" t="s">
        <v>4106</v>
      </c>
      <c r="BL85" s="49" t="s">
        <v>5955</v>
      </c>
      <c r="BM85" s="49" t="s">
        <v>5956</v>
      </c>
      <c r="BN85" s="49" t="s">
        <v>5957</v>
      </c>
      <c r="BO85" s="49" t="s">
        <v>5958</v>
      </c>
      <c r="BP85" s="49" t="s">
        <v>5959</v>
      </c>
      <c r="BQ85" s="49" t="s">
        <v>5960</v>
      </c>
      <c r="BR85" s="49" t="s">
        <v>4113</v>
      </c>
      <c r="BS85" s="49" t="s">
        <v>4114</v>
      </c>
      <c r="BT85" s="49" t="s">
        <v>7081</v>
      </c>
    </row>
    <row r="86" spans="1:72" ht="15.75" customHeight="1">
      <c r="A86" s="49" t="s">
        <v>1140</v>
      </c>
      <c r="B86" s="49" t="s">
        <v>1141</v>
      </c>
      <c r="C86" s="49">
        <v>2026</v>
      </c>
      <c r="D86" s="49" t="s">
        <v>1143</v>
      </c>
      <c r="E86" s="49" t="s">
        <v>1144</v>
      </c>
      <c r="F86" s="49" t="s">
        <v>4076</v>
      </c>
      <c r="G86" s="49" t="s">
        <v>4077</v>
      </c>
      <c r="H86" s="49" t="s">
        <v>6898</v>
      </c>
      <c r="I86" s="49" t="s">
        <v>6899</v>
      </c>
      <c r="J86" s="49" t="s">
        <v>6900</v>
      </c>
      <c r="K86" s="49" t="s">
        <v>6901</v>
      </c>
      <c r="L86" s="49" t="s">
        <v>6902</v>
      </c>
      <c r="M86" s="49" t="s">
        <v>3813</v>
      </c>
      <c r="N86" s="49" t="s">
        <v>3813</v>
      </c>
      <c r="O86" s="49" t="s">
        <v>6903</v>
      </c>
      <c r="P86" s="49" t="s">
        <v>6904</v>
      </c>
      <c r="Q86" s="49" t="s">
        <v>6905</v>
      </c>
      <c r="R86" s="49" t="s">
        <v>6906</v>
      </c>
      <c r="S86" s="49" t="s">
        <v>6907</v>
      </c>
      <c r="T86" s="49" t="s">
        <v>6908</v>
      </c>
      <c r="U86" s="49" t="s">
        <v>6909</v>
      </c>
      <c r="V86" s="49" t="s">
        <v>6910</v>
      </c>
      <c r="W86" s="49" t="s">
        <v>6911</v>
      </c>
      <c r="X86" s="49" t="s">
        <v>6912</v>
      </c>
      <c r="Y86" s="49" t="s">
        <v>4160</v>
      </c>
      <c r="Z86" s="49" t="s">
        <v>3768</v>
      </c>
      <c r="AA86" s="49" t="s">
        <v>3768</v>
      </c>
      <c r="AB86" s="49" t="s">
        <v>3813</v>
      </c>
      <c r="AC86" s="49" t="s">
        <v>3813</v>
      </c>
      <c r="AD86" s="49" t="s">
        <v>6913</v>
      </c>
      <c r="AE86" s="49" t="s">
        <v>3813</v>
      </c>
      <c r="AF86" s="49" t="s">
        <v>4196</v>
      </c>
      <c r="AG86" s="49" t="s">
        <v>3768</v>
      </c>
      <c r="AH86" s="49" t="s">
        <v>3768</v>
      </c>
      <c r="AI86" s="49" t="s">
        <v>3768</v>
      </c>
      <c r="AJ86" s="49" t="s">
        <v>3768</v>
      </c>
      <c r="AK86" s="49" t="s">
        <v>3813</v>
      </c>
      <c r="AL86" s="49" t="s">
        <v>3813</v>
      </c>
      <c r="AM86" s="49" t="s">
        <v>4096</v>
      </c>
      <c r="AN86" s="49" t="s">
        <v>3813</v>
      </c>
      <c r="AO86" s="49" t="s">
        <v>3813</v>
      </c>
      <c r="AP86" s="49" t="s">
        <v>3813</v>
      </c>
      <c r="AQ86" s="49" t="s">
        <v>3813</v>
      </c>
      <c r="AR86" s="49" t="s">
        <v>3813</v>
      </c>
      <c r="AS86" s="49" t="s">
        <v>3813</v>
      </c>
      <c r="AT86" s="49" t="s">
        <v>3813</v>
      </c>
      <c r="AU86" s="49" t="s">
        <v>3813</v>
      </c>
      <c r="AV86" s="49" t="s">
        <v>3813</v>
      </c>
      <c r="AW86" s="49" t="s">
        <v>6914</v>
      </c>
      <c r="AX86" s="49" t="s">
        <v>6915</v>
      </c>
      <c r="AY86" s="49" t="s">
        <v>6916</v>
      </c>
      <c r="AZ86" s="49" t="s">
        <v>4101</v>
      </c>
      <c r="BA86" s="49" t="s">
        <v>6917</v>
      </c>
      <c r="BB86" s="49" t="s">
        <v>6918</v>
      </c>
      <c r="BC86" s="49" t="s">
        <v>6919</v>
      </c>
      <c r="BD86" s="49" t="s">
        <v>6920</v>
      </c>
      <c r="BE86" s="49" t="s">
        <v>3768</v>
      </c>
      <c r="BF86" s="49" t="s">
        <v>6921</v>
      </c>
      <c r="BG86" s="49" t="s">
        <v>3813</v>
      </c>
      <c r="BH86" s="49" t="s">
        <v>3768</v>
      </c>
      <c r="BI86" s="49" t="s">
        <v>3768</v>
      </c>
      <c r="BJ86" s="49" t="s">
        <v>3768</v>
      </c>
      <c r="BK86" s="49" t="s">
        <v>4171</v>
      </c>
      <c r="BL86" s="49" t="s">
        <v>6922</v>
      </c>
      <c r="BM86" s="49" t="s">
        <v>6923</v>
      </c>
      <c r="BN86" s="49" t="s">
        <v>6924</v>
      </c>
      <c r="BO86" s="49" t="s">
        <v>6925</v>
      </c>
      <c r="BP86" s="49" t="s">
        <v>6926</v>
      </c>
      <c r="BQ86" s="49" t="s">
        <v>6927</v>
      </c>
      <c r="BR86" s="49" t="s">
        <v>4113</v>
      </c>
      <c r="BS86" s="49" t="s">
        <v>4114</v>
      </c>
      <c r="BT86" s="49" t="s">
        <v>7570</v>
      </c>
    </row>
    <row r="87" spans="1:72" ht="15.75" customHeight="1">
      <c r="A87" s="49" t="s">
        <v>1148</v>
      </c>
      <c r="B87" s="49" t="s">
        <v>1149</v>
      </c>
      <c r="C87" s="49">
        <v>2026</v>
      </c>
      <c r="D87" s="49" t="s">
        <v>3965</v>
      </c>
      <c r="E87" s="49" t="s">
        <v>1152</v>
      </c>
      <c r="F87" s="49" t="s">
        <v>4076</v>
      </c>
      <c r="G87" s="49" t="s">
        <v>4077</v>
      </c>
      <c r="H87" s="49" t="s">
        <v>5961</v>
      </c>
      <c r="I87" s="49" t="s">
        <v>5962</v>
      </c>
      <c r="J87" s="49" t="s">
        <v>5963</v>
      </c>
      <c r="K87" s="49" t="s">
        <v>5964</v>
      </c>
      <c r="L87" s="49" t="s">
        <v>5965</v>
      </c>
      <c r="M87" s="49" t="s">
        <v>3813</v>
      </c>
      <c r="N87" s="49" t="s">
        <v>5966</v>
      </c>
      <c r="O87" s="49" t="s">
        <v>3813</v>
      </c>
      <c r="P87" s="49" t="s">
        <v>5967</v>
      </c>
      <c r="Q87" s="49" t="s">
        <v>5968</v>
      </c>
      <c r="R87" s="49" t="s">
        <v>5969</v>
      </c>
      <c r="S87" s="49" t="s">
        <v>5970</v>
      </c>
      <c r="T87" s="49" t="s">
        <v>5971</v>
      </c>
      <c r="U87" s="49" t="s">
        <v>5972</v>
      </c>
      <c r="V87" s="49" t="s">
        <v>5969</v>
      </c>
      <c r="W87" s="49" t="s">
        <v>5970</v>
      </c>
      <c r="X87" s="49" t="s">
        <v>5973</v>
      </c>
      <c r="Y87" s="49" t="s">
        <v>4093</v>
      </c>
      <c r="Z87" s="49" t="s">
        <v>3813</v>
      </c>
      <c r="AA87" s="49" t="s">
        <v>3768</v>
      </c>
      <c r="AB87" s="49" t="s">
        <v>3813</v>
      </c>
      <c r="AC87" s="49" t="s">
        <v>3813</v>
      </c>
      <c r="AD87" s="49" t="s">
        <v>5974</v>
      </c>
      <c r="AE87" s="49" t="s">
        <v>3813</v>
      </c>
      <c r="AF87" s="49" t="s">
        <v>4129</v>
      </c>
      <c r="AG87" s="49" t="s">
        <v>3813</v>
      </c>
      <c r="AH87" s="49" t="s">
        <v>3813</v>
      </c>
      <c r="AI87" s="49" t="s">
        <v>3813</v>
      </c>
      <c r="AJ87" s="49" t="s">
        <v>3813</v>
      </c>
      <c r="AK87" s="49" t="s">
        <v>3813</v>
      </c>
      <c r="AL87" s="49" t="s">
        <v>3813</v>
      </c>
      <c r="AM87" s="49" t="s">
        <v>84</v>
      </c>
      <c r="AN87" s="49" t="s">
        <v>84</v>
      </c>
      <c r="AO87" s="49" t="s">
        <v>3768</v>
      </c>
      <c r="AP87" s="49" t="s">
        <v>3813</v>
      </c>
      <c r="AQ87" s="49" t="s">
        <v>3768</v>
      </c>
      <c r="AR87" s="49" t="s">
        <v>3813</v>
      </c>
      <c r="AS87" s="49" t="s">
        <v>3813</v>
      </c>
      <c r="AT87" s="49" t="s">
        <v>3813</v>
      </c>
      <c r="AU87" s="49" t="s">
        <v>3813</v>
      </c>
      <c r="AV87" s="49" t="s">
        <v>5975</v>
      </c>
      <c r="AW87" s="49" t="s">
        <v>5976</v>
      </c>
      <c r="AX87" s="49" t="s">
        <v>5977</v>
      </c>
      <c r="AY87" s="49" t="s">
        <v>5978</v>
      </c>
      <c r="AZ87" s="49" t="s">
        <v>5979</v>
      </c>
      <c r="BA87" s="49" t="s">
        <v>5980</v>
      </c>
      <c r="BB87" s="49" t="s">
        <v>5981</v>
      </c>
      <c r="BC87" s="49" t="s">
        <v>5982</v>
      </c>
      <c r="BD87" s="49" t="s">
        <v>5983</v>
      </c>
      <c r="BE87" s="49" t="s">
        <v>3768</v>
      </c>
      <c r="BF87" s="49" t="s">
        <v>5984</v>
      </c>
      <c r="BG87" s="49" t="s">
        <v>3813</v>
      </c>
      <c r="BH87" s="49" t="s">
        <v>3813</v>
      </c>
      <c r="BI87" s="49" t="s">
        <v>3813</v>
      </c>
      <c r="BJ87" s="49" t="s">
        <v>3813</v>
      </c>
      <c r="BK87" s="49" t="s">
        <v>4138</v>
      </c>
      <c r="BL87" s="49" t="s">
        <v>5985</v>
      </c>
      <c r="BM87" s="49" t="s">
        <v>5986</v>
      </c>
      <c r="BN87" s="49" t="s">
        <v>5987</v>
      </c>
      <c r="BO87" s="49" t="s">
        <v>5988</v>
      </c>
      <c r="BP87" s="49" t="s">
        <v>5989</v>
      </c>
      <c r="BQ87" s="49" t="s">
        <v>5990</v>
      </c>
      <c r="BR87" s="49" t="s">
        <v>4113</v>
      </c>
      <c r="BS87" s="49" t="s">
        <v>4114</v>
      </c>
      <c r="BT87" s="49" t="s">
        <v>7082</v>
      </c>
    </row>
    <row r="88" spans="1:72" ht="15.75" customHeight="1">
      <c r="A88" s="49" t="s">
        <v>1207</v>
      </c>
      <c r="B88" s="49" t="s">
        <v>1208</v>
      </c>
      <c r="C88" s="49">
        <v>2026</v>
      </c>
      <c r="D88" s="49" t="s">
        <v>1210</v>
      </c>
      <c r="E88" s="49" t="s">
        <v>1211</v>
      </c>
      <c r="F88" s="49" t="s">
        <v>4076</v>
      </c>
      <c r="G88" s="49" t="s">
        <v>4077</v>
      </c>
      <c r="H88" s="49" t="s">
        <v>6928</v>
      </c>
      <c r="I88" s="49" t="s">
        <v>6929</v>
      </c>
      <c r="J88" s="49" t="s">
        <v>6930</v>
      </c>
      <c r="K88" s="49" t="s">
        <v>5155</v>
      </c>
      <c r="L88" s="49" t="s">
        <v>6931</v>
      </c>
      <c r="M88" s="49" t="s">
        <v>3813</v>
      </c>
      <c r="N88" s="49" t="s">
        <v>6932</v>
      </c>
      <c r="O88" s="49" t="s">
        <v>3813</v>
      </c>
      <c r="P88" s="49" t="s">
        <v>3813</v>
      </c>
      <c r="Q88" s="49" t="s">
        <v>6933</v>
      </c>
      <c r="R88" s="49" t="s">
        <v>6934</v>
      </c>
      <c r="S88" s="49" t="s">
        <v>6935</v>
      </c>
      <c r="T88" s="49" t="s">
        <v>6936</v>
      </c>
      <c r="U88" s="49" t="s">
        <v>6937</v>
      </c>
      <c r="V88" s="49" t="s">
        <v>6938</v>
      </c>
      <c r="W88" s="49" t="s">
        <v>6939</v>
      </c>
      <c r="X88" s="49" t="s">
        <v>6940</v>
      </c>
      <c r="Y88" s="49" t="s">
        <v>4194</v>
      </c>
      <c r="Z88" s="49" t="s">
        <v>3768</v>
      </c>
      <c r="AA88" s="49" t="s">
        <v>3768</v>
      </c>
      <c r="AB88" s="49" t="s">
        <v>3768</v>
      </c>
      <c r="AC88" s="49" t="s">
        <v>3768</v>
      </c>
      <c r="AD88" s="49" t="s">
        <v>6941</v>
      </c>
      <c r="AE88" s="49" t="s">
        <v>3813</v>
      </c>
      <c r="AF88" s="49" t="s">
        <v>4196</v>
      </c>
      <c r="AG88" s="49" t="s">
        <v>3768</v>
      </c>
      <c r="AH88" s="49" t="s">
        <v>3768</v>
      </c>
      <c r="AI88" s="49" t="s">
        <v>3768</v>
      </c>
      <c r="AJ88" s="49" t="s">
        <v>3768</v>
      </c>
      <c r="AK88" s="49" t="s">
        <v>3813</v>
      </c>
      <c r="AL88" s="49" t="s">
        <v>3813</v>
      </c>
      <c r="AM88" s="49" t="s">
        <v>4096</v>
      </c>
      <c r="AN88" s="49" t="s">
        <v>3813</v>
      </c>
      <c r="AO88" s="49" t="s">
        <v>3768</v>
      </c>
      <c r="AP88" s="49" t="s">
        <v>3768</v>
      </c>
      <c r="AQ88" s="49" t="s">
        <v>3768</v>
      </c>
      <c r="AR88" s="49" t="s">
        <v>3768</v>
      </c>
      <c r="AS88" s="49" t="s">
        <v>3768</v>
      </c>
      <c r="AT88" s="49" t="s">
        <v>3768</v>
      </c>
      <c r="AU88" s="49" t="s">
        <v>3768</v>
      </c>
      <c r="AV88" s="49" t="s">
        <v>6942</v>
      </c>
      <c r="AW88" s="49" t="s">
        <v>6943</v>
      </c>
      <c r="AX88" s="49" t="s">
        <v>6778</v>
      </c>
      <c r="AY88" s="49" t="s">
        <v>6944</v>
      </c>
      <c r="AZ88" s="49" t="s">
        <v>6945</v>
      </c>
      <c r="BA88" s="49" t="s">
        <v>6946</v>
      </c>
      <c r="BB88" s="49" t="s">
        <v>6947</v>
      </c>
      <c r="BC88" s="49" t="s">
        <v>6948</v>
      </c>
      <c r="BD88" s="49" t="s">
        <v>6949</v>
      </c>
      <c r="BE88" s="49" t="s">
        <v>3768</v>
      </c>
      <c r="BF88" s="49" t="s">
        <v>6950</v>
      </c>
      <c r="BG88" s="49" t="s">
        <v>3768</v>
      </c>
      <c r="BH88" s="49" t="s">
        <v>3768</v>
      </c>
      <c r="BI88" s="49" t="s">
        <v>3768</v>
      </c>
      <c r="BJ88" s="49" t="s">
        <v>3768</v>
      </c>
      <c r="BK88" s="49" t="s">
        <v>4207</v>
      </c>
      <c r="BL88" s="49" t="s">
        <v>6951</v>
      </c>
      <c r="BM88" s="49" t="s">
        <v>6952</v>
      </c>
      <c r="BN88" s="49" t="s">
        <v>6953</v>
      </c>
      <c r="BO88" s="49" t="s">
        <v>6954</v>
      </c>
      <c r="BP88" s="49" t="s">
        <v>6955</v>
      </c>
      <c r="BQ88" s="49" t="s">
        <v>6956</v>
      </c>
      <c r="BR88" s="49" t="s">
        <v>4113</v>
      </c>
      <c r="BS88" s="49" t="s">
        <v>4114</v>
      </c>
      <c r="BT88" s="49" t="s">
        <v>7571</v>
      </c>
    </row>
    <row r="89" spans="1:72" ht="15.75" customHeight="1">
      <c r="A89" s="49" t="s">
        <v>1230</v>
      </c>
      <c r="B89" s="49" t="s">
        <v>1231</v>
      </c>
      <c r="C89" s="49">
        <v>2026</v>
      </c>
      <c r="D89" s="49" t="s">
        <v>269</v>
      </c>
      <c r="E89" s="49" t="s">
        <v>1232</v>
      </c>
      <c r="F89" s="49" t="s">
        <v>4076</v>
      </c>
      <c r="G89" s="49" t="s">
        <v>4077</v>
      </c>
      <c r="H89" s="49" t="s">
        <v>5991</v>
      </c>
      <c r="I89" s="49" t="s">
        <v>5992</v>
      </c>
      <c r="J89" s="49" t="s">
        <v>5993</v>
      </c>
      <c r="K89" s="49" t="s">
        <v>4119</v>
      </c>
      <c r="L89" s="49" t="s">
        <v>5994</v>
      </c>
      <c r="M89" s="49" t="s">
        <v>3813</v>
      </c>
      <c r="N89" s="49" t="s">
        <v>3813</v>
      </c>
      <c r="O89" s="49" t="s">
        <v>3813</v>
      </c>
      <c r="P89" s="49" t="s">
        <v>5995</v>
      </c>
      <c r="Q89" s="49" t="s">
        <v>5996</v>
      </c>
      <c r="R89" s="49" t="s">
        <v>4187</v>
      </c>
      <c r="S89" s="49" t="s">
        <v>4565</v>
      </c>
      <c r="T89" s="49" t="s">
        <v>5997</v>
      </c>
      <c r="U89" s="49" t="s">
        <v>5998</v>
      </c>
      <c r="V89" s="49" t="s">
        <v>5999</v>
      </c>
      <c r="W89" s="49" t="s">
        <v>6000</v>
      </c>
      <c r="X89" s="49" t="s">
        <v>6001</v>
      </c>
      <c r="Y89" s="49" t="s">
        <v>4194</v>
      </c>
      <c r="Z89" s="49" t="s">
        <v>3768</v>
      </c>
      <c r="AA89" s="49" t="s">
        <v>3768</v>
      </c>
      <c r="AB89" s="49" t="s">
        <v>3768</v>
      </c>
      <c r="AC89" s="49" t="s">
        <v>3768</v>
      </c>
      <c r="AD89" s="49" t="s">
        <v>6002</v>
      </c>
      <c r="AE89" s="49" t="s">
        <v>3813</v>
      </c>
      <c r="AF89" s="49" t="s">
        <v>4196</v>
      </c>
      <c r="AG89" s="49" t="s">
        <v>3768</v>
      </c>
      <c r="AH89" s="49" t="s">
        <v>3768</v>
      </c>
      <c r="AI89" s="49" t="s">
        <v>3768</v>
      </c>
      <c r="AJ89" s="49" t="s">
        <v>3768</v>
      </c>
      <c r="AK89" s="49" t="s">
        <v>3813</v>
      </c>
      <c r="AL89" s="49" t="s">
        <v>3813</v>
      </c>
      <c r="AM89" s="49" t="s">
        <v>4096</v>
      </c>
      <c r="AN89" s="49" t="s">
        <v>3813</v>
      </c>
      <c r="AO89" s="49" t="s">
        <v>3768</v>
      </c>
      <c r="AP89" s="49" t="s">
        <v>3768</v>
      </c>
      <c r="AQ89" s="49" t="s">
        <v>3768</v>
      </c>
      <c r="AR89" s="49" t="s">
        <v>3768</v>
      </c>
      <c r="AS89" s="49" t="s">
        <v>3768</v>
      </c>
      <c r="AT89" s="49" t="s">
        <v>3813</v>
      </c>
      <c r="AU89" s="49" t="s">
        <v>3813</v>
      </c>
      <c r="AV89" s="49" t="s">
        <v>83</v>
      </c>
      <c r="AW89" s="49" t="s">
        <v>6003</v>
      </c>
      <c r="AX89" s="49" t="s">
        <v>6004</v>
      </c>
      <c r="AY89" s="49" t="s">
        <v>6005</v>
      </c>
      <c r="AZ89" s="49" t="s">
        <v>6006</v>
      </c>
      <c r="BA89" s="49" t="s">
        <v>6007</v>
      </c>
      <c r="BB89" s="49" t="s">
        <v>6008</v>
      </c>
      <c r="BC89" s="49" t="s">
        <v>6009</v>
      </c>
      <c r="BD89" s="49" t="s">
        <v>6010</v>
      </c>
      <c r="BE89" s="49" t="s">
        <v>3768</v>
      </c>
      <c r="BF89" s="49" t="s">
        <v>6011</v>
      </c>
      <c r="BG89" s="49" t="s">
        <v>3813</v>
      </c>
      <c r="BH89" s="49" t="s">
        <v>3813</v>
      </c>
      <c r="BI89" s="49" t="s">
        <v>3768</v>
      </c>
      <c r="BJ89" s="49" t="s">
        <v>3768</v>
      </c>
      <c r="BK89" s="49" t="s">
        <v>4106</v>
      </c>
      <c r="BL89" s="49" t="s">
        <v>6012</v>
      </c>
      <c r="BM89" s="49" t="s">
        <v>6013</v>
      </c>
      <c r="BN89" s="49" t="s">
        <v>6014</v>
      </c>
      <c r="BO89" s="49" t="s">
        <v>6015</v>
      </c>
      <c r="BP89" s="49" t="s">
        <v>6016</v>
      </c>
      <c r="BQ89" s="49" t="s">
        <v>6017</v>
      </c>
      <c r="BR89" s="49" t="s">
        <v>4113</v>
      </c>
      <c r="BS89" s="49" t="s">
        <v>4114</v>
      </c>
      <c r="BT89" s="49" t="inlineStr">
        <is>
          <t xml:space="preserve">Evaluated across 38 distinct GAN and Diffusion generators. Models trained on ProGAN 4-class split only. | Normalization: Ablation_Study normalized to YES: Channel/color-space, threshold, duration, resolution and quantile-threshold ablations. | Adversarial flag corrected YES-&gt;NO: record shows JPEG, blur, noise and resizing only; no attack on the detector. (corrected at the authors' instruction, 2026-10-27)</t>
        </is>
      </c>
    </row>
    <row r="90" spans="1:72" ht="15.75" customHeight="1">
      <c r="A90" s="49" t="s">
        <v>1236</v>
      </c>
      <c r="B90" s="49" t="s">
        <v>1237</v>
      </c>
      <c r="C90" s="49">
        <v>2026</v>
      </c>
      <c r="D90" s="49" t="s">
        <v>1239</v>
      </c>
      <c r="E90" s="49" t="s">
        <v>1240</v>
      </c>
      <c r="F90" s="49" t="s">
        <v>4076</v>
      </c>
      <c r="G90" s="49" t="s">
        <v>4077</v>
      </c>
      <c r="H90" s="49" t="s">
        <v>6018</v>
      </c>
      <c r="I90" s="49" t="s">
        <v>6019</v>
      </c>
      <c r="J90" s="49" t="s">
        <v>6020</v>
      </c>
      <c r="K90" s="49" t="s">
        <v>6021</v>
      </c>
      <c r="L90" s="49" t="s">
        <v>6022</v>
      </c>
      <c r="M90" s="49" t="s">
        <v>3813</v>
      </c>
      <c r="N90" s="49" t="s">
        <v>3813</v>
      </c>
      <c r="O90" s="49" t="s">
        <v>6023</v>
      </c>
      <c r="P90" s="49" t="s">
        <v>6024</v>
      </c>
      <c r="Q90" s="49" t="s">
        <v>6025</v>
      </c>
      <c r="R90" s="49" t="s">
        <v>6026</v>
      </c>
      <c r="S90" s="49" t="s">
        <v>5827</v>
      </c>
      <c r="T90" s="49" t="s">
        <v>6027</v>
      </c>
      <c r="U90" s="49" t="s">
        <v>6028</v>
      </c>
      <c r="V90" s="49" t="s">
        <v>6026</v>
      </c>
      <c r="W90" s="49" t="s">
        <v>6029</v>
      </c>
      <c r="X90" s="49" t="s">
        <v>6030</v>
      </c>
      <c r="Y90" s="49" t="s">
        <v>4194</v>
      </c>
      <c r="Z90" s="49" t="s">
        <v>3768</v>
      </c>
      <c r="AA90" s="49" t="s">
        <v>3768</v>
      </c>
      <c r="AB90" s="49" t="s">
        <v>3768</v>
      </c>
      <c r="AC90" s="49" t="s">
        <v>3768</v>
      </c>
      <c r="AD90" s="49" t="s">
        <v>6031</v>
      </c>
      <c r="AE90" s="49" t="s">
        <v>3813</v>
      </c>
      <c r="AF90" s="49" t="s">
        <v>4196</v>
      </c>
      <c r="AG90" s="49" t="s">
        <v>3768</v>
      </c>
      <c r="AH90" s="49" t="s">
        <v>3768</v>
      </c>
      <c r="AI90" s="49" t="s">
        <v>3768</v>
      </c>
      <c r="AJ90" s="49" t="s">
        <v>3768</v>
      </c>
      <c r="AK90" s="49" t="s">
        <v>3813</v>
      </c>
      <c r="AL90" s="49" t="s">
        <v>3813</v>
      </c>
      <c r="AM90" s="49" t="s">
        <v>4096</v>
      </c>
      <c r="AN90" s="49" t="s">
        <v>3813</v>
      </c>
      <c r="AO90" s="49" t="s">
        <v>3813</v>
      </c>
      <c r="AP90" s="49" t="s">
        <v>3813</v>
      </c>
      <c r="AQ90" s="49" t="s">
        <v>3813</v>
      </c>
      <c r="AR90" s="49" t="s">
        <v>3813</v>
      </c>
      <c r="AS90" s="49" t="s">
        <v>3813</v>
      </c>
      <c r="AT90" s="49" t="s">
        <v>3813</v>
      </c>
      <c r="AU90" s="49" t="s">
        <v>3813</v>
      </c>
      <c r="AV90" s="49" t="s">
        <v>6032</v>
      </c>
      <c r="AW90" s="49" t="s">
        <v>6033</v>
      </c>
      <c r="AX90" s="49" t="s">
        <v>6034</v>
      </c>
      <c r="AY90" s="49" t="s">
        <v>6035</v>
      </c>
      <c r="AZ90" s="49" t="s">
        <v>6036</v>
      </c>
      <c r="BA90" s="49" t="s">
        <v>6037</v>
      </c>
      <c r="BB90" s="49" t="s">
        <v>6038</v>
      </c>
      <c r="BC90" s="49" t="s">
        <v>6039</v>
      </c>
      <c r="BD90" s="49" t="s">
        <v>6040</v>
      </c>
      <c r="BE90" s="49" t="s">
        <v>3768</v>
      </c>
      <c r="BF90" s="49" t="s">
        <v>6041</v>
      </c>
      <c r="BG90" s="49" t="s">
        <v>3813</v>
      </c>
      <c r="BH90" s="49" t="s">
        <v>3813</v>
      </c>
      <c r="BI90" s="49" t="s">
        <v>3768</v>
      </c>
      <c r="BJ90" s="49" t="s">
        <v>3768</v>
      </c>
      <c r="BK90" s="49" t="s">
        <v>4106</v>
      </c>
      <c r="BL90" s="49" t="s">
        <v>6042</v>
      </c>
      <c r="BM90" s="49" t="s">
        <v>6043</v>
      </c>
      <c r="BN90" s="49" t="s">
        <v>6044</v>
      </c>
      <c r="BO90" s="49" t="s">
        <v>6045</v>
      </c>
      <c r="BP90" s="49" t="s">
        <v>6046</v>
      </c>
      <c r="BQ90" s="49" t="s">
        <v>6047</v>
      </c>
      <c r="BR90" s="49" t="s">
        <v>4113</v>
      </c>
      <c r="BS90" s="49" t="s">
        <v>4114</v>
      </c>
      <c r="BT90" s="49" t="s">
        <v>7083</v>
      </c>
    </row>
    <row r="91" spans="1:72" ht="15.75" customHeight="1">
      <c r="A91" s="49" t="s">
        <v>1267</v>
      </c>
      <c r="B91" s="49" t="s">
        <v>1268</v>
      </c>
      <c r="C91" s="49">
        <v>2025</v>
      </c>
      <c r="D91" s="49" t="s">
        <v>3339</v>
      </c>
      <c r="E91" s="49" t="s">
        <v>1270</v>
      </c>
      <c r="F91" s="49" t="s">
        <v>4076</v>
      </c>
      <c r="G91" s="49" t="s">
        <v>4077</v>
      </c>
      <c r="H91" s="49" t="s">
        <v>6048</v>
      </c>
      <c r="I91" s="49" t="s">
        <v>6049</v>
      </c>
      <c r="J91" s="49" t="s">
        <v>6050</v>
      </c>
      <c r="K91" s="49" t="s">
        <v>6051</v>
      </c>
      <c r="L91" s="49" t="s">
        <v>6052</v>
      </c>
      <c r="M91" s="49" t="s">
        <v>3813</v>
      </c>
      <c r="N91" s="49" t="s">
        <v>3813</v>
      </c>
      <c r="O91" s="49" t="s">
        <v>3813</v>
      </c>
      <c r="P91" s="49" t="s">
        <v>6053</v>
      </c>
      <c r="Q91" s="49" t="s">
        <v>6054</v>
      </c>
      <c r="R91" s="49" t="s">
        <v>6055</v>
      </c>
      <c r="S91" s="49" t="s">
        <v>6056</v>
      </c>
      <c r="T91" s="49" t="s">
        <v>6057</v>
      </c>
      <c r="U91" s="49" t="s">
        <v>6058</v>
      </c>
      <c r="V91" s="49" t="s">
        <v>6059</v>
      </c>
      <c r="W91" s="49" t="s">
        <v>6060</v>
      </c>
      <c r="X91" s="49" t="s">
        <v>6061</v>
      </c>
      <c r="Y91" s="49" t="s">
        <v>4194</v>
      </c>
      <c r="Z91" s="49" t="s">
        <v>3768</v>
      </c>
      <c r="AA91" s="49" t="s">
        <v>3768</v>
      </c>
      <c r="AB91" s="49" t="s">
        <v>3813</v>
      </c>
      <c r="AC91" s="49" t="s">
        <v>3813</v>
      </c>
      <c r="AD91" s="49" t="s">
        <v>6062</v>
      </c>
      <c r="AE91" s="49" t="s">
        <v>3813</v>
      </c>
      <c r="AF91" s="49" t="s">
        <v>4196</v>
      </c>
      <c r="AG91" s="49" t="s">
        <v>3813</v>
      </c>
      <c r="AH91" s="49" t="s">
        <v>3813</v>
      </c>
      <c r="AI91" s="49" t="s">
        <v>3768</v>
      </c>
      <c r="AJ91" s="49" t="s">
        <v>3768</v>
      </c>
      <c r="AK91" s="49" t="s">
        <v>3813</v>
      </c>
      <c r="AL91" s="49" t="s">
        <v>3813</v>
      </c>
      <c r="AM91" s="49" t="s">
        <v>4096</v>
      </c>
      <c r="AN91" s="49" t="s">
        <v>3813</v>
      </c>
      <c r="AO91" s="49" t="s">
        <v>3813</v>
      </c>
      <c r="AP91" s="49" t="s">
        <v>3813</v>
      </c>
      <c r="AQ91" s="49" t="s">
        <v>3813</v>
      </c>
      <c r="AR91" s="49" t="s">
        <v>3813</v>
      </c>
      <c r="AS91" s="49" t="s">
        <v>3813</v>
      </c>
      <c r="AT91" s="49" t="s">
        <v>3813</v>
      </c>
      <c r="AU91" s="49" t="s">
        <v>3813</v>
      </c>
      <c r="AV91" s="49" t="s">
        <v>83</v>
      </c>
      <c r="AW91" s="49" t="s">
        <v>5976</v>
      </c>
      <c r="AX91" s="49" t="s">
        <v>6063</v>
      </c>
      <c r="AY91" s="49" t="s">
        <v>6064</v>
      </c>
      <c r="AZ91" s="49" t="s">
        <v>6065</v>
      </c>
      <c r="BA91" s="49" t="s">
        <v>6066</v>
      </c>
      <c r="BB91" s="49" t="s">
        <v>6067</v>
      </c>
      <c r="BC91" s="49" t="s">
        <v>6068</v>
      </c>
      <c r="BD91" s="49" t="s">
        <v>6069</v>
      </c>
      <c r="BE91" s="49" t="s">
        <v>3768</v>
      </c>
      <c r="BF91" s="49" t="s">
        <v>6070</v>
      </c>
      <c r="BG91" s="49" t="s">
        <v>3813</v>
      </c>
      <c r="BH91" s="49" t="s">
        <v>3768</v>
      </c>
      <c r="BI91" s="49" t="s">
        <v>3768</v>
      </c>
      <c r="BJ91" s="49" t="s">
        <v>3768</v>
      </c>
      <c r="BK91" s="49" t="s">
        <v>4171</v>
      </c>
      <c r="BL91" s="49" t="s">
        <v>6071</v>
      </c>
      <c r="BM91" s="49" t="s">
        <v>6072</v>
      </c>
      <c r="BN91" s="49" t="s">
        <v>6073</v>
      </c>
      <c r="BO91" s="49" t="s">
        <v>6074</v>
      </c>
      <c r="BP91" s="49" t="s">
        <v>6075</v>
      </c>
      <c r="BQ91" s="49" t="s">
        <v>6076</v>
      </c>
      <c r="BR91" s="49" t="s">
        <v>4113</v>
      </c>
      <c r="BS91" s="49" t="s">
        <v>4114</v>
      </c>
      <c r="BT91" s="49" t="s">
        <v>7084</v>
      </c>
    </row>
    <row r="92" spans="1:72" ht="15.75" customHeight="1">
      <c r="A92" s="49" t="s">
        <v>1281</v>
      </c>
      <c r="B92" s="49" t="s">
        <v>1282</v>
      </c>
      <c r="C92" s="49">
        <v>2025</v>
      </c>
      <c r="D92" s="49" t="s">
        <v>1284</v>
      </c>
      <c r="E92" s="49" t="s">
        <v>1285</v>
      </c>
      <c r="F92" s="49" t="s">
        <v>4076</v>
      </c>
      <c r="G92" s="49" t="s">
        <v>4077</v>
      </c>
      <c r="H92" s="49" t="s">
        <v>6077</v>
      </c>
      <c r="I92" s="49" t="s">
        <v>6078</v>
      </c>
      <c r="J92" s="49" t="s">
        <v>6079</v>
      </c>
      <c r="K92" s="49" t="s">
        <v>6080</v>
      </c>
      <c r="L92" s="49" t="s">
        <v>6081</v>
      </c>
      <c r="M92" s="49" t="s">
        <v>3813</v>
      </c>
      <c r="N92" s="49" t="s">
        <v>6082</v>
      </c>
      <c r="O92" s="49" t="s">
        <v>3813</v>
      </c>
      <c r="P92" s="49" t="s">
        <v>6083</v>
      </c>
      <c r="Q92" s="49" t="s">
        <v>6084</v>
      </c>
      <c r="R92" s="49" t="s">
        <v>6085</v>
      </c>
      <c r="S92" s="49" t="s">
        <v>6086</v>
      </c>
      <c r="T92" s="49" t="s">
        <v>6087</v>
      </c>
      <c r="U92" s="49" t="s">
        <v>6088</v>
      </c>
      <c r="V92" s="49" t="s">
        <v>6089</v>
      </c>
      <c r="W92" s="49" t="s">
        <v>6090</v>
      </c>
      <c r="X92" s="49" t="s">
        <v>6091</v>
      </c>
      <c r="Y92" s="49" t="s">
        <v>4093</v>
      </c>
      <c r="Z92" s="49" t="s">
        <v>3813</v>
      </c>
      <c r="AA92" s="49" t="s">
        <v>3768</v>
      </c>
      <c r="AB92" s="49" t="s">
        <v>3813</v>
      </c>
      <c r="AC92" s="49" t="s">
        <v>3813</v>
      </c>
      <c r="AD92" s="49" t="s">
        <v>6092</v>
      </c>
      <c r="AE92" s="49" t="s">
        <v>3813</v>
      </c>
      <c r="AF92" s="49" t="s">
        <v>4787</v>
      </c>
      <c r="AG92" s="49" t="s">
        <v>3813</v>
      </c>
      <c r="AH92" s="49" t="s">
        <v>3813</v>
      </c>
      <c r="AI92" s="49" t="s">
        <v>3813</v>
      </c>
      <c r="AJ92" s="49" t="s">
        <v>3768</v>
      </c>
      <c r="AK92" s="49" t="s">
        <v>3813</v>
      </c>
      <c r="AL92" s="49" t="s">
        <v>3813</v>
      </c>
      <c r="AM92" s="49" t="s">
        <v>4162</v>
      </c>
      <c r="AN92" s="49" t="s">
        <v>3813</v>
      </c>
      <c r="AO92" s="49" t="s">
        <v>3813</v>
      </c>
      <c r="AP92" s="49" t="s">
        <v>3813</v>
      </c>
      <c r="AQ92" s="49" t="s">
        <v>3813</v>
      </c>
      <c r="AR92" s="49" t="s">
        <v>3813</v>
      </c>
      <c r="AS92" s="49" t="s">
        <v>3813</v>
      </c>
      <c r="AT92" s="49" t="s">
        <v>3813</v>
      </c>
      <c r="AU92" s="49" t="s">
        <v>3813</v>
      </c>
      <c r="AV92" s="49" t="s">
        <v>6093</v>
      </c>
      <c r="AW92" s="49" t="s">
        <v>6094</v>
      </c>
      <c r="AX92" s="49" t="s">
        <v>6095</v>
      </c>
      <c r="AY92" s="49" t="s">
        <v>6096</v>
      </c>
      <c r="AZ92" s="49" t="s">
        <v>6097</v>
      </c>
      <c r="BA92" s="49" t="s">
        <v>6098</v>
      </c>
      <c r="BB92" s="49" t="s">
        <v>6099</v>
      </c>
      <c r="BC92" s="49" t="s">
        <v>6100</v>
      </c>
      <c r="BD92" s="49" t="s">
        <v>6101</v>
      </c>
      <c r="BE92" s="49" t="s">
        <v>3768</v>
      </c>
      <c r="BF92" s="49" t="s">
        <v>6102</v>
      </c>
      <c r="BG92" s="49" t="s">
        <v>3813</v>
      </c>
      <c r="BH92" s="49" t="s">
        <v>3768</v>
      </c>
      <c r="BI92" s="49" t="s">
        <v>3768</v>
      </c>
      <c r="BJ92" s="49" t="s">
        <v>3768</v>
      </c>
      <c r="BK92" s="49" t="s">
        <v>4171</v>
      </c>
      <c r="BL92" s="49" t="s">
        <v>6103</v>
      </c>
      <c r="BM92" s="49" t="s">
        <v>6104</v>
      </c>
      <c r="BN92" s="49" t="s">
        <v>6105</v>
      </c>
      <c r="BO92" s="49" t="s">
        <v>6106</v>
      </c>
      <c r="BP92" s="49" t="s">
        <v>6107</v>
      </c>
      <c r="BQ92" s="49" t="s">
        <v>6108</v>
      </c>
      <c r="BR92" s="49" t="s">
        <v>4113</v>
      </c>
      <c r="BS92" s="49" t="s">
        <v>4114</v>
      </c>
      <c r="BT92" s="49" t="s">
        <v>7085</v>
      </c>
    </row>
    <row r="93" spans="1:72" ht="15.75" customHeight="1">
      <c r="A93" s="49" t="s">
        <v>1289</v>
      </c>
      <c r="B93" s="49" t="s">
        <v>1290</v>
      </c>
      <c r="C93" s="49">
        <v>2026</v>
      </c>
      <c r="D93" s="49" t="s">
        <v>438</v>
      </c>
      <c r="E93" s="49" t="s">
        <v>1292</v>
      </c>
      <c r="F93" s="49" t="s">
        <v>4076</v>
      </c>
      <c r="G93" s="49" t="s">
        <v>4077</v>
      </c>
      <c r="H93" s="49" t="s">
        <v>6957</v>
      </c>
      <c r="I93" s="49" t="s">
        <v>6958</v>
      </c>
      <c r="J93" s="49" t="s">
        <v>6959</v>
      </c>
      <c r="K93" s="49" t="s">
        <v>6960</v>
      </c>
      <c r="L93" s="49" t="s">
        <v>6961</v>
      </c>
      <c r="M93" s="49" t="s">
        <v>6962</v>
      </c>
      <c r="N93" s="49" t="s">
        <v>3813</v>
      </c>
      <c r="O93" s="49" t="s">
        <v>3813</v>
      </c>
      <c r="P93" s="49" t="s">
        <v>6963</v>
      </c>
      <c r="Q93" s="49" t="s">
        <v>6964</v>
      </c>
      <c r="R93" s="49" t="s">
        <v>6965</v>
      </c>
      <c r="S93" s="49" t="s">
        <v>5827</v>
      </c>
      <c r="T93" s="49" t="s">
        <v>6966</v>
      </c>
      <c r="U93" s="49" t="s">
        <v>6967</v>
      </c>
      <c r="V93" s="49" t="s">
        <v>6968</v>
      </c>
      <c r="W93" s="49" t="s">
        <v>6969</v>
      </c>
      <c r="X93" s="49" t="s">
        <v>6970</v>
      </c>
      <c r="Y93" s="49" t="s">
        <v>4160</v>
      </c>
      <c r="Z93" s="49" t="s">
        <v>3768</v>
      </c>
      <c r="AA93" s="49" t="s">
        <v>3768</v>
      </c>
      <c r="AB93" s="49" t="s">
        <v>3813</v>
      </c>
      <c r="AC93" s="49" t="s">
        <v>3768</v>
      </c>
      <c r="AD93" s="49" t="s">
        <v>6971</v>
      </c>
      <c r="AE93" s="49" t="s">
        <v>3813</v>
      </c>
      <c r="AF93" s="49" t="s">
        <v>4196</v>
      </c>
      <c r="AG93" s="49" t="s">
        <v>3768</v>
      </c>
      <c r="AH93" s="49" t="s">
        <v>3768</v>
      </c>
      <c r="AI93" s="49" t="s">
        <v>3768</v>
      </c>
      <c r="AJ93" s="49" t="s">
        <v>3813</v>
      </c>
      <c r="AK93" s="49" t="s">
        <v>3813</v>
      </c>
      <c r="AL93" s="49" t="s">
        <v>3813</v>
      </c>
      <c r="AM93" s="49" t="s">
        <v>4096</v>
      </c>
      <c r="AN93" s="49" t="s">
        <v>3813</v>
      </c>
      <c r="AO93" s="49" t="s">
        <v>3768</v>
      </c>
      <c r="AP93" s="49" t="s">
        <v>3768</v>
      </c>
      <c r="AQ93" s="49" t="s">
        <v>3768</v>
      </c>
      <c r="AR93" s="49" t="s">
        <v>3768</v>
      </c>
      <c r="AS93" s="49" t="s">
        <v>3813</v>
      </c>
      <c r="AT93" s="49" t="s">
        <v>3813</v>
      </c>
      <c r="AU93" s="49" t="s">
        <v>3813</v>
      </c>
      <c r="AV93" s="49" t="s">
        <v>6972</v>
      </c>
      <c r="AW93" s="49" t="s">
        <v>6973</v>
      </c>
      <c r="AX93" s="49" t="s">
        <v>6974</v>
      </c>
      <c r="AY93" s="49" t="s">
        <v>6975</v>
      </c>
      <c r="AZ93" s="49" t="s">
        <v>6976</v>
      </c>
      <c r="BA93" s="49" t="s">
        <v>6977</v>
      </c>
      <c r="BB93" s="49" t="s">
        <v>6978</v>
      </c>
      <c r="BC93" s="49" t="s">
        <v>6979</v>
      </c>
      <c r="BD93" s="49" t="s">
        <v>6980</v>
      </c>
      <c r="BE93" s="49" t="s">
        <v>3768</v>
      </c>
      <c r="BF93" s="49" t="s">
        <v>3813</v>
      </c>
      <c r="BG93" s="49" t="s">
        <v>3813</v>
      </c>
      <c r="BH93" s="49" t="s">
        <v>3768</v>
      </c>
      <c r="BI93" s="49" t="s">
        <v>3813</v>
      </c>
      <c r="BJ93" s="49" t="s">
        <v>3813</v>
      </c>
      <c r="BK93" s="49" t="s">
        <v>4138</v>
      </c>
      <c r="BL93" s="49" t="s">
        <v>6981</v>
      </c>
      <c r="BM93" s="49" t="s">
        <v>6982</v>
      </c>
      <c r="BN93" s="49" t="s">
        <v>6983</v>
      </c>
      <c r="BO93" s="49" t="s">
        <v>6984</v>
      </c>
      <c r="BP93" s="49" t="s">
        <v>6985</v>
      </c>
      <c r="BQ93" s="49" t="s">
        <v>6986</v>
      </c>
      <c r="BR93" s="49" t="s">
        <v>4113</v>
      </c>
      <c r="BS93" s="49" t="s">
        <v>4114</v>
      </c>
      <c r="BT93" s="49" t="s">
        <v>7572</v>
      </c>
    </row>
    <row r="94" spans="1:72" ht="15.75" customHeight="1">
      <c r="A94" s="49" t="s">
        <v>1819</v>
      </c>
      <c r="B94" s="49" t="s">
        <v>1820</v>
      </c>
      <c r="C94" s="49">
        <v>2026</v>
      </c>
      <c r="D94" s="49" t="s">
        <v>501</v>
      </c>
      <c r="E94" s="49" t="s">
        <v>1822</v>
      </c>
      <c r="F94" s="49" t="s">
        <v>4588</v>
      </c>
      <c r="G94" s="49" t="s">
        <v>4077</v>
      </c>
      <c r="H94" s="49" t="s">
        <v>6109</v>
      </c>
      <c r="I94" s="49" t="s">
        <v>6110</v>
      </c>
      <c r="J94" s="49" t="s">
        <v>6111</v>
      </c>
      <c r="K94" s="49" t="s">
        <v>6112</v>
      </c>
      <c r="L94" s="49" t="s">
        <v>6113</v>
      </c>
      <c r="M94" s="49" t="s">
        <v>6114</v>
      </c>
      <c r="N94" s="49" t="s">
        <v>3813</v>
      </c>
      <c r="O94" s="49" t="s">
        <v>6115</v>
      </c>
      <c r="P94" s="49" t="s">
        <v>6116</v>
      </c>
      <c r="Q94" s="49" t="s">
        <v>6117</v>
      </c>
      <c r="R94" s="49" t="s">
        <v>6118</v>
      </c>
      <c r="S94" s="49" t="s">
        <v>6119</v>
      </c>
      <c r="T94" s="49" t="s">
        <v>6120</v>
      </c>
      <c r="U94" s="49" t="s">
        <v>6121</v>
      </c>
      <c r="V94" s="49" t="s">
        <v>6122</v>
      </c>
      <c r="W94" s="49" t="s">
        <v>6123</v>
      </c>
      <c r="X94" s="49" t="s">
        <v>6124</v>
      </c>
      <c r="Y94" s="49" t="s">
        <v>4194</v>
      </c>
      <c r="Z94" s="49" t="s">
        <v>3768</v>
      </c>
      <c r="AA94" s="49" t="s">
        <v>3768</v>
      </c>
      <c r="AB94" s="49" t="s">
        <v>3768</v>
      </c>
      <c r="AC94" s="49" t="s">
        <v>3768</v>
      </c>
      <c r="AD94" s="49" t="s">
        <v>6125</v>
      </c>
      <c r="AE94" s="49" t="s">
        <v>3768</v>
      </c>
      <c r="AF94" s="49" t="s">
        <v>4196</v>
      </c>
      <c r="AG94" s="49" t="s">
        <v>3768</v>
      </c>
      <c r="AH94" s="49" t="s">
        <v>3768</v>
      </c>
      <c r="AI94" s="49" t="s">
        <v>3768</v>
      </c>
      <c r="AJ94" s="49" t="s">
        <v>3768</v>
      </c>
      <c r="AK94" s="49" t="s">
        <v>3768</v>
      </c>
      <c r="AL94" s="49" t="s">
        <v>3813</v>
      </c>
      <c r="AM94" s="49" t="s">
        <v>4096</v>
      </c>
      <c r="AN94" s="49" t="s">
        <v>3813</v>
      </c>
      <c r="AO94" s="49" t="s">
        <v>3768</v>
      </c>
      <c r="AP94" s="49" t="s">
        <v>3768</v>
      </c>
      <c r="AQ94" s="49" t="s">
        <v>3768</v>
      </c>
      <c r="AR94" s="49" t="s">
        <v>3768</v>
      </c>
      <c r="AS94" s="49" t="s">
        <v>3768</v>
      </c>
      <c r="AT94" s="49" t="s">
        <v>3768</v>
      </c>
      <c r="AU94" s="49" t="s">
        <v>3813</v>
      </c>
      <c r="AV94" s="49" t="s">
        <v>6126</v>
      </c>
      <c r="AW94" s="49" t="s">
        <v>6127</v>
      </c>
      <c r="AX94" s="49" t="s">
        <v>6128</v>
      </c>
      <c r="AY94" s="49" t="s">
        <v>6129</v>
      </c>
      <c r="AZ94" s="49" t="s">
        <v>6130</v>
      </c>
      <c r="BA94" s="49" t="s">
        <v>6131</v>
      </c>
      <c r="BB94" s="49" t="s">
        <v>6132</v>
      </c>
      <c r="BC94" s="49" t="s">
        <v>6133</v>
      </c>
      <c r="BD94" s="49" t="s">
        <v>6134</v>
      </c>
      <c r="BE94" s="49" t="s">
        <v>3768</v>
      </c>
      <c r="BF94" s="49" t="s">
        <v>6135</v>
      </c>
      <c r="BG94" s="49" t="s">
        <v>3768</v>
      </c>
      <c r="BH94" s="49" t="s">
        <v>3768</v>
      </c>
      <c r="BI94" s="49" t="s">
        <v>3768</v>
      </c>
      <c r="BJ94" s="49" t="s">
        <v>3768</v>
      </c>
      <c r="BK94" s="49" t="s">
        <v>4106</v>
      </c>
      <c r="BL94" s="49" t="s">
        <v>6136</v>
      </c>
      <c r="BM94" s="49" t="s">
        <v>6137</v>
      </c>
      <c r="BN94" s="49" t="s">
        <v>6138</v>
      </c>
      <c r="BO94" s="49" t="s">
        <v>6139</v>
      </c>
      <c r="BP94" s="49" t="s">
        <v>6140</v>
      </c>
      <c r="BQ94" s="49" t="s">
        <v>6141</v>
      </c>
      <c r="BR94" s="49" t="s">
        <v>4113</v>
      </c>
      <c r="BS94" s="49" t="s">
        <v>4114</v>
      </c>
      <c r="BT94" s="49" t="s">
        <v>6142</v>
      </c>
    </row>
    <row r="95" spans="1:72" ht="15.75" customHeight="1">
      <c r="A95" s="49" t="s">
        <v>1923</v>
      </c>
      <c r="B95" s="49" t="s">
        <v>1924</v>
      </c>
      <c r="C95" s="49">
        <v>2026</v>
      </c>
      <c r="D95" s="49" t="s">
        <v>501</v>
      </c>
      <c r="E95" s="49" t="s">
        <v>1926</v>
      </c>
      <c r="F95" s="49" t="s">
        <v>5390</v>
      </c>
      <c r="G95" s="49" t="s">
        <v>4077</v>
      </c>
      <c r="H95" s="49" t="s">
        <v>6143</v>
      </c>
      <c r="I95" s="49" t="s">
        <v>6144</v>
      </c>
      <c r="J95" s="49" t="s">
        <v>6145</v>
      </c>
      <c r="K95" s="49" t="s">
        <v>6146</v>
      </c>
      <c r="L95" s="49" t="s">
        <v>6147</v>
      </c>
      <c r="M95" s="49" t="s">
        <v>6148</v>
      </c>
      <c r="N95" s="49" t="s">
        <v>6149</v>
      </c>
      <c r="O95" s="49" t="s">
        <v>6150</v>
      </c>
      <c r="P95" s="49" t="s">
        <v>6151</v>
      </c>
      <c r="Q95" s="49" t="s">
        <v>6152</v>
      </c>
      <c r="R95" s="49" t="s">
        <v>6153</v>
      </c>
      <c r="S95" s="49" t="s">
        <v>6154</v>
      </c>
      <c r="T95" s="49" t="s">
        <v>6155</v>
      </c>
      <c r="U95" s="49" t="s">
        <v>6156</v>
      </c>
      <c r="V95" s="49" t="s">
        <v>6157</v>
      </c>
      <c r="W95" s="49" t="s">
        <v>6158</v>
      </c>
      <c r="X95" s="49" t="s">
        <v>6159</v>
      </c>
      <c r="Y95" s="49" t="s">
        <v>4194</v>
      </c>
      <c r="Z95" s="49" t="s">
        <v>3768</v>
      </c>
      <c r="AA95" s="49" t="s">
        <v>3768</v>
      </c>
      <c r="AB95" s="49" t="s">
        <v>3768</v>
      </c>
      <c r="AC95" s="49" t="s">
        <v>3768</v>
      </c>
      <c r="AD95" s="49" t="s">
        <v>6160</v>
      </c>
      <c r="AE95" s="49" t="s">
        <v>3813</v>
      </c>
      <c r="AF95" s="49" t="s">
        <v>4196</v>
      </c>
      <c r="AG95" s="49" t="s">
        <v>3768</v>
      </c>
      <c r="AH95" s="49" t="s">
        <v>3768</v>
      </c>
      <c r="AI95" s="49" t="s">
        <v>3768</v>
      </c>
      <c r="AJ95" s="49" t="s">
        <v>3768</v>
      </c>
      <c r="AK95" s="49" t="s">
        <v>3813</v>
      </c>
      <c r="AL95" s="49" t="s">
        <v>3813</v>
      </c>
      <c r="AM95" s="49" t="s">
        <v>4096</v>
      </c>
      <c r="AN95" s="49" t="s">
        <v>3813</v>
      </c>
      <c r="AO95" s="49" t="s">
        <v>3768</v>
      </c>
      <c r="AP95" s="49" t="s">
        <v>3768</v>
      </c>
      <c r="AQ95" s="49" t="s">
        <v>3813</v>
      </c>
      <c r="AR95" s="49" t="s">
        <v>3768</v>
      </c>
      <c r="AS95" s="49" t="s">
        <v>3813</v>
      </c>
      <c r="AT95" s="49" t="s">
        <v>3813</v>
      </c>
      <c r="AU95" s="49" t="s">
        <v>3813</v>
      </c>
      <c r="AV95" s="49" t="s">
        <v>6161</v>
      </c>
      <c r="AW95" s="49" t="s">
        <v>6162</v>
      </c>
      <c r="AX95" s="49" t="s">
        <v>6163</v>
      </c>
      <c r="AY95" s="49" t="s">
        <v>6164</v>
      </c>
      <c r="AZ95" s="49" t="s">
        <v>6165</v>
      </c>
      <c r="BA95" s="49" t="s">
        <v>6166</v>
      </c>
      <c r="BB95" s="49" t="s">
        <v>6167</v>
      </c>
      <c r="BC95" s="49" t="s">
        <v>6168</v>
      </c>
      <c r="BD95" s="49" t="s">
        <v>6169</v>
      </c>
      <c r="BE95" s="49" t="s">
        <v>3768</v>
      </c>
      <c r="BF95" s="49" t="s">
        <v>3813</v>
      </c>
      <c r="BG95" s="49" t="s">
        <v>3768</v>
      </c>
      <c r="BH95" s="49" t="s">
        <v>3768</v>
      </c>
      <c r="BI95" s="49" t="s">
        <v>3768</v>
      </c>
      <c r="BJ95" s="49" t="s">
        <v>3768</v>
      </c>
      <c r="BK95" s="49" t="s">
        <v>4106</v>
      </c>
      <c r="BL95" s="49" t="s">
        <v>6170</v>
      </c>
      <c r="BM95" s="49" t="s">
        <v>6171</v>
      </c>
      <c r="BN95" s="49" t="s">
        <v>6172</v>
      </c>
      <c r="BO95" s="49" t="s">
        <v>6173</v>
      </c>
      <c r="BP95" s="49" t="s">
        <v>6174</v>
      </c>
      <c r="BQ95" s="49" t="s">
        <v>6175</v>
      </c>
      <c r="BR95" s="49" t="s">
        <v>4113</v>
      </c>
      <c r="BS95" s="49" t="s">
        <v>4114</v>
      </c>
      <c r="BT95" s="49" t="inlineStr">
        <is>
          <t xml:space="preserve">Structured extraction completed directly from paper R0242. | Social-network flag corrected YES-&gt;NO: record shows JPEG quality, resolution and frequency filtering only; no platform pipeline. (corrected at the authors' instruction, 2026-10-27)</t>
        </is>
      </c>
    </row>
    <row r="96" spans="1:72" ht="15.75" customHeight="1">
      <c r="A96" s="49" t="s">
        <v>2047</v>
      </c>
      <c r="B96" s="49" t="s">
        <v>2048</v>
      </c>
      <c r="C96" s="49">
        <v>2025</v>
      </c>
      <c r="D96" s="49" t="s">
        <v>393</v>
      </c>
      <c r="E96" s="49" t="s">
        <v>2050</v>
      </c>
      <c r="F96" s="49" t="s">
        <v>5390</v>
      </c>
      <c r="G96" s="49" t="s">
        <v>4077</v>
      </c>
      <c r="H96" s="49" t="s">
        <v>6176</v>
      </c>
      <c r="I96" s="49" t="s">
        <v>6177</v>
      </c>
      <c r="J96" s="49" t="s">
        <v>6178</v>
      </c>
      <c r="K96" s="49" t="s">
        <v>6179</v>
      </c>
      <c r="L96" s="49" t="s">
        <v>6180</v>
      </c>
      <c r="M96" s="49" t="s">
        <v>3813</v>
      </c>
      <c r="N96" s="49" t="s">
        <v>6181</v>
      </c>
      <c r="O96" s="49" t="s">
        <v>3813</v>
      </c>
      <c r="P96" s="49" t="s">
        <v>6182</v>
      </c>
      <c r="Q96" s="49" t="s">
        <v>6183</v>
      </c>
      <c r="R96" s="49" t="s">
        <v>6184</v>
      </c>
      <c r="S96" s="49" t="s">
        <v>6185</v>
      </c>
      <c r="T96" s="49" t="s">
        <v>6186</v>
      </c>
      <c r="U96" s="49" t="s">
        <v>6187</v>
      </c>
      <c r="V96" s="49" t="s">
        <v>6188</v>
      </c>
      <c r="W96" s="49" t="s">
        <v>6189</v>
      </c>
      <c r="X96" s="49" t="s">
        <v>6190</v>
      </c>
      <c r="Y96" s="49" t="s">
        <v>4194</v>
      </c>
      <c r="Z96" s="49" t="s">
        <v>3813</v>
      </c>
      <c r="AA96" s="49" t="s">
        <v>3768</v>
      </c>
      <c r="AB96" s="49" t="s">
        <v>3768</v>
      </c>
      <c r="AC96" s="49" t="s">
        <v>3813</v>
      </c>
      <c r="AD96" s="49" t="s">
        <v>6191</v>
      </c>
      <c r="AE96" s="49" t="s">
        <v>3813</v>
      </c>
      <c r="AF96" s="49" t="s">
        <v>4196</v>
      </c>
      <c r="AG96" s="49" t="s">
        <v>3768</v>
      </c>
      <c r="AH96" s="49" t="s">
        <v>3768</v>
      </c>
      <c r="AI96" s="49" t="s">
        <v>3768</v>
      </c>
      <c r="AJ96" s="49" t="s">
        <v>3768</v>
      </c>
      <c r="AK96" s="49" t="s">
        <v>3768</v>
      </c>
      <c r="AL96" s="49" t="s">
        <v>3813</v>
      </c>
      <c r="AM96" s="49" t="s">
        <v>4096</v>
      </c>
      <c r="AN96" s="49" t="s">
        <v>3813</v>
      </c>
      <c r="AO96" s="49" t="s">
        <v>3768</v>
      </c>
      <c r="AP96" s="49" t="s">
        <v>3768</v>
      </c>
      <c r="AQ96" s="49" t="s">
        <v>3813</v>
      </c>
      <c r="AR96" s="49" t="s">
        <v>3768</v>
      </c>
      <c r="AS96" s="49" t="s">
        <v>3813</v>
      </c>
      <c r="AT96" s="49" t="s">
        <v>3813</v>
      </c>
      <c r="AU96" s="49" t="s">
        <v>3813</v>
      </c>
      <c r="AV96" s="49" t="s">
        <v>7086</v>
      </c>
      <c r="AW96" s="49" t="s">
        <v>6192</v>
      </c>
      <c r="AX96" s="49" t="s">
        <v>6193</v>
      </c>
      <c r="AY96" s="49" t="s">
        <v>6194</v>
      </c>
      <c r="AZ96" s="49" t="s">
        <v>6195</v>
      </c>
      <c r="BA96" s="49" t="s">
        <v>6196</v>
      </c>
      <c r="BB96" s="49" t="s">
        <v>6197</v>
      </c>
      <c r="BC96" s="49" t="s">
        <v>6198</v>
      </c>
      <c r="BD96" s="49" t="s">
        <v>3768</v>
      </c>
      <c r="BE96" s="49" t="s">
        <v>3813</v>
      </c>
      <c r="BF96" s="49" t="s">
        <v>3813</v>
      </c>
      <c r="BG96" s="49" t="s">
        <v>3768</v>
      </c>
      <c r="BH96" s="49" t="s">
        <v>3768</v>
      </c>
      <c r="BI96" s="49" t="s">
        <v>3768</v>
      </c>
      <c r="BJ96" s="49" t="s">
        <v>3768</v>
      </c>
      <c r="BK96" s="49" t="s">
        <v>4171</v>
      </c>
      <c r="BL96" s="49" t="s">
        <v>7087</v>
      </c>
      <c r="BM96" s="49" t="s">
        <v>7088</v>
      </c>
      <c r="BN96" s="49" t="s">
        <v>7089</v>
      </c>
      <c r="BO96" s="49" t="s">
        <v>7090</v>
      </c>
      <c r="BP96" s="49" t="s">
        <v>7091</v>
      </c>
      <c r="BQ96" s="49" t="s">
        <v>7092</v>
      </c>
      <c r="BR96" s="49" t="s">
        <v>4113</v>
      </c>
      <c r="BS96" s="49" t="s">
        <v>4114</v>
      </c>
      <c r="BT96" s="49" t="s">
        <v>7093</v>
      </c>
    </row>
    <row r="97" spans="1:72" ht="15.75" customHeight="1">
      <c r="A97" s="49" t="s">
        <v>2162</v>
      </c>
      <c r="B97" s="49" t="s">
        <v>2163</v>
      </c>
      <c r="C97" s="49">
        <v>2022</v>
      </c>
      <c r="D97" s="49" t="s">
        <v>2165</v>
      </c>
      <c r="E97" s="49" t="s">
        <v>2166</v>
      </c>
      <c r="F97" s="49" t="s">
        <v>5390</v>
      </c>
      <c r="G97" s="49" t="s">
        <v>4077</v>
      </c>
      <c r="H97" s="49" t="s">
        <v>6199</v>
      </c>
      <c r="I97" s="49" t="s">
        <v>6200</v>
      </c>
      <c r="J97" s="49" t="s">
        <v>6201</v>
      </c>
      <c r="K97" s="49" t="s">
        <v>6202</v>
      </c>
      <c r="L97" s="49" t="s">
        <v>6203</v>
      </c>
      <c r="M97" s="49" t="s">
        <v>6204</v>
      </c>
      <c r="N97" s="49" t="s">
        <v>6205</v>
      </c>
      <c r="O97" s="49" t="s">
        <v>6206</v>
      </c>
      <c r="P97" s="49" t="s">
        <v>6207</v>
      </c>
      <c r="Q97" s="49" t="s">
        <v>6208</v>
      </c>
      <c r="R97" s="49" t="s">
        <v>6209</v>
      </c>
      <c r="S97" s="49" t="s">
        <v>6210</v>
      </c>
      <c r="T97" s="49" t="s">
        <v>6211</v>
      </c>
      <c r="U97" s="49" t="s">
        <v>6212</v>
      </c>
      <c r="V97" s="49" t="s">
        <v>6213</v>
      </c>
      <c r="W97" s="49" t="s">
        <v>6214</v>
      </c>
      <c r="X97" s="49" t="s">
        <v>6215</v>
      </c>
      <c r="Y97" s="49" t="s">
        <v>4194</v>
      </c>
      <c r="Z97" s="49" t="s">
        <v>3768</v>
      </c>
      <c r="AA97" s="49" t="s">
        <v>3813</v>
      </c>
      <c r="AB97" s="49" t="s">
        <v>3813</v>
      </c>
      <c r="AC97" s="49" t="s">
        <v>3813</v>
      </c>
      <c r="AD97" s="49" t="s">
        <v>6216</v>
      </c>
      <c r="AE97" s="49" t="s">
        <v>3768</v>
      </c>
      <c r="AF97" s="49" t="s">
        <v>4196</v>
      </c>
      <c r="AG97" s="49" t="s">
        <v>3768</v>
      </c>
      <c r="AH97" s="49" t="s">
        <v>3768</v>
      </c>
      <c r="AI97" s="49" t="s">
        <v>3768</v>
      </c>
      <c r="AJ97" s="49" t="s">
        <v>3813</v>
      </c>
      <c r="AK97" s="49" t="s">
        <v>3813</v>
      </c>
      <c r="AL97" s="49" t="s">
        <v>3813</v>
      </c>
      <c r="AM97" s="49" t="s">
        <v>4096</v>
      </c>
      <c r="AN97" s="49" t="s">
        <v>3813</v>
      </c>
      <c r="AO97" s="49" t="s">
        <v>3768</v>
      </c>
      <c r="AP97" s="49" t="s">
        <v>3813</v>
      </c>
      <c r="AQ97" s="49" t="s">
        <v>3813</v>
      </c>
      <c r="AR97" s="49" t="s">
        <v>3813</v>
      </c>
      <c r="AS97" s="49" t="s">
        <v>3813</v>
      </c>
      <c r="AT97" s="49" t="s">
        <v>3813</v>
      </c>
      <c r="AU97" s="49" t="s">
        <v>3813</v>
      </c>
      <c r="AV97" s="49" t="s">
        <v>6217</v>
      </c>
      <c r="AW97" s="49" t="s">
        <v>6218</v>
      </c>
      <c r="AX97" s="49" t="s">
        <v>6219</v>
      </c>
      <c r="AY97" s="49" t="s">
        <v>6220</v>
      </c>
      <c r="AZ97" s="49" t="s">
        <v>6221</v>
      </c>
      <c r="BA97" s="49" t="s">
        <v>6222</v>
      </c>
      <c r="BB97" s="49" t="s">
        <v>6223</v>
      </c>
      <c r="BC97" s="49" t="s">
        <v>6224</v>
      </c>
      <c r="BD97" s="49" t="s">
        <v>6225</v>
      </c>
      <c r="BE97" s="49" t="s">
        <v>3768</v>
      </c>
      <c r="BF97" s="49" t="s">
        <v>3813</v>
      </c>
      <c r="BG97" s="49" t="s">
        <v>3813</v>
      </c>
      <c r="BH97" s="49" t="s">
        <v>3813</v>
      </c>
      <c r="BI97" s="49" t="s">
        <v>3768</v>
      </c>
      <c r="BJ97" s="49" t="s">
        <v>3768</v>
      </c>
      <c r="BK97" s="49" t="s">
        <v>4171</v>
      </c>
      <c r="BL97" s="49" t="s">
        <v>6226</v>
      </c>
      <c r="BM97" s="49" t="s">
        <v>6227</v>
      </c>
      <c r="BN97" s="49" t="s">
        <v>6228</v>
      </c>
      <c r="BO97" s="49" t="s">
        <v>6229</v>
      </c>
      <c r="BP97" s="49" t="s">
        <v>6230</v>
      </c>
      <c r="BQ97" s="49" t="s">
        <v>6231</v>
      </c>
      <c r="BR97" s="49" t="s">
        <v>4113</v>
      </c>
      <c r="BS97" s="49" t="s">
        <v>4114</v>
      </c>
      <c r="BT97" s="49" t="s">
        <v>6232</v>
      </c>
    </row>
    <row r="98" spans="1:72" ht="15.75" customHeight="1">
      <c r="A98" s="49" t="s">
        <v>2353</v>
      </c>
      <c r="B98" s="49" t="s">
        <v>2354</v>
      </c>
      <c r="C98" s="49">
        <v>2026</v>
      </c>
      <c r="D98" s="49" t="s">
        <v>153</v>
      </c>
      <c r="E98" s="49" t="s">
        <v>2356</v>
      </c>
      <c r="F98" s="49" t="s">
        <v>4076</v>
      </c>
      <c r="G98" s="49" t="s">
        <v>4077</v>
      </c>
      <c r="H98" s="49" t="s">
        <v>6987</v>
      </c>
      <c r="I98" s="49" t="s">
        <v>6988</v>
      </c>
      <c r="J98" s="49" t="s">
        <v>6989</v>
      </c>
      <c r="K98" s="49" t="s">
        <v>4081</v>
      </c>
      <c r="L98" s="49" t="s">
        <v>6990</v>
      </c>
      <c r="M98" s="49" t="s">
        <v>3813</v>
      </c>
      <c r="N98" s="49" t="s">
        <v>6991</v>
      </c>
      <c r="O98" s="49" t="s">
        <v>3813</v>
      </c>
      <c r="P98" s="49" t="s">
        <v>6992</v>
      </c>
      <c r="Q98" s="49" t="s">
        <v>6993</v>
      </c>
      <c r="R98" s="49" t="s">
        <v>6994</v>
      </c>
      <c r="S98" s="49" t="s">
        <v>6995</v>
      </c>
      <c r="T98" s="49" t="s">
        <v>6996</v>
      </c>
      <c r="U98" s="49" t="s">
        <v>6997</v>
      </c>
      <c r="V98" s="49" t="s">
        <v>6998</v>
      </c>
      <c r="W98" s="49" t="s">
        <v>6999</v>
      </c>
      <c r="X98" s="49" t="s">
        <v>7000</v>
      </c>
      <c r="Y98" s="49" t="s">
        <v>4194</v>
      </c>
      <c r="Z98" s="49" t="s">
        <v>3768</v>
      </c>
      <c r="AA98" s="49" t="s">
        <v>3768</v>
      </c>
      <c r="AB98" s="49" t="s">
        <v>3768</v>
      </c>
      <c r="AC98" s="49" t="s">
        <v>3768</v>
      </c>
      <c r="AD98" s="49" t="s">
        <v>7001</v>
      </c>
      <c r="AE98" s="49" t="s">
        <v>3813</v>
      </c>
      <c r="AF98" s="49" t="s">
        <v>4196</v>
      </c>
      <c r="AG98" s="49" t="s">
        <v>3768</v>
      </c>
      <c r="AH98" s="49" t="s">
        <v>3768</v>
      </c>
      <c r="AI98" s="49" t="s">
        <v>3768</v>
      </c>
      <c r="AJ98" s="49" t="s">
        <v>3768</v>
      </c>
      <c r="AK98" s="49" t="s">
        <v>3813</v>
      </c>
      <c r="AL98" s="49" t="s">
        <v>3813</v>
      </c>
      <c r="AM98" s="49" t="s">
        <v>4096</v>
      </c>
      <c r="AN98" s="49" t="s">
        <v>3813</v>
      </c>
      <c r="AO98" s="49" t="s">
        <v>3768</v>
      </c>
      <c r="AP98" s="49" t="s">
        <v>3768</v>
      </c>
      <c r="AQ98" s="49" t="s">
        <v>3813</v>
      </c>
      <c r="AR98" s="49" t="s">
        <v>3768</v>
      </c>
      <c r="AS98" s="49" t="s">
        <v>3768</v>
      </c>
      <c r="AT98" s="49" t="s">
        <v>3813</v>
      </c>
      <c r="AU98" s="49" t="s">
        <v>3813</v>
      </c>
      <c r="AV98" s="49" t="s">
        <v>7002</v>
      </c>
      <c r="AW98" s="49" t="s">
        <v>7003</v>
      </c>
      <c r="AX98" s="49" t="s">
        <v>7004</v>
      </c>
      <c r="AY98" s="49" t="s">
        <v>7005</v>
      </c>
      <c r="AZ98" s="49" t="s">
        <v>7006</v>
      </c>
      <c r="BA98" s="49" t="s">
        <v>7007</v>
      </c>
      <c r="BB98" s="49" t="s">
        <v>7008</v>
      </c>
      <c r="BC98" s="49" t="s">
        <v>7009</v>
      </c>
      <c r="BD98" s="49" t="s">
        <v>7010</v>
      </c>
      <c r="BE98" s="49" t="s">
        <v>3768</v>
      </c>
      <c r="BF98" s="49" t="s">
        <v>7011</v>
      </c>
      <c r="BG98" s="49" t="s">
        <v>3768</v>
      </c>
      <c r="BH98" s="49" t="s">
        <v>3768</v>
      </c>
      <c r="BI98" s="49" t="s">
        <v>3768</v>
      </c>
      <c r="BJ98" s="49" t="s">
        <v>3768</v>
      </c>
      <c r="BK98" s="49" t="s">
        <v>4207</v>
      </c>
      <c r="BL98" s="49" t="s">
        <v>7012</v>
      </c>
      <c r="BM98" s="49" t="s">
        <v>7013</v>
      </c>
      <c r="BN98" s="49" t="s">
        <v>7014</v>
      </c>
      <c r="BO98" s="49" t="s">
        <v>7015</v>
      </c>
      <c r="BP98" s="49" t="s">
        <v>7016</v>
      </c>
      <c r="BQ98" s="49" t="s">
        <v>7017</v>
      </c>
      <c r="BR98" s="49" t="s">
        <v>4113</v>
      </c>
      <c r="BS98" s="49" t="s">
        <v>4114</v>
      </c>
      <c r="BT98" s="49" t="s">
        <v>7573</v>
      </c>
    </row>
    <row r="99" spans="1:72" ht="15.75" customHeight="1">
      <c r="A99" s="49" t="s">
        <v>2405</v>
      </c>
      <c r="B99" s="49" t="s">
        <v>2406</v>
      </c>
      <c r="C99" s="49">
        <v>2024</v>
      </c>
      <c r="D99" s="49" t="s">
        <v>325</v>
      </c>
      <c r="E99" s="49" t="s">
        <v>2408</v>
      </c>
      <c r="F99" s="49" t="s">
        <v>5390</v>
      </c>
      <c r="G99" s="49" t="s">
        <v>6233</v>
      </c>
      <c r="H99" s="49" t="s">
        <v>6234</v>
      </c>
      <c r="I99" s="49" t="s">
        <v>6235</v>
      </c>
      <c r="J99" s="49" t="s">
        <v>6236</v>
      </c>
      <c r="K99" s="49" t="s">
        <v>4119</v>
      </c>
      <c r="L99" s="49" t="s">
        <v>6237</v>
      </c>
      <c r="M99" s="49" t="s">
        <v>6238</v>
      </c>
      <c r="N99" s="49" t="s">
        <v>6239</v>
      </c>
      <c r="O99" s="49" t="s">
        <v>6240</v>
      </c>
      <c r="P99" s="49" t="s">
        <v>6241</v>
      </c>
      <c r="Q99" s="49" t="s">
        <v>6242</v>
      </c>
      <c r="R99" s="49" t="s">
        <v>6243</v>
      </c>
      <c r="S99" s="49" t="s">
        <v>6244</v>
      </c>
      <c r="T99" s="49" t="s">
        <v>6245</v>
      </c>
      <c r="U99" s="49" t="s">
        <v>6246</v>
      </c>
      <c r="V99" s="49" t="s">
        <v>6247</v>
      </c>
      <c r="W99" s="49" t="s">
        <v>6248</v>
      </c>
      <c r="X99" s="49" t="s">
        <v>6249</v>
      </c>
      <c r="Y99" s="49" t="s">
        <v>4127</v>
      </c>
      <c r="Z99" s="49" t="s">
        <v>3768</v>
      </c>
      <c r="AA99" s="49" t="s">
        <v>3813</v>
      </c>
      <c r="AB99" s="49" t="s">
        <v>3813</v>
      </c>
      <c r="AC99" s="49" t="s">
        <v>3813</v>
      </c>
      <c r="AD99" s="49" t="s">
        <v>6250</v>
      </c>
      <c r="AE99" s="49" t="s">
        <v>3768</v>
      </c>
      <c r="AF99" s="49" t="s">
        <v>4196</v>
      </c>
      <c r="AG99" s="49" t="s">
        <v>3768</v>
      </c>
      <c r="AH99" s="49" t="s">
        <v>3813</v>
      </c>
      <c r="AI99" s="49" t="s">
        <v>3768</v>
      </c>
      <c r="AJ99" s="49" t="s">
        <v>3813</v>
      </c>
      <c r="AK99" s="49" t="s">
        <v>3813</v>
      </c>
      <c r="AL99" s="49" t="s">
        <v>3813</v>
      </c>
      <c r="AM99" s="49" t="s">
        <v>4096</v>
      </c>
      <c r="AN99" s="49" t="s">
        <v>3813</v>
      </c>
      <c r="AO99" s="49" t="s">
        <v>3813</v>
      </c>
      <c r="AP99" s="49" t="s">
        <v>3813</v>
      </c>
      <c r="AQ99" s="49" t="s">
        <v>3813</v>
      </c>
      <c r="AR99" s="49" t="s">
        <v>3813</v>
      </c>
      <c r="AS99" s="49" t="s">
        <v>3813</v>
      </c>
      <c r="AT99" s="49" t="s">
        <v>3813</v>
      </c>
      <c r="AU99" s="49" t="s">
        <v>3813</v>
      </c>
      <c r="AV99" s="49" t="s">
        <v>6251</v>
      </c>
      <c r="AW99" s="49" t="s">
        <v>6252</v>
      </c>
      <c r="AX99" s="49" t="s">
        <v>6253</v>
      </c>
      <c r="AY99" s="49" t="s">
        <v>6254</v>
      </c>
      <c r="AZ99" s="49" t="s">
        <v>6255</v>
      </c>
      <c r="BA99" s="49" t="s">
        <v>6256</v>
      </c>
      <c r="BB99" s="49" t="s">
        <v>6257</v>
      </c>
      <c r="BC99" s="49" t="s">
        <v>6258</v>
      </c>
      <c r="BD99" s="49" t="s">
        <v>6259</v>
      </c>
      <c r="BE99" s="49" t="s">
        <v>3768</v>
      </c>
      <c r="BF99" s="49" t="s">
        <v>3813</v>
      </c>
      <c r="BG99" s="49" t="s">
        <v>3813</v>
      </c>
      <c r="BH99" s="49" t="s">
        <v>3768</v>
      </c>
      <c r="BI99" s="49" t="s">
        <v>3768</v>
      </c>
      <c r="BJ99" s="49" t="s">
        <v>3768</v>
      </c>
      <c r="BK99" s="49" t="s">
        <v>4171</v>
      </c>
      <c r="BL99" s="49" t="s">
        <v>6260</v>
      </c>
      <c r="BM99" s="49" t="s">
        <v>6261</v>
      </c>
      <c r="BN99" s="49" t="s">
        <v>6262</v>
      </c>
      <c r="BO99" s="49" t="s">
        <v>6263</v>
      </c>
      <c r="BP99" s="49" t="s">
        <v>6264</v>
      </c>
      <c r="BQ99" s="49" t="s">
        <v>6265</v>
      </c>
      <c r="BR99" s="49" t="s">
        <v>4113</v>
      </c>
      <c r="BS99" s="49" t="s">
        <v>4114</v>
      </c>
      <c r="BT99" s="49" t="s">
        <v>6266</v>
      </c>
    </row>
    <row r="100" spans="1:72" ht="15.75" customHeight="1">
      <c r="A100" s="49" t="s">
        <v>2491</v>
      </c>
      <c r="B100" s="49" t="s">
        <v>2492</v>
      </c>
      <c r="C100" s="49">
        <v>2025</v>
      </c>
      <c r="D100" s="49" t="s">
        <v>255</v>
      </c>
      <c r="E100" s="49" t="s">
        <v>2494</v>
      </c>
      <c r="F100" s="49" t="s">
        <v>4867</v>
      </c>
      <c r="G100" s="49" t="s">
        <v>4077</v>
      </c>
      <c r="H100" s="49" t="s">
        <v>7018</v>
      </c>
      <c r="I100" s="49" t="s">
        <v>7019</v>
      </c>
      <c r="J100" s="49" t="s">
        <v>7020</v>
      </c>
      <c r="K100" s="49" t="s">
        <v>4119</v>
      </c>
      <c r="L100" s="49" t="s">
        <v>7021</v>
      </c>
      <c r="M100" s="49" t="s">
        <v>3813</v>
      </c>
      <c r="N100" s="49" t="s">
        <v>3813</v>
      </c>
      <c r="O100" s="49" t="s">
        <v>3813</v>
      </c>
      <c r="P100" s="49" t="s">
        <v>7022</v>
      </c>
      <c r="Q100" s="49" t="s">
        <v>7023</v>
      </c>
      <c r="R100" s="49" t="s">
        <v>7024</v>
      </c>
      <c r="S100" s="49" t="s">
        <v>7025</v>
      </c>
      <c r="T100" s="49" t="s">
        <v>7026</v>
      </c>
      <c r="U100" s="49" t="s">
        <v>7027</v>
      </c>
      <c r="V100" s="49" t="s">
        <v>7028</v>
      </c>
      <c r="W100" s="49" t="s">
        <v>7029</v>
      </c>
      <c r="X100" s="49" t="s">
        <v>7030</v>
      </c>
      <c r="Y100" s="49" t="s">
        <v>4194</v>
      </c>
      <c r="Z100" s="49" t="s">
        <v>3768</v>
      </c>
      <c r="AA100" s="49" t="s">
        <v>3768</v>
      </c>
      <c r="AB100" s="49" t="s">
        <v>3768</v>
      </c>
      <c r="AC100" s="49" t="s">
        <v>3768</v>
      </c>
      <c r="AD100" s="49" t="s">
        <v>7031</v>
      </c>
      <c r="AE100" s="49" t="s">
        <v>3813</v>
      </c>
      <c r="AF100" s="49" t="s">
        <v>4196</v>
      </c>
      <c r="AG100" s="49" t="s">
        <v>3768</v>
      </c>
      <c r="AH100" s="49" t="s">
        <v>3813</v>
      </c>
      <c r="AI100" s="49" t="s">
        <v>3768</v>
      </c>
      <c r="AJ100" s="49" t="s">
        <v>3813</v>
      </c>
      <c r="AK100" s="49" t="s">
        <v>3813</v>
      </c>
      <c r="AL100" s="49" t="s">
        <v>3813</v>
      </c>
      <c r="AM100" s="49" t="s">
        <v>4096</v>
      </c>
      <c r="AN100" s="49" t="s">
        <v>3813</v>
      </c>
      <c r="AO100" s="49" t="s">
        <v>3768</v>
      </c>
      <c r="AP100" s="49" t="s">
        <v>3768</v>
      </c>
      <c r="AQ100" s="49" t="s">
        <v>3813</v>
      </c>
      <c r="AR100" s="49" t="s">
        <v>3768</v>
      </c>
      <c r="AS100" s="49" t="s">
        <v>3813</v>
      </c>
      <c r="AT100" s="49" t="s">
        <v>3813</v>
      </c>
      <c r="AU100" s="49" t="s">
        <v>3813</v>
      </c>
      <c r="AV100" s="49" t="s">
        <v>7032</v>
      </c>
      <c r="AW100" s="49" t="s">
        <v>7033</v>
      </c>
      <c r="AX100" s="49" t="s">
        <v>7034</v>
      </c>
      <c r="AY100" s="49" t="s">
        <v>7035</v>
      </c>
      <c r="AZ100" s="49" t="s">
        <v>7036</v>
      </c>
      <c r="BA100" s="49" t="s">
        <v>7037</v>
      </c>
      <c r="BB100" s="49" t="s">
        <v>7038</v>
      </c>
      <c r="BC100" s="49" t="s">
        <v>7039</v>
      </c>
      <c r="BD100" s="49" t="s">
        <v>7040</v>
      </c>
      <c r="BE100" s="49" t="s">
        <v>3768</v>
      </c>
      <c r="BF100" s="49" t="s">
        <v>3813</v>
      </c>
      <c r="BG100" s="49" t="s">
        <v>3768</v>
      </c>
      <c r="BH100" s="49" t="s">
        <v>3768</v>
      </c>
      <c r="BI100" s="49" t="s">
        <v>3768</v>
      </c>
      <c r="BJ100" s="49" t="s">
        <v>3768</v>
      </c>
      <c r="BK100" s="49" t="s">
        <v>4171</v>
      </c>
      <c r="BL100" s="49" t="s">
        <v>7041</v>
      </c>
      <c r="BM100" s="49" t="s">
        <v>7042</v>
      </c>
      <c r="BN100" s="49" t="s">
        <v>7043</v>
      </c>
      <c r="BO100" s="49" t="s">
        <v>7044</v>
      </c>
      <c r="BP100" s="49" t="s">
        <v>7045</v>
      </c>
      <c r="BQ100" s="49" t="s">
        <v>7046</v>
      </c>
      <c r="BR100" s="49" t="s">
        <v>4113</v>
      </c>
      <c r="BS100" s="49" t="s">
        <v>4114</v>
      </c>
      <c r="BT100" s="49" t="s">
        <v>7574</v>
      </c>
    </row>
    <row r="101" spans="1:72" ht="15.75" customHeight="1">
      <c r="A101" s="49" t="s">
        <v>2520</v>
      </c>
      <c r="B101" s="49" t="s">
        <v>2521</v>
      </c>
      <c r="C101" s="49">
        <v>2025</v>
      </c>
      <c r="D101" s="49" t="s">
        <v>198</v>
      </c>
      <c r="E101" s="49" t="s">
        <v>2523</v>
      </c>
      <c r="F101" s="49" t="s">
        <v>5390</v>
      </c>
      <c r="G101" s="49" t="s">
        <v>4077</v>
      </c>
      <c r="H101" s="49" t="s">
        <v>6267</v>
      </c>
      <c r="I101" s="49" t="s">
        <v>6268</v>
      </c>
      <c r="J101" s="49" t="s">
        <v>6269</v>
      </c>
      <c r="K101" s="49" t="s">
        <v>6270</v>
      </c>
      <c r="L101" s="49" t="s">
        <v>6271</v>
      </c>
      <c r="M101" s="49" t="s">
        <v>3813</v>
      </c>
      <c r="N101" s="49" t="s">
        <v>6272</v>
      </c>
      <c r="O101" s="49" t="s">
        <v>3813</v>
      </c>
      <c r="P101" s="49" t="s">
        <v>6273</v>
      </c>
      <c r="Q101" s="49" t="s">
        <v>6274</v>
      </c>
      <c r="R101" s="49" t="s">
        <v>6275</v>
      </c>
      <c r="S101" s="49" t="s">
        <v>4565</v>
      </c>
      <c r="T101" s="49" t="s">
        <v>6276</v>
      </c>
      <c r="U101" s="49" t="s">
        <v>6277</v>
      </c>
      <c r="V101" s="49" t="s">
        <v>6278</v>
      </c>
      <c r="W101" s="49" t="s">
        <v>6279</v>
      </c>
      <c r="X101" s="49" t="s">
        <v>6280</v>
      </c>
      <c r="Y101" s="49" t="s">
        <v>4160</v>
      </c>
      <c r="Z101" s="49" t="s">
        <v>3768</v>
      </c>
      <c r="AA101" s="49" t="s">
        <v>3768</v>
      </c>
      <c r="AB101" s="49" t="s">
        <v>3813</v>
      </c>
      <c r="AC101" s="49" t="s">
        <v>3768</v>
      </c>
      <c r="AD101" s="49" t="s">
        <v>6281</v>
      </c>
      <c r="AE101" s="49" t="s">
        <v>3813</v>
      </c>
      <c r="AF101" s="49" t="s">
        <v>4196</v>
      </c>
      <c r="AG101" s="49" t="s">
        <v>3768</v>
      </c>
      <c r="AH101" s="49" t="s">
        <v>3768</v>
      </c>
      <c r="AI101" s="49" t="s">
        <v>3768</v>
      </c>
      <c r="AJ101" s="49" t="s">
        <v>3768</v>
      </c>
      <c r="AK101" s="49" t="s">
        <v>3768</v>
      </c>
      <c r="AL101" s="49" t="s">
        <v>3813</v>
      </c>
      <c r="AM101" s="49" t="s">
        <v>4096</v>
      </c>
      <c r="AN101" s="49" t="s">
        <v>3813</v>
      </c>
      <c r="AO101" s="49" t="s">
        <v>3768</v>
      </c>
      <c r="AP101" s="49" t="s">
        <v>3768</v>
      </c>
      <c r="AQ101" s="49" t="s">
        <v>3768</v>
      </c>
      <c r="AR101" s="49" t="s">
        <v>3813</v>
      </c>
      <c r="AS101" s="49" t="s">
        <v>3813</v>
      </c>
      <c r="AT101" s="49" t="s">
        <v>3813</v>
      </c>
      <c r="AU101" s="49" t="s">
        <v>3813</v>
      </c>
      <c r="AV101" s="49" t="s">
        <v>3813</v>
      </c>
      <c r="AW101" s="49" t="s">
        <v>6282</v>
      </c>
      <c r="AX101" s="49" t="s">
        <v>6283</v>
      </c>
      <c r="AY101" s="49" t="s">
        <v>6284</v>
      </c>
      <c r="AZ101" s="49" t="s">
        <v>6285</v>
      </c>
      <c r="BA101" s="49" t="s">
        <v>6286</v>
      </c>
      <c r="BB101" s="49" t="s">
        <v>6287</v>
      </c>
      <c r="BC101" s="49" t="s">
        <v>6288</v>
      </c>
      <c r="BD101" s="49" t="s">
        <v>6289</v>
      </c>
      <c r="BE101" s="49" t="s">
        <v>3768</v>
      </c>
      <c r="BF101" s="49" t="s">
        <v>3768</v>
      </c>
      <c r="BG101" s="49" t="s">
        <v>3768</v>
      </c>
      <c r="BH101" s="49" t="s">
        <v>3768</v>
      </c>
      <c r="BI101" s="49" t="s">
        <v>3768</v>
      </c>
      <c r="BJ101" s="49" t="s">
        <v>3768</v>
      </c>
      <c r="BK101" s="49" t="s">
        <v>4106</v>
      </c>
      <c r="BL101" s="49" t="s">
        <v>6290</v>
      </c>
      <c r="BM101" s="49" t="s">
        <v>6291</v>
      </c>
      <c r="BN101" s="49" t="s">
        <v>6292</v>
      </c>
      <c r="BO101" s="49" t="s">
        <v>6293</v>
      </c>
      <c r="BP101" s="49" t="s">
        <v>6294</v>
      </c>
      <c r="BQ101" s="49" t="s">
        <v>6295</v>
      </c>
      <c r="BR101" s="49" t="s">
        <v>4113</v>
      </c>
      <c r="BS101" s="49" t="s">
        <v>4114</v>
      </c>
      <c r="BT101" s="49" t="s">
        <v>6296</v>
      </c>
    </row>
    <row r="102" spans="1:72" ht="15.75" customHeight="1">
      <c r="A102" s="49" t="s">
        <v>2665</v>
      </c>
      <c r="B102" s="49" t="s">
        <v>2666</v>
      </c>
      <c r="C102" s="49">
        <v>2023</v>
      </c>
      <c r="D102" s="49" t="s">
        <v>2668</v>
      </c>
      <c r="E102" s="49" t="s">
        <v>2669</v>
      </c>
      <c r="F102" s="49" t="s">
        <v>5390</v>
      </c>
      <c r="G102" s="49" t="s">
        <v>6233</v>
      </c>
      <c r="H102" s="49" t="s">
        <v>6297</v>
      </c>
      <c r="I102" s="49" t="s">
        <v>6298</v>
      </c>
      <c r="J102" s="49" t="s">
        <v>6299</v>
      </c>
      <c r="K102" s="49" t="s">
        <v>6300</v>
      </c>
      <c r="L102" s="49" t="s">
        <v>3813</v>
      </c>
      <c r="M102" s="49" t="s">
        <v>6301</v>
      </c>
      <c r="N102" s="49" t="s">
        <v>3813</v>
      </c>
      <c r="O102" s="49" t="s">
        <v>3813</v>
      </c>
      <c r="P102" s="49" t="s">
        <v>6302</v>
      </c>
      <c r="Q102" s="49" t="s">
        <v>6303</v>
      </c>
      <c r="R102" s="49" t="s">
        <v>6304</v>
      </c>
      <c r="S102" s="49" t="s">
        <v>6305</v>
      </c>
      <c r="T102" s="49" t="s">
        <v>6306</v>
      </c>
      <c r="U102" s="49" t="s">
        <v>6307</v>
      </c>
      <c r="V102" s="49" t="s">
        <v>6308</v>
      </c>
      <c r="W102" s="49" t="s">
        <v>6309</v>
      </c>
      <c r="X102" s="49" t="s">
        <v>6310</v>
      </c>
      <c r="Y102" s="49" t="s">
        <v>4194</v>
      </c>
      <c r="Z102" s="49" t="s">
        <v>3768</v>
      </c>
      <c r="AA102" s="49" t="s">
        <v>3813</v>
      </c>
      <c r="AB102" s="49" t="s">
        <v>3813</v>
      </c>
      <c r="AC102" s="49" t="s">
        <v>3813</v>
      </c>
      <c r="AD102" s="49" t="s">
        <v>6311</v>
      </c>
      <c r="AE102" s="49" t="s">
        <v>3813</v>
      </c>
      <c r="AF102" s="49" t="s">
        <v>4196</v>
      </c>
      <c r="AG102" s="49" t="s">
        <v>3768</v>
      </c>
      <c r="AH102" s="49" t="s">
        <v>3768</v>
      </c>
      <c r="AI102" s="49" t="s">
        <v>3768</v>
      </c>
      <c r="AJ102" s="49" t="s">
        <v>3768</v>
      </c>
      <c r="AK102" s="49" t="s">
        <v>3768</v>
      </c>
      <c r="AL102" s="49" t="s">
        <v>3813</v>
      </c>
      <c r="AM102" s="49" t="s">
        <v>4096</v>
      </c>
      <c r="AN102" s="49" t="s">
        <v>3813</v>
      </c>
      <c r="AO102" s="49" t="s">
        <v>3768</v>
      </c>
      <c r="AP102" s="49" t="s">
        <v>3813</v>
      </c>
      <c r="AQ102" s="49" t="s">
        <v>3813</v>
      </c>
      <c r="AR102" s="49" t="s">
        <v>3813</v>
      </c>
      <c r="AS102" s="49" t="s">
        <v>3813</v>
      </c>
      <c r="AT102" s="49" t="s">
        <v>3813</v>
      </c>
      <c r="AU102" s="49" t="s">
        <v>3768</v>
      </c>
      <c r="AV102" s="49" t="s">
        <v>6312</v>
      </c>
      <c r="AW102" s="49" t="s">
        <v>6313</v>
      </c>
      <c r="AX102" s="49" t="s">
        <v>6314</v>
      </c>
      <c r="AY102" s="49" t="s">
        <v>6315</v>
      </c>
      <c r="AZ102" s="49" t="s">
        <v>6316</v>
      </c>
      <c r="BA102" s="49" t="s">
        <v>6317</v>
      </c>
      <c r="BB102" s="49" t="s">
        <v>6318</v>
      </c>
      <c r="BC102" s="49" t="s">
        <v>6319</v>
      </c>
      <c r="BD102" s="49" t="s">
        <v>6320</v>
      </c>
      <c r="BE102" s="49" t="s">
        <v>3768</v>
      </c>
      <c r="BF102" s="49" t="s">
        <v>3768</v>
      </c>
      <c r="BG102" s="49" t="s">
        <v>3768</v>
      </c>
      <c r="BH102" s="49" t="s">
        <v>3768</v>
      </c>
      <c r="BI102" s="49" t="s">
        <v>3768</v>
      </c>
      <c r="BJ102" s="49" t="s">
        <v>3768</v>
      </c>
      <c r="BK102" s="49" t="s">
        <v>4106</v>
      </c>
      <c r="BL102" s="49" t="s">
        <v>6321</v>
      </c>
      <c r="BM102" s="49" t="s">
        <v>6322</v>
      </c>
      <c r="BN102" s="49" t="s">
        <v>6323</v>
      </c>
      <c r="BO102" s="49" t="s">
        <v>6324</v>
      </c>
      <c r="BP102" s="49" t="s">
        <v>6325</v>
      </c>
      <c r="BQ102" s="49" t="s">
        <v>6326</v>
      </c>
      <c r="BR102" s="49" t="s">
        <v>4113</v>
      </c>
      <c r="BS102" s="49" t="s">
        <v>4114</v>
      </c>
      <c r="BT102" s="49" t="s">
        <v>6327</v>
      </c>
    </row>
    <row r="103" spans="1:72" ht="15.75" customHeight="1"/>
    <row r="104" spans="1:72" ht="15.75" customHeight="1"/>
    <row r="105" spans="1:72" ht="15.75" customHeight="1"/>
    <row r="106" spans="1:72" ht="15.75" customHeight="1"/>
    <row r="107" spans="1:72" ht="15.75" customHeight="1"/>
    <row r="108" spans="1:72" ht="15.75" customHeight="1"/>
    <row r="109" spans="1:72" ht="15.75" customHeight="1"/>
    <row r="110" spans="1:72" ht="15.75" customHeight="1"/>
    <row r="111" spans="1:72" ht="15.75" customHeight="1"/>
    <row r="112" spans="1:7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T1"/>
  </mergeCells>
  <conditionalFormatting sqref="BK4:BK102">
    <cfRule type="expression" dxfId="27" priority="1">
      <formula>BK4="VERY HIGH"</formula>
    </cfRule>
    <cfRule type="expression" dxfId="26" priority="2">
      <formula>BK4="HIGH"</formula>
    </cfRule>
    <cfRule type="expression" dxfId="25" priority="3">
      <formula>BK4="MODERATE"</formula>
    </cfRule>
    <cfRule type="expression" dxfId="24" priority="4">
      <formula>BK4="LOW"</formula>
    </cfRule>
  </conditionalFormatting>
  <dataValidations count="8">
    <dataValidation type="list" allowBlank="1" showErrorMessage="1" errorTitle="Controlled vocabulary" error="Use a value from the protocol's controlled vocabulary." sqref="BG4:BJ400 BE4:BE400 AN4:AU400 AG4:AL400 AE4:AE400 Z4:AC400" xr:uid="{00000000-0002-0000-0900-000000000000}">
      <formula1>"YES,NO,UNCLEAR,N/A"</formula1>
    </dataValidation>
    <dataValidation type="list" allowBlank="1" showErrorMessage="1" errorTitle="Controlled vocabulary" error="Use a value from the protocol's controlled vocabulary." sqref="F4:F400" xr:uid="{00000000-0002-0000-0900-000018000000}">
      <formula1>"DETECTION,ATTRIBUTION,LOCALIZATION,DETECTION+ATTRIBUTION,DETECTION+LOCALIZATION,BENCHMARK,ROBUSTNESS,OTHER"</formula1>
    </dataValidation>
    <dataValidation type="list" allowBlank="1" showErrorMessage="1" errorTitle="Controlled vocabulary" error="Use a value from the protocol's controlled vocabulary." sqref="G4:G400" xr:uid="{00000000-0002-0000-0900-000019000000}">
      <formula1>"IMAGE,FRAME"</formula1>
    </dataValidation>
    <dataValidation type="list" allowBlank="1" showErrorMessage="1" errorTitle="Controlled vocabulary" error="Use a value from the protocol's controlled vocabulary." sqref="Y4:Y400" xr:uid="{00000000-0002-0000-0900-00001A000000}">
      <formula1>"GAN,DIFFUSION,GAN+DIFFUSION,MULTI-FAMILY"</formula1>
    </dataValidation>
    <dataValidation type="list" allowBlank="1" showErrorMessage="1" errorTitle="Controlled vocabulary" error="Use a value from the protocol's controlled vocabulary." sqref="AF4:AF400" xr:uid="{00000000-0002-0000-0900-00001B000000}">
      <formula1>"NONE,CROSS-GENERATOR,CROSS-DATASET,CROSS-DOMAIN,OPEN-SET,CONTINUAL-ADAPTIVE,MULTIPLE"</formula1>
    </dataValidation>
    <dataValidation type="list" allowBlank="1" showErrorMessage="1" errorTitle="Controlled vocabulary" error="Use a value from the protocol's controlled vocabulary." sqref="AM4:AM400" xr:uid="{00000000-0002-0000-0900-00001C000000}">
      <formula1>"ZERO-SHOT,CALIBRATED,FINE-TUNED,RETRAINED,MIXED,N/A"</formula1>
    </dataValidation>
    <dataValidation type="list" allowBlank="1" showErrorMessage="1" errorTitle="Controlled vocabulary" error="Use a value from the protocol's controlled vocabulary." sqref="BK4:BK400" xr:uid="{00000000-0002-0000-0900-00001D000000}">
      <formula1>"VERY HIGH,HIGH,MODERATE,LOW"</formula1>
    </dataValidation>
    <dataValidation type="list" allowBlank="1" showErrorMessage="1" errorTitle="Controlled vocabulary" error="Use a value from the protocol's controlled vocabulary." sqref="BS4:BS400" xr:uid="{00000000-0002-0000-0900-00001E000000}">
      <formula1>"Pending,Validated,Disputed"</formula1>
    </dataValidation>
  </dataValidations>
  <pageMargins left="0.7" right="0.7" top="0.75" bottom="0.75" header="0" footer="0"/>
  <pageSetup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baseColWidth="10" defaultColWidth="12.6640625" defaultRowHeight="15" customHeight="1"/>
  <cols>
    <col min="1" max="1" width="12" customWidth="1"/>
    <col min="2" max="2" width="8" customWidth="1"/>
    <col min="3" max="4" width="18" customWidth="1"/>
    <col min="5" max="14" width="16" customWidth="1"/>
    <col min="15" max="26" width="8.6640625" customWidth="1"/>
  </cols>
  <sheetData>
    <row r="1" spans="1:26" ht="13">
      <c r="A1" s="62" t="s">
        <v>7097</v>
      </c>
      <c r="B1" s="59"/>
      <c r="C1" s="59"/>
      <c r="D1" s="59"/>
      <c r="E1" s="59"/>
      <c r="F1" s="59"/>
      <c r="G1" s="59"/>
      <c r="H1" s="59"/>
      <c r="I1" s="59"/>
      <c r="J1" s="59"/>
      <c r="K1" s="59"/>
      <c r="L1" s="59"/>
      <c r="M1" s="59"/>
      <c r="N1" s="59"/>
      <c r="O1" s="44"/>
      <c r="P1" s="44"/>
      <c r="Q1" s="44"/>
      <c r="R1" s="44"/>
      <c r="S1" s="44"/>
      <c r="T1" s="44"/>
      <c r="U1" s="44"/>
      <c r="V1" s="44"/>
      <c r="W1" s="44"/>
      <c r="X1" s="44"/>
      <c r="Y1" s="44"/>
      <c r="Z1" s="44"/>
    </row>
    <row r="2" spans="1:26" ht="13">
      <c r="A2" s="44"/>
      <c r="B2" s="44"/>
      <c r="C2" s="44"/>
      <c r="D2" s="44"/>
      <c r="E2" s="44"/>
      <c r="F2" s="44"/>
      <c r="G2" s="44"/>
      <c r="H2" s="44"/>
      <c r="I2" s="44"/>
      <c r="J2" s="44"/>
      <c r="K2" s="44"/>
      <c r="L2" s="44"/>
      <c r="M2" s="44"/>
      <c r="N2" s="44"/>
      <c r="O2" s="44"/>
      <c r="P2" s="44"/>
      <c r="Q2" s="44"/>
      <c r="R2" s="44"/>
      <c r="S2" s="44"/>
      <c r="T2" s="44"/>
      <c r="U2" s="44"/>
      <c r="V2" s="44"/>
      <c r="W2" s="44"/>
      <c r="X2" s="44"/>
      <c r="Y2" s="44"/>
      <c r="Z2" s="44"/>
    </row>
    <row r="3" spans="1:26" ht="28">
      <c r="A3" s="43" t="s">
        <v>124</v>
      </c>
      <c r="B3" s="43" t="s">
        <v>128</v>
      </c>
      <c r="C3" s="43" t="s">
        <v>4069</v>
      </c>
      <c r="D3" s="43" t="s">
        <v>7098</v>
      </c>
      <c r="E3" s="43" t="s">
        <v>7099</v>
      </c>
      <c r="F3" s="43" t="s">
        <v>7100</v>
      </c>
      <c r="G3" s="43" t="s">
        <v>7101</v>
      </c>
      <c r="H3" s="43" t="s">
        <v>7102</v>
      </c>
      <c r="I3" s="43" t="s">
        <v>7103</v>
      </c>
      <c r="J3" s="43" t="s">
        <v>7104</v>
      </c>
      <c r="K3" s="43" t="s">
        <v>7105</v>
      </c>
      <c r="L3" s="43" t="s">
        <v>4045</v>
      </c>
      <c r="M3" s="43" t="s">
        <v>7106</v>
      </c>
      <c r="N3" s="43" t="s">
        <v>7107</v>
      </c>
      <c r="O3" s="44"/>
      <c r="P3" s="44"/>
      <c r="Q3" s="44"/>
      <c r="R3" s="44"/>
      <c r="S3" s="44"/>
      <c r="T3" s="44"/>
      <c r="U3" s="44"/>
      <c r="V3" s="44"/>
      <c r="W3" s="44"/>
      <c r="X3" s="44"/>
      <c r="Y3" s="44"/>
      <c r="Z3" s="44"/>
    </row>
    <row r="4" spans="1:26" ht="28">
      <c r="A4" s="44" t="str">
        <f>'10_Analysis_Ready'!A4</f>
        <v>R0001</v>
      </c>
      <c r="B4" s="44">
        <f>'10_Analysis_Ready'!C4</f>
        <v>2026</v>
      </c>
      <c r="C4" s="44" t="str">
        <f>'10_Analysis_Ready'!BK4</f>
        <v>HIGH</v>
      </c>
      <c r="D4" s="44" t="str">
        <f>'10_Analysis_Ready'!AF4</f>
        <v>CROSS-GENERATOR</v>
      </c>
      <c r="E4" s="44" t="str">
        <f>'10_Analysis_Ready'!AG4</f>
        <v>YES</v>
      </c>
      <c r="F4" s="44" t="str">
        <f>'10_Analysis_Ready'!AH4</f>
        <v>NO</v>
      </c>
      <c r="G4" s="44" t="str">
        <f>'10_Analysis_Ready'!AI4</f>
        <v>NO</v>
      </c>
      <c r="H4" s="44" t="str">
        <f>'10_Analysis_Ready'!AJ4</f>
        <v>NO</v>
      </c>
      <c r="I4" s="44" t="str">
        <f>'10_Analysis_Ready'!AK4</f>
        <v>NO</v>
      </c>
      <c r="J4" s="44" t="str">
        <f>'10_Analysis_Ready'!AL4</f>
        <v>NO</v>
      </c>
      <c r="K4" s="44" t="str">
        <f>'10_Analysis_Ready'!AO4</f>
        <v>NO</v>
      </c>
      <c r="L4" s="44" t="str">
        <f>'10_Analysis_Ready'!AM4</f>
        <v>ZERO-SHOT</v>
      </c>
      <c r="M4" s="44" t="str">
        <f>'10_Analysis_Ready'!BJ4</f>
        <v>YES</v>
      </c>
      <c r="N4" s="44" t="str">
        <f>'10_Analysis_Ready'!BI4</f>
        <v>YES</v>
      </c>
      <c r="O4" s="44"/>
      <c r="P4" s="44"/>
      <c r="Q4" s="44"/>
      <c r="R4" s="44"/>
      <c r="S4" s="44"/>
      <c r="T4" s="44"/>
      <c r="U4" s="44"/>
      <c r="V4" s="44"/>
      <c r="W4" s="44"/>
      <c r="X4" s="44"/>
      <c r="Y4" s="44"/>
      <c r="Z4" s="44"/>
    </row>
    <row r="5" spans="1:26" ht="14">
      <c r="A5" s="44" t="str">
        <f>'10_Analysis_Ready'!A5</f>
        <v>R0002</v>
      </c>
      <c r="B5" s="44">
        <f>'10_Analysis_Ready'!C5</f>
        <v>2026</v>
      </c>
      <c r="C5" s="44" t="str">
        <f>'10_Analysis_Ready'!BK5</f>
        <v>HIGH</v>
      </c>
      <c r="D5" s="44" t="str">
        <f>'10_Analysis_Ready'!AF5</f>
        <v>MULTIPLE</v>
      </c>
      <c r="E5" s="44" t="str">
        <f>'10_Analysis_Ready'!AG5</f>
        <v>YES</v>
      </c>
      <c r="F5" s="44" t="str">
        <f>'10_Analysis_Ready'!AH5</f>
        <v>YES</v>
      </c>
      <c r="G5" s="44" t="str">
        <f>'10_Analysis_Ready'!AI5</f>
        <v>YES</v>
      </c>
      <c r="H5" s="44" t="str">
        <f>'10_Analysis_Ready'!AJ5</f>
        <v>YES</v>
      </c>
      <c r="I5" s="44" t="str">
        <f>'10_Analysis_Ready'!AK5</f>
        <v>NO</v>
      </c>
      <c r="J5" s="44" t="str">
        <f>'10_Analysis_Ready'!AL5</f>
        <v>NO</v>
      </c>
      <c r="K5" s="44" t="str">
        <f>'10_Analysis_Ready'!AO5</f>
        <v>YES</v>
      </c>
      <c r="L5" s="44" t="str">
        <f>'10_Analysis_Ready'!AM5</f>
        <v>ZERO-SHOT</v>
      </c>
      <c r="M5" s="44" t="str">
        <f>'10_Analysis_Ready'!BJ5</f>
        <v>YES</v>
      </c>
      <c r="N5" s="44" t="str">
        <f>'10_Analysis_Ready'!BI5</f>
        <v>YES</v>
      </c>
      <c r="O5" s="44"/>
      <c r="P5" s="44"/>
      <c r="Q5" s="44"/>
      <c r="R5" s="44"/>
      <c r="S5" s="44"/>
      <c r="T5" s="44"/>
      <c r="U5" s="44"/>
      <c r="V5" s="44"/>
      <c r="W5" s="44"/>
      <c r="X5" s="44"/>
      <c r="Y5" s="44"/>
      <c r="Z5" s="44"/>
    </row>
    <row r="6" spans="1:26" ht="14">
      <c r="A6" s="44" t="str">
        <f>'10_Analysis_Ready'!A6</f>
        <v>R0003</v>
      </c>
      <c r="B6" s="44">
        <f>'10_Analysis_Ready'!C6</f>
        <v>2024</v>
      </c>
      <c r="C6" s="44" t="str">
        <f>'10_Analysis_Ready'!BK6</f>
        <v>LOW</v>
      </c>
      <c r="D6" s="44" t="str">
        <f>'10_Analysis_Ready'!AF6</f>
        <v>NONE</v>
      </c>
      <c r="E6" s="44" t="str">
        <f>'10_Analysis_Ready'!AG6</f>
        <v>NO</v>
      </c>
      <c r="F6" s="44" t="str">
        <f>'10_Analysis_Ready'!AH6</f>
        <v>NO</v>
      </c>
      <c r="G6" s="44" t="str">
        <f>'10_Analysis_Ready'!AI6</f>
        <v>NO</v>
      </c>
      <c r="H6" s="44" t="str">
        <f>'10_Analysis_Ready'!AJ6</f>
        <v>NO</v>
      </c>
      <c r="I6" s="44" t="str">
        <f>'10_Analysis_Ready'!AK6</f>
        <v>NO</v>
      </c>
      <c r="J6" s="44" t="str">
        <f>'10_Analysis_Ready'!AL6</f>
        <v>NO</v>
      </c>
      <c r="K6" s="44" t="str">
        <f>'10_Analysis_Ready'!AO6</f>
        <v>NO</v>
      </c>
      <c r="L6" s="44" t="str">
        <f>'10_Analysis_Ready'!AM6</f>
        <v>N/A</v>
      </c>
      <c r="M6" s="44" t="str">
        <f>'10_Analysis_Ready'!BJ6</f>
        <v>NO</v>
      </c>
      <c r="N6" s="44" t="str">
        <f>'10_Analysis_Ready'!BI6</f>
        <v>YES</v>
      </c>
      <c r="O6" s="44"/>
      <c r="P6" s="44"/>
      <c r="Q6" s="44"/>
      <c r="R6" s="44"/>
      <c r="S6" s="44"/>
      <c r="T6" s="44"/>
      <c r="U6" s="44"/>
      <c r="V6" s="44"/>
      <c r="W6" s="44"/>
      <c r="X6" s="44"/>
      <c r="Y6" s="44"/>
      <c r="Z6" s="44"/>
    </row>
    <row r="7" spans="1:26" ht="28">
      <c r="A7" s="44" t="str">
        <f>'10_Analysis_Ready'!A7</f>
        <v>R0004</v>
      </c>
      <c r="B7" s="44">
        <f>'10_Analysis_Ready'!C7</f>
        <v>2026</v>
      </c>
      <c r="C7" s="44" t="str">
        <f>'10_Analysis_Ready'!BK7</f>
        <v>MODERATE</v>
      </c>
      <c r="D7" s="44" t="str">
        <f>'10_Analysis_Ready'!AF7</f>
        <v>CROSS-GENERATOR</v>
      </c>
      <c r="E7" s="44" t="str">
        <f>'10_Analysis_Ready'!AG7</f>
        <v>YES</v>
      </c>
      <c r="F7" s="44" t="str">
        <f>'10_Analysis_Ready'!AH7</f>
        <v>YES</v>
      </c>
      <c r="G7" s="44" t="str">
        <f>'10_Analysis_Ready'!AI7</f>
        <v>NO</v>
      </c>
      <c r="H7" s="44" t="str">
        <f>'10_Analysis_Ready'!AJ7</f>
        <v>NO</v>
      </c>
      <c r="I7" s="44" t="str">
        <f>'10_Analysis_Ready'!AK7</f>
        <v>NO</v>
      </c>
      <c r="J7" s="44" t="str">
        <f>'10_Analysis_Ready'!AL7</f>
        <v>NO</v>
      </c>
      <c r="K7" s="44" t="str">
        <f>'10_Analysis_Ready'!AO7</f>
        <v>YES</v>
      </c>
      <c r="L7" s="44" t="str">
        <f>'10_Analysis_Ready'!AM7</f>
        <v>ZERO-SHOT</v>
      </c>
      <c r="M7" s="44" t="str">
        <f>'10_Analysis_Ready'!BJ7</f>
        <v>NO</v>
      </c>
      <c r="N7" s="44" t="str">
        <f>'10_Analysis_Ready'!BI7</f>
        <v>YES</v>
      </c>
      <c r="O7" s="44"/>
      <c r="P7" s="44"/>
      <c r="Q7" s="44"/>
      <c r="R7" s="44"/>
      <c r="S7" s="44"/>
      <c r="T7" s="44"/>
      <c r="U7" s="44"/>
      <c r="V7" s="44"/>
      <c r="W7" s="44"/>
      <c r="X7" s="44"/>
      <c r="Y7" s="44"/>
      <c r="Z7" s="44"/>
    </row>
    <row r="8" spans="1:26" ht="28">
      <c r="A8" s="44" t="str">
        <f>'10_Analysis_Ready'!A8</f>
        <v>R0005</v>
      </c>
      <c r="B8" s="44">
        <f>'10_Analysis_Ready'!C8</f>
        <v>2026</v>
      </c>
      <c r="C8" s="44" t="str">
        <f>'10_Analysis_Ready'!BK8</f>
        <v>MODERATE</v>
      </c>
      <c r="D8" s="44" t="str">
        <f>'10_Analysis_Ready'!AF8</f>
        <v>CROSS-GENERATOR</v>
      </c>
      <c r="E8" s="44" t="str">
        <f>'10_Analysis_Ready'!AG8</f>
        <v>YES</v>
      </c>
      <c r="F8" s="44" t="str">
        <f>'10_Analysis_Ready'!AH8</f>
        <v>YES</v>
      </c>
      <c r="G8" s="44" t="str">
        <f>'10_Analysis_Ready'!AI8</f>
        <v>NO</v>
      </c>
      <c r="H8" s="44" t="str">
        <f>'10_Analysis_Ready'!AJ8</f>
        <v>NO</v>
      </c>
      <c r="I8" s="44" t="str">
        <f>'10_Analysis_Ready'!AK8</f>
        <v>NO</v>
      </c>
      <c r="J8" s="44" t="str">
        <f>'10_Analysis_Ready'!AL8</f>
        <v>NO</v>
      </c>
      <c r="K8" s="44" t="str">
        <f>'10_Analysis_Ready'!AO8</f>
        <v>NO</v>
      </c>
      <c r="L8" s="44" t="str">
        <f>'10_Analysis_Ready'!AM8</f>
        <v>MIXED</v>
      </c>
      <c r="M8" s="44" t="str">
        <f>'10_Analysis_Ready'!BJ8</f>
        <v>YES</v>
      </c>
      <c r="N8" s="44" t="str">
        <f>'10_Analysis_Ready'!BI8</f>
        <v>YES</v>
      </c>
      <c r="O8" s="44"/>
      <c r="P8" s="44"/>
      <c r="Q8" s="44"/>
      <c r="R8" s="44"/>
      <c r="S8" s="44"/>
      <c r="T8" s="44"/>
      <c r="U8" s="44"/>
      <c r="V8" s="44"/>
      <c r="W8" s="44"/>
      <c r="X8" s="44"/>
      <c r="Y8" s="44"/>
      <c r="Z8" s="44"/>
    </row>
    <row r="9" spans="1:26" ht="14">
      <c r="A9" s="44" t="str">
        <f>'10_Analysis_Ready'!A9</f>
        <v>R0006</v>
      </c>
      <c r="B9" s="44">
        <f>'10_Analysis_Ready'!C9</f>
        <v>2026</v>
      </c>
      <c r="C9" s="44" t="str">
        <f>'10_Analysis_Ready'!BK9</f>
        <v>VERY HIGH</v>
      </c>
      <c r="D9" s="44" t="str">
        <f>'10_Analysis_Ready'!AF9</f>
        <v>MULTIPLE</v>
      </c>
      <c r="E9" s="44" t="str">
        <f>'10_Analysis_Ready'!AG9</f>
        <v>YES</v>
      </c>
      <c r="F9" s="44" t="str">
        <f>'10_Analysis_Ready'!AH9</f>
        <v>YES</v>
      </c>
      <c r="G9" s="44" t="str">
        <f>'10_Analysis_Ready'!AI9</f>
        <v>YES</v>
      </c>
      <c r="H9" s="44" t="str">
        <f>'10_Analysis_Ready'!AJ9</f>
        <v>YES</v>
      </c>
      <c r="I9" s="44" t="str">
        <f>'10_Analysis_Ready'!AK9</f>
        <v>NO</v>
      </c>
      <c r="J9" s="44" t="str">
        <f>'10_Analysis_Ready'!AL9</f>
        <v>NO</v>
      </c>
      <c r="K9" s="44" t="str">
        <f>'10_Analysis_Ready'!AO9</f>
        <v>YES</v>
      </c>
      <c r="L9" s="44" t="str">
        <f>'10_Analysis_Ready'!AM9</f>
        <v>ZERO-SHOT</v>
      </c>
      <c r="M9" s="44" t="str">
        <f>'10_Analysis_Ready'!BJ9</f>
        <v>YES</v>
      </c>
      <c r="N9" s="44" t="str">
        <f>'10_Analysis_Ready'!BI9</f>
        <v>YES</v>
      </c>
      <c r="O9" s="44"/>
      <c r="P9" s="44"/>
      <c r="Q9" s="44"/>
      <c r="R9" s="44"/>
      <c r="S9" s="44"/>
      <c r="T9" s="44"/>
      <c r="U9" s="44"/>
      <c r="V9" s="44"/>
      <c r="W9" s="44"/>
      <c r="X9" s="44"/>
      <c r="Y9" s="44"/>
      <c r="Z9" s="44"/>
    </row>
    <row r="10" spans="1:26" ht="14">
      <c r="A10" s="44" t="str">
        <f>'10_Analysis_Ready'!A10</f>
        <v>R0008</v>
      </c>
      <c r="B10" s="44">
        <f>'10_Analysis_Ready'!C10</f>
        <v>2026</v>
      </c>
      <c r="C10" s="44" t="str">
        <f>'10_Analysis_Ready'!BK10</f>
        <v>VERY HIGH</v>
      </c>
      <c r="D10" s="44" t="str">
        <f>'10_Analysis_Ready'!AF10</f>
        <v>MULTIPLE</v>
      </c>
      <c r="E10" s="44" t="str">
        <f>'10_Analysis_Ready'!AG10</f>
        <v>YES</v>
      </c>
      <c r="F10" s="44" t="str">
        <f>'10_Analysis_Ready'!AH10</f>
        <v>YES</v>
      </c>
      <c r="G10" s="44" t="str">
        <f>'10_Analysis_Ready'!AI10</f>
        <v>YES</v>
      </c>
      <c r="H10" s="44" t="str">
        <f>'10_Analysis_Ready'!AJ10</f>
        <v>YES</v>
      </c>
      <c r="I10" s="44" t="str">
        <f>'10_Analysis_Ready'!AK10</f>
        <v>NO</v>
      </c>
      <c r="J10" s="44" t="str">
        <f>'10_Analysis_Ready'!AL10</f>
        <v>NO</v>
      </c>
      <c r="K10" s="44" t="str">
        <f>'10_Analysis_Ready'!AO10</f>
        <v>YES</v>
      </c>
      <c r="L10" s="44" t="str">
        <f>'10_Analysis_Ready'!AM10</f>
        <v>ZERO-SHOT</v>
      </c>
      <c r="M10" s="44" t="str">
        <f>'10_Analysis_Ready'!BJ10</f>
        <v>YES</v>
      </c>
      <c r="N10" s="44" t="str">
        <f>'10_Analysis_Ready'!BI10</f>
        <v>YES</v>
      </c>
      <c r="O10" s="44"/>
      <c r="P10" s="44"/>
      <c r="Q10" s="44"/>
      <c r="R10" s="44"/>
      <c r="S10" s="44"/>
      <c r="T10" s="44"/>
      <c r="U10" s="44"/>
      <c r="V10" s="44"/>
      <c r="W10" s="44"/>
      <c r="X10" s="44"/>
      <c r="Y10" s="44"/>
      <c r="Z10" s="44"/>
    </row>
    <row r="11" spans="1:26" ht="14">
      <c r="A11" s="44" t="str">
        <f>'10_Analysis_Ready'!A11</f>
        <v>R0009</v>
      </c>
      <c r="B11" s="44">
        <f>'10_Analysis_Ready'!C11</f>
        <v>2026</v>
      </c>
      <c r="C11" s="44" t="str">
        <f>'10_Analysis_Ready'!BK11</f>
        <v>LOW</v>
      </c>
      <c r="D11" s="44" t="str">
        <f>'10_Analysis_Ready'!AF11</f>
        <v>NONE</v>
      </c>
      <c r="E11" s="44" t="str">
        <f>'10_Analysis_Ready'!AG11</f>
        <v>NO</v>
      </c>
      <c r="F11" s="44" t="str">
        <f>'10_Analysis_Ready'!AH11</f>
        <v>NO</v>
      </c>
      <c r="G11" s="44" t="str">
        <f>'10_Analysis_Ready'!AI11</f>
        <v>NO</v>
      </c>
      <c r="H11" s="44" t="str">
        <f>'10_Analysis_Ready'!AJ11</f>
        <v>NO</v>
      </c>
      <c r="I11" s="44" t="str">
        <f>'10_Analysis_Ready'!AK11</f>
        <v>NO</v>
      </c>
      <c r="J11" s="44" t="str">
        <f>'10_Analysis_Ready'!AL11</f>
        <v>NO</v>
      </c>
      <c r="K11" s="44" t="str">
        <f>'10_Analysis_Ready'!AO11</f>
        <v>YES</v>
      </c>
      <c r="L11" s="44" t="str">
        <f>'10_Analysis_Ready'!AM11</f>
        <v>N/A</v>
      </c>
      <c r="M11" s="44" t="str">
        <f>'10_Analysis_Ready'!BJ11</f>
        <v>NO</v>
      </c>
      <c r="N11" s="44" t="str">
        <f>'10_Analysis_Ready'!BI11</f>
        <v>YES</v>
      </c>
      <c r="O11" s="44"/>
      <c r="P11" s="44"/>
      <c r="Q11" s="44"/>
      <c r="R11" s="44"/>
      <c r="S11" s="44"/>
      <c r="T11" s="44"/>
      <c r="U11" s="44"/>
      <c r="V11" s="44"/>
      <c r="W11" s="44"/>
      <c r="X11" s="44"/>
      <c r="Y11" s="44"/>
      <c r="Z11" s="44"/>
    </row>
    <row r="12" spans="1:26" ht="14">
      <c r="A12" s="44" t="str">
        <f>'10_Analysis_Ready'!A12</f>
        <v>R0010</v>
      </c>
      <c r="B12" s="44">
        <f>'10_Analysis_Ready'!C12</f>
        <v>2024</v>
      </c>
      <c r="C12" s="44" t="str">
        <f>'10_Analysis_Ready'!BK12</f>
        <v>VERY HIGH</v>
      </c>
      <c r="D12" s="44" t="str">
        <f>'10_Analysis_Ready'!AF12</f>
        <v>MULTIPLE</v>
      </c>
      <c r="E12" s="44" t="str">
        <f>'10_Analysis_Ready'!AG12</f>
        <v>YES</v>
      </c>
      <c r="F12" s="44" t="str">
        <f>'10_Analysis_Ready'!AH12</f>
        <v>YES</v>
      </c>
      <c r="G12" s="44" t="str">
        <f>'10_Analysis_Ready'!AI12</f>
        <v>YES</v>
      </c>
      <c r="H12" s="44" t="str">
        <f>'10_Analysis_Ready'!AJ12</f>
        <v>NO</v>
      </c>
      <c r="I12" s="44" t="str">
        <f>'10_Analysis_Ready'!AK12</f>
        <v>NO</v>
      </c>
      <c r="J12" s="44" t="str">
        <f>'10_Analysis_Ready'!AL12</f>
        <v>NO</v>
      </c>
      <c r="K12" s="44" t="str">
        <f>'10_Analysis_Ready'!AO12</f>
        <v>YES</v>
      </c>
      <c r="L12" s="44" t="str">
        <f>'10_Analysis_Ready'!AM12</f>
        <v>ZERO-SHOT</v>
      </c>
      <c r="M12" s="44" t="str">
        <f>'10_Analysis_Ready'!BJ12</f>
        <v>YES</v>
      </c>
      <c r="N12" s="44" t="str">
        <f>'10_Analysis_Ready'!BI12</f>
        <v>YES</v>
      </c>
      <c r="O12" s="44"/>
      <c r="P12" s="44"/>
      <c r="Q12" s="44"/>
      <c r="R12" s="44"/>
      <c r="S12" s="44"/>
      <c r="T12" s="44"/>
      <c r="U12" s="44"/>
      <c r="V12" s="44"/>
      <c r="W12" s="44"/>
      <c r="X12" s="44"/>
      <c r="Y12" s="44"/>
      <c r="Z12" s="44"/>
    </row>
    <row r="13" spans="1:26" ht="14">
      <c r="A13" s="44" t="str">
        <f>'10_Analysis_Ready'!A13</f>
        <v>R0012</v>
      </c>
      <c r="B13" s="44">
        <f>'10_Analysis_Ready'!C13</f>
        <v>2026</v>
      </c>
      <c r="C13" s="44" t="str">
        <f>'10_Analysis_Ready'!BK13</f>
        <v>HIGH</v>
      </c>
      <c r="D13" s="44" t="str">
        <f>'10_Analysis_Ready'!AF13</f>
        <v>MULTIPLE</v>
      </c>
      <c r="E13" s="44" t="str">
        <f>'10_Analysis_Ready'!AG13</f>
        <v>YES</v>
      </c>
      <c r="F13" s="44" t="str">
        <f>'10_Analysis_Ready'!AH13</f>
        <v>YES</v>
      </c>
      <c r="G13" s="44" t="str">
        <f>'10_Analysis_Ready'!AI13</f>
        <v>YES</v>
      </c>
      <c r="H13" s="44" t="str">
        <f>'10_Analysis_Ready'!AJ13</f>
        <v>YES</v>
      </c>
      <c r="I13" s="44" t="str">
        <f>'10_Analysis_Ready'!AK13</f>
        <v>NO</v>
      </c>
      <c r="J13" s="44" t="str">
        <f>'10_Analysis_Ready'!AL13</f>
        <v>NO</v>
      </c>
      <c r="K13" s="44" t="str">
        <f>'10_Analysis_Ready'!AO13</f>
        <v>NO</v>
      </c>
      <c r="L13" s="44" t="str">
        <f>'10_Analysis_Ready'!AM13</f>
        <v>ZERO-SHOT</v>
      </c>
      <c r="M13" s="44" t="str">
        <f>'10_Analysis_Ready'!BJ13</f>
        <v>YES</v>
      </c>
      <c r="N13" s="44" t="str">
        <f>'10_Analysis_Ready'!BI13</f>
        <v>YES</v>
      </c>
      <c r="O13" s="44"/>
      <c r="P13" s="44"/>
      <c r="Q13" s="44"/>
      <c r="R13" s="44"/>
      <c r="S13" s="44"/>
      <c r="T13" s="44"/>
      <c r="U13" s="44"/>
      <c r="V13" s="44"/>
      <c r="W13" s="44"/>
      <c r="X13" s="44"/>
      <c r="Y13" s="44"/>
      <c r="Z13" s="44"/>
    </row>
    <row r="14" spans="1:26" ht="28">
      <c r="A14" s="44" t="str">
        <f>'10_Analysis_Ready'!A14</f>
        <v>R0013</v>
      </c>
      <c r="B14" s="44">
        <f>'10_Analysis_Ready'!C14</f>
        <v>2026</v>
      </c>
      <c r="C14" s="44" t="str">
        <f>'10_Analysis_Ready'!BK14</f>
        <v>MODERATE</v>
      </c>
      <c r="D14" s="44" t="str">
        <f>'10_Analysis_Ready'!AF14</f>
        <v>CROSS-GENERATOR</v>
      </c>
      <c r="E14" s="44" t="str">
        <f>'10_Analysis_Ready'!AG14</f>
        <v>YES</v>
      </c>
      <c r="F14" s="44" t="str">
        <f>'10_Analysis_Ready'!AH14</f>
        <v>YES</v>
      </c>
      <c r="G14" s="44" t="str">
        <f>'10_Analysis_Ready'!AI14</f>
        <v>NO</v>
      </c>
      <c r="H14" s="44" t="str">
        <f>'10_Analysis_Ready'!AJ14</f>
        <v>NO</v>
      </c>
      <c r="I14" s="44" t="str">
        <f>'10_Analysis_Ready'!AK14</f>
        <v>NO</v>
      </c>
      <c r="J14" s="44" t="str">
        <f>'10_Analysis_Ready'!AL14</f>
        <v>NO</v>
      </c>
      <c r="K14" s="44" t="str">
        <f>'10_Analysis_Ready'!AO14</f>
        <v>YES</v>
      </c>
      <c r="L14" s="44" t="str">
        <f>'10_Analysis_Ready'!AM14</f>
        <v>ZERO-SHOT</v>
      </c>
      <c r="M14" s="44" t="str">
        <f>'10_Analysis_Ready'!BJ14</f>
        <v>NO</v>
      </c>
      <c r="N14" s="44" t="str">
        <f>'10_Analysis_Ready'!BI14</f>
        <v>NO</v>
      </c>
      <c r="O14" s="44"/>
      <c r="P14" s="44"/>
      <c r="Q14" s="44"/>
      <c r="R14" s="44"/>
      <c r="S14" s="44"/>
      <c r="T14" s="44"/>
      <c r="U14" s="44"/>
      <c r="V14" s="44"/>
      <c r="W14" s="44"/>
      <c r="X14" s="44"/>
      <c r="Y14" s="44"/>
      <c r="Z14" s="44"/>
    </row>
    <row r="15" spans="1:26" ht="28">
      <c r="A15" s="44" t="str">
        <f>'10_Analysis_Ready'!A15</f>
        <v>R0014</v>
      </c>
      <c r="B15" s="44">
        <f>'10_Analysis_Ready'!C15</f>
        <v>2026</v>
      </c>
      <c r="C15" s="44" t="str">
        <f>'10_Analysis_Ready'!BK15</f>
        <v>MODERATE</v>
      </c>
      <c r="D15" s="44" t="str">
        <f>'10_Analysis_Ready'!AF15</f>
        <v>CROSS-GENERATOR</v>
      </c>
      <c r="E15" s="44" t="str">
        <f>'10_Analysis_Ready'!AG15</f>
        <v>YES</v>
      </c>
      <c r="F15" s="44" t="str">
        <f>'10_Analysis_Ready'!AH15</f>
        <v>NO</v>
      </c>
      <c r="G15" s="44" t="str">
        <f>'10_Analysis_Ready'!AI15</f>
        <v>NO</v>
      </c>
      <c r="H15" s="44" t="str">
        <f>'10_Analysis_Ready'!AJ15</f>
        <v>NO</v>
      </c>
      <c r="I15" s="44" t="str">
        <f>'10_Analysis_Ready'!AK15</f>
        <v>NO</v>
      </c>
      <c r="J15" s="44" t="str">
        <f>'10_Analysis_Ready'!AL15</f>
        <v>NO</v>
      </c>
      <c r="K15" s="44" t="str">
        <f>'10_Analysis_Ready'!AO15</f>
        <v>YES</v>
      </c>
      <c r="L15" s="44" t="str">
        <f>'10_Analysis_Ready'!AM15</f>
        <v>MIXED</v>
      </c>
      <c r="M15" s="44" t="str">
        <f>'10_Analysis_Ready'!BJ15</f>
        <v>YES</v>
      </c>
      <c r="N15" s="44" t="str">
        <f>'10_Analysis_Ready'!BI15</f>
        <v>YES</v>
      </c>
      <c r="O15" s="44"/>
      <c r="P15" s="44"/>
      <c r="Q15" s="44"/>
      <c r="R15" s="44"/>
      <c r="S15" s="44"/>
      <c r="T15" s="44"/>
      <c r="U15" s="44"/>
      <c r="V15" s="44"/>
      <c r="W15" s="44"/>
      <c r="X15" s="44"/>
      <c r="Y15" s="44"/>
      <c r="Z15" s="44"/>
    </row>
    <row r="16" spans="1:26" ht="14">
      <c r="A16" s="44" t="str">
        <f>'10_Analysis_Ready'!A16</f>
        <v>R0016</v>
      </c>
      <c r="B16" s="44">
        <f>'10_Analysis_Ready'!C16</f>
        <v>2025</v>
      </c>
      <c r="C16" s="44" t="str">
        <f>'10_Analysis_Ready'!BK16</f>
        <v>MODERATE</v>
      </c>
      <c r="D16" s="44" t="str">
        <f>'10_Analysis_Ready'!AF16</f>
        <v>MULTIPLE</v>
      </c>
      <c r="E16" s="44" t="str">
        <f>'10_Analysis_Ready'!AG16</f>
        <v>YES</v>
      </c>
      <c r="F16" s="44" t="str">
        <f>'10_Analysis_Ready'!AH16</f>
        <v>NO</v>
      </c>
      <c r="G16" s="44" t="str">
        <f>'10_Analysis_Ready'!AI16</f>
        <v>YES</v>
      </c>
      <c r="H16" s="44" t="str">
        <f>'10_Analysis_Ready'!AJ16</f>
        <v>NO</v>
      </c>
      <c r="I16" s="44" t="str">
        <f>'10_Analysis_Ready'!AK16</f>
        <v>NO</v>
      </c>
      <c r="J16" s="44" t="str">
        <f>'10_Analysis_Ready'!AL16</f>
        <v>NO</v>
      </c>
      <c r="K16" s="44" t="str">
        <f>'10_Analysis_Ready'!AO16</f>
        <v>NO</v>
      </c>
      <c r="L16" s="44" t="str">
        <f>'10_Analysis_Ready'!AM16</f>
        <v>ZERO-SHOT</v>
      </c>
      <c r="M16" s="44" t="str">
        <f>'10_Analysis_Ready'!BJ16</f>
        <v>YES</v>
      </c>
      <c r="N16" s="44" t="str">
        <f>'10_Analysis_Ready'!BI16</f>
        <v>YES</v>
      </c>
      <c r="O16" s="44"/>
      <c r="P16" s="44"/>
      <c r="Q16" s="44"/>
      <c r="R16" s="44"/>
      <c r="S16" s="44"/>
      <c r="T16" s="44"/>
      <c r="U16" s="44"/>
      <c r="V16" s="44"/>
      <c r="W16" s="44"/>
      <c r="X16" s="44"/>
      <c r="Y16" s="44"/>
      <c r="Z16" s="44"/>
    </row>
    <row r="17" spans="1:26" ht="14">
      <c r="A17" s="44" t="str">
        <f>'10_Analysis_Ready'!A17</f>
        <v>R0017</v>
      </c>
      <c r="B17" s="44">
        <f>'10_Analysis_Ready'!C17</f>
        <v>2024</v>
      </c>
      <c r="C17" s="44" t="str">
        <f>'10_Analysis_Ready'!BK17</f>
        <v>HIGH</v>
      </c>
      <c r="D17" s="44" t="str">
        <f>'10_Analysis_Ready'!AF17</f>
        <v>MULTIPLE</v>
      </c>
      <c r="E17" s="44" t="str">
        <f>'10_Analysis_Ready'!AG17</f>
        <v>YES</v>
      </c>
      <c r="F17" s="44" t="str">
        <f>'10_Analysis_Ready'!AH17</f>
        <v>NO</v>
      </c>
      <c r="G17" s="44" t="str">
        <f>'10_Analysis_Ready'!AI17</f>
        <v>NO</v>
      </c>
      <c r="H17" s="44" t="str">
        <f>'10_Analysis_Ready'!AJ17</f>
        <v>YES</v>
      </c>
      <c r="I17" s="44" t="str">
        <f>'10_Analysis_Ready'!AK17</f>
        <v>NO</v>
      </c>
      <c r="J17" s="44" t="str">
        <f>'10_Analysis_Ready'!AL17</f>
        <v>NO</v>
      </c>
      <c r="K17" s="44" t="str">
        <f>'10_Analysis_Ready'!AO17</f>
        <v>YES</v>
      </c>
      <c r="L17" s="44" t="str">
        <f>'10_Analysis_Ready'!AM17</f>
        <v>ZERO-SHOT</v>
      </c>
      <c r="M17" s="44" t="str">
        <f>'10_Analysis_Ready'!BJ17</f>
        <v>YES</v>
      </c>
      <c r="N17" s="44" t="str">
        <f>'10_Analysis_Ready'!BI17</f>
        <v>YES</v>
      </c>
      <c r="O17" s="44"/>
      <c r="P17" s="44"/>
      <c r="Q17" s="44"/>
      <c r="R17" s="44"/>
      <c r="S17" s="44"/>
      <c r="T17" s="44"/>
      <c r="U17" s="44"/>
      <c r="V17" s="44"/>
      <c r="W17" s="44"/>
      <c r="X17" s="44"/>
      <c r="Y17" s="44"/>
      <c r="Z17" s="44"/>
    </row>
    <row r="18" spans="1:26" ht="14">
      <c r="A18" s="44" t="str">
        <f>'10_Analysis_Ready'!A18</f>
        <v>R0018</v>
      </c>
      <c r="B18" s="44">
        <f>'10_Analysis_Ready'!C18</f>
        <v>2026</v>
      </c>
      <c r="C18" s="44" t="str">
        <f>'10_Analysis_Ready'!BK18</f>
        <v>HIGH</v>
      </c>
      <c r="D18" s="44" t="str">
        <f>'10_Analysis_Ready'!AF18</f>
        <v>MULTIPLE</v>
      </c>
      <c r="E18" s="44" t="str">
        <f>'10_Analysis_Ready'!AG18</f>
        <v>YES</v>
      </c>
      <c r="F18" s="44" t="str">
        <f>'10_Analysis_Ready'!AH18</f>
        <v>YES</v>
      </c>
      <c r="G18" s="44" t="str">
        <f>'10_Analysis_Ready'!AI18</f>
        <v>YES</v>
      </c>
      <c r="H18" s="44" t="str">
        <f>'10_Analysis_Ready'!AJ18</f>
        <v>YES</v>
      </c>
      <c r="I18" s="44" t="str">
        <f>'10_Analysis_Ready'!AK18</f>
        <v>NO</v>
      </c>
      <c r="J18" s="44" t="str">
        <f>'10_Analysis_Ready'!AL18</f>
        <v>NO</v>
      </c>
      <c r="K18" s="44" t="str">
        <f>'10_Analysis_Ready'!AO18</f>
        <v>YES</v>
      </c>
      <c r="L18" s="44" t="str">
        <f>'10_Analysis_Ready'!AM18</f>
        <v>ZERO-SHOT</v>
      </c>
      <c r="M18" s="44" t="str">
        <f>'10_Analysis_Ready'!BJ18</f>
        <v>YES</v>
      </c>
      <c r="N18" s="44" t="str">
        <f>'10_Analysis_Ready'!BI18</f>
        <v>YES</v>
      </c>
      <c r="O18" s="44"/>
      <c r="P18" s="44"/>
      <c r="Q18" s="44"/>
      <c r="R18" s="44"/>
      <c r="S18" s="44"/>
      <c r="T18" s="44"/>
      <c r="U18" s="44"/>
      <c r="V18" s="44"/>
      <c r="W18" s="44"/>
      <c r="X18" s="44"/>
      <c r="Y18" s="44"/>
      <c r="Z18" s="44"/>
    </row>
    <row r="19" spans="1:26" ht="28">
      <c r="A19" s="44" t="str">
        <f>'10_Analysis_Ready'!A19</f>
        <v>R0019</v>
      </c>
      <c r="B19" s="44">
        <f>'10_Analysis_Ready'!C19</f>
        <v>2022</v>
      </c>
      <c r="C19" s="44" t="str">
        <f>'10_Analysis_Ready'!BK19</f>
        <v>HIGH</v>
      </c>
      <c r="D19" s="44" t="str">
        <f>'10_Analysis_Ready'!AF19</f>
        <v>CROSS-GENERATOR</v>
      </c>
      <c r="E19" s="44" t="str">
        <f>'10_Analysis_Ready'!AG19</f>
        <v>YES</v>
      </c>
      <c r="F19" s="44" t="str">
        <f>'10_Analysis_Ready'!AH19</f>
        <v>NO</v>
      </c>
      <c r="G19" s="44" t="str">
        <f>'10_Analysis_Ready'!AI19</f>
        <v>NO</v>
      </c>
      <c r="H19" s="44" t="str">
        <f>'10_Analysis_Ready'!AJ19</f>
        <v>NO</v>
      </c>
      <c r="I19" s="44" t="str">
        <f>'10_Analysis_Ready'!AK19</f>
        <v>NO</v>
      </c>
      <c r="J19" s="44" t="str">
        <f>'10_Analysis_Ready'!AL19</f>
        <v>NO</v>
      </c>
      <c r="K19" s="44" t="str">
        <f>'10_Analysis_Ready'!AO19</f>
        <v>YES</v>
      </c>
      <c r="L19" s="44" t="str">
        <f>'10_Analysis_Ready'!AM19</f>
        <v>ZERO-SHOT</v>
      </c>
      <c r="M19" s="44" t="str">
        <f>'10_Analysis_Ready'!BJ19</f>
        <v>YES</v>
      </c>
      <c r="N19" s="44" t="str">
        <f>'10_Analysis_Ready'!BI19</f>
        <v>YES</v>
      </c>
      <c r="O19" s="44"/>
      <c r="P19" s="44"/>
      <c r="Q19" s="44"/>
      <c r="R19" s="44"/>
      <c r="S19" s="44"/>
      <c r="T19" s="44"/>
      <c r="U19" s="44"/>
      <c r="V19" s="44"/>
      <c r="W19" s="44"/>
      <c r="X19" s="44"/>
      <c r="Y19" s="44"/>
      <c r="Z19" s="44"/>
    </row>
    <row r="20" spans="1:26" ht="14">
      <c r="A20" s="44" t="str">
        <f>'10_Analysis_Ready'!A20</f>
        <v>R0020</v>
      </c>
      <c r="B20" s="44">
        <f>'10_Analysis_Ready'!C20</f>
        <v>2026</v>
      </c>
      <c r="C20" s="44" t="str">
        <f>'10_Analysis_Ready'!BK20</f>
        <v>MODERATE</v>
      </c>
      <c r="D20" s="44" t="str">
        <f>'10_Analysis_Ready'!AF20</f>
        <v>MULTIPLE</v>
      </c>
      <c r="E20" s="44" t="str">
        <f>'10_Analysis_Ready'!AG20</f>
        <v>UNCLEAR</v>
      </c>
      <c r="F20" s="44" t="str">
        <f>'10_Analysis_Ready'!AH20</f>
        <v>NO</v>
      </c>
      <c r="G20" s="44" t="str">
        <f>'10_Analysis_Ready'!AI20</f>
        <v>YES</v>
      </c>
      <c r="H20" s="44" t="str">
        <f>'10_Analysis_Ready'!AJ20</f>
        <v>YES</v>
      </c>
      <c r="I20" s="44" t="str">
        <f>'10_Analysis_Ready'!AK20</f>
        <v>NO</v>
      </c>
      <c r="J20" s="44" t="str">
        <f>'10_Analysis_Ready'!AL20</f>
        <v>NO</v>
      </c>
      <c r="K20" s="44" t="str">
        <f>'10_Analysis_Ready'!AO20</f>
        <v>YES</v>
      </c>
      <c r="L20" s="44" t="str">
        <f>'10_Analysis_Ready'!AM20</f>
        <v>MIXED</v>
      </c>
      <c r="M20" s="44" t="str">
        <f>'10_Analysis_Ready'!BJ20</f>
        <v>YES</v>
      </c>
      <c r="N20" s="44" t="str">
        <f>'10_Analysis_Ready'!BI20</f>
        <v>YES</v>
      </c>
      <c r="O20" s="44"/>
      <c r="P20" s="44"/>
      <c r="Q20" s="44"/>
      <c r="R20" s="44"/>
      <c r="S20" s="44"/>
      <c r="T20" s="44"/>
      <c r="U20" s="44"/>
      <c r="V20" s="44"/>
      <c r="W20" s="44"/>
      <c r="X20" s="44"/>
      <c r="Y20" s="44"/>
      <c r="Z20" s="44"/>
    </row>
    <row r="21" spans="1:26" ht="15.75" customHeight="1">
      <c r="A21" s="44" t="str">
        <f>'10_Analysis_Ready'!A21</f>
        <v>R0023</v>
      </c>
      <c r="B21" s="44">
        <f>'10_Analysis_Ready'!C21</f>
        <v>2026</v>
      </c>
      <c r="C21" s="44" t="str">
        <f>'10_Analysis_Ready'!BK21</f>
        <v>MODERATE</v>
      </c>
      <c r="D21" s="44" t="str">
        <f>'10_Analysis_Ready'!AF21</f>
        <v>MULTIPLE</v>
      </c>
      <c r="E21" s="44" t="str">
        <f>'10_Analysis_Ready'!AG21</f>
        <v>YES</v>
      </c>
      <c r="F21" s="44" t="str">
        <f>'10_Analysis_Ready'!AH21</f>
        <v>YES</v>
      </c>
      <c r="G21" s="44" t="str">
        <f>'10_Analysis_Ready'!AI21</f>
        <v>YES</v>
      </c>
      <c r="H21" s="44" t="str">
        <f>'10_Analysis_Ready'!AJ21</f>
        <v>NO</v>
      </c>
      <c r="I21" s="44" t="str">
        <f>'10_Analysis_Ready'!AK21</f>
        <v>NO</v>
      </c>
      <c r="J21" s="44" t="str">
        <f>'10_Analysis_Ready'!AL21</f>
        <v>NO</v>
      </c>
      <c r="K21" s="44" t="str">
        <f>'10_Analysis_Ready'!AO21</f>
        <v>YES</v>
      </c>
      <c r="L21" s="44" t="str">
        <f>'10_Analysis_Ready'!AM21</f>
        <v>ZERO-SHOT</v>
      </c>
      <c r="M21" s="44" t="str">
        <f>'10_Analysis_Ready'!BJ21</f>
        <v>YES</v>
      </c>
      <c r="N21" s="44" t="str">
        <f>'10_Analysis_Ready'!BI21</f>
        <v>YES</v>
      </c>
      <c r="O21" s="44"/>
      <c r="P21" s="44"/>
      <c r="Q21" s="44"/>
      <c r="R21" s="44"/>
      <c r="S21" s="44"/>
      <c r="T21" s="44"/>
      <c r="U21" s="44"/>
      <c r="V21" s="44"/>
      <c r="W21" s="44"/>
      <c r="X21" s="44"/>
      <c r="Y21" s="44"/>
      <c r="Z21" s="44"/>
    </row>
    <row r="22" spans="1:26" ht="15.75" customHeight="1">
      <c r="A22" s="44" t="str">
        <f>'10_Analysis_Ready'!A22</f>
        <v>R0027</v>
      </c>
      <c r="B22" s="44">
        <f>'10_Analysis_Ready'!C22</f>
        <v>2025</v>
      </c>
      <c r="C22" s="44" t="str">
        <f>'10_Analysis_Ready'!BK22</f>
        <v>LOW</v>
      </c>
      <c r="D22" s="44" t="str">
        <f>'10_Analysis_Ready'!AF22</f>
        <v>NONE</v>
      </c>
      <c r="E22" s="44" t="str">
        <f>'10_Analysis_Ready'!AG22</f>
        <v>NO</v>
      </c>
      <c r="F22" s="44" t="str">
        <f>'10_Analysis_Ready'!AH22</f>
        <v>NO</v>
      </c>
      <c r="G22" s="44" t="str">
        <f>'10_Analysis_Ready'!AI22</f>
        <v>NO</v>
      </c>
      <c r="H22" s="44" t="str">
        <f>'10_Analysis_Ready'!AJ22</f>
        <v>NO</v>
      </c>
      <c r="I22" s="44" t="str">
        <f>'10_Analysis_Ready'!AK22</f>
        <v>NO</v>
      </c>
      <c r="J22" s="44" t="str">
        <f>'10_Analysis_Ready'!AL22</f>
        <v>NO</v>
      </c>
      <c r="K22" s="44" t="str">
        <f>'10_Analysis_Ready'!AO22</f>
        <v>NO</v>
      </c>
      <c r="L22" s="44" t="str">
        <f>'10_Analysis_Ready'!AM22</f>
        <v>N/A</v>
      </c>
      <c r="M22" s="44" t="str">
        <f>'10_Analysis_Ready'!BJ22</f>
        <v>NO</v>
      </c>
      <c r="N22" s="44" t="str">
        <f>'10_Analysis_Ready'!BI22</f>
        <v>YES</v>
      </c>
      <c r="O22" s="44"/>
      <c r="P22" s="44"/>
      <c r="Q22" s="44"/>
      <c r="R22" s="44"/>
      <c r="S22" s="44"/>
      <c r="T22" s="44"/>
      <c r="U22" s="44"/>
      <c r="V22" s="44"/>
      <c r="W22" s="44"/>
      <c r="X22" s="44"/>
      <c r="Y22" s="44"/>
      <c r="Z22" s="44"/>
    </row>
    <row r="23" spans="1:26" ht="15.75" customHeight="1">
      <c r="A23" s="44" t="str">
        <f>'10_Analysis_Ready'!A23</f>
        <v>R0029</v>
      </c>
      <c r="B23" s="44">
        <f>'10_Analysis_Ready'!C23</f>
        <v>2025</v>
      </c>
      <c r="C23" s="44" t="str">
        <f>'10_Analysis_Ready'!BK23</f>
        <v>MODERATE</v>
      </c>
      <c r="D23" s="44" t="str">
        <f>'10_Analysis_Ready'!AF23</f>
        <v>MULTIPLE</v>
      </c>
      <c r="E23" s="44" t="str">
        <f>'10_Analysis_Ready'!AG23</f>
        <v>YES</v>
      </c>
      <c r="F23" s="44" t="str">
        <f>'10_Analysis_Ready'!AH23</f>
        <v>YES</v>
      </c>
      <c r="G23" s="44" t="str">
        <f>'10_Analysis_Ready'!AI23</f>
        <v>YES</v>
      </c>
      <c r="H23" s="44" t="str">
        <f>'10_Analysis_Ready'!AJ23</f>
        <v>YES</v>
      </c>
      <c r="I23" s="44" t="str">
        <f>'10_Analysis_Ready'!AK23</f>
        <v>YES</v>
      </c>
      <c r="J23" s="44" t="str">
        <f>'10_Analysis_Ready'!AL23</f>
        <v>NO</v>
      </c>
      <c r="K23" s="44" t="str">
        <f>'10_Analysis_Ready'!AO23</f>
        <v>YES</v>
      </c>
      <c r="L23" s="44" t="str">
        <f>'10_Analysis_Ready'!AM23</f>
        <v>ZERO-SHOT</v>
      </c>
      <c r="M23" s="44" t="str">
        <f>'10_Analysis_Ready'!BJ23</f>
        <v>YES</v>
      </c>
      <c r="N23" s="44" t="str">
        <f>'10_Analysis_Ready'!BI23</f>
        <v>YES</v>
      </c>
      <c r="O23" s="44"/>
      <c r="P23" s="44"/>
      <c r="Q23" s="44"/>
      <c r="R23" s="44"/>
      <c r="S23" s="44"/>
      <c r="T23" s="44"/>
      <c r="U23" s="44"/>
      <c r="V23" s="44"/>
      <c r="W23" s="44"/>
      <c r="X23" s="44"/>
      <c r="Y23" s="44"/>
      <c r="Z23" s="44"/>
    </row>
    <row r="24" spans="1:26" ht="15.75" customHeight="1">
      <c r="A24" s="44" t="str">
        <f>'10_Analysis_Ready'!A24</f>
        <v>R0031</v>
      </c>
      <c r="B24" s="44">
        <f>'10_Analysis_Ready'!C24</f>
        <v>2026</v>
      </c>
      <c r="C24" s="44" t="str">
        <f>'10_Analysis_Ready'!BK24</f>
        <v>VERY HIGH</v>
      </c>
      <c r="D24" s="44" t="str">
        <f>'10_Analysis_Ready'!AF24</f>
        <v>MULTIPLE</v>
      </c>
      <c r="E24" s="44" t="str">
        <f>'10_Analysis_Ready'!AG24</f>
        <v>YES</v>
      </c>
      <c r="F24" s="44" t="str">
        <f>'10_Analysis_Ready'!AH24</f>
        <v>YES</v>
      </c>
      <c r="G24" s="44" t="str">
        <f>'10_Analysis_Ready'!AI24</f>
        <v>YES</v>
      </c>
      <c r="H24" s="44" t="str">
        <f>'10_Analysis_Ready'!AJ24</f>
        <v>YES</v>
      </c>
      <c r="I24" s="44" t="str">
        <f>'10_Analysis_Ready'!AK24</f>
        <v>NO</v>
      </c>
      <c r="J24" s="44" t="str">
        <f>'10_Analysis_Ready'!AL24</f>
        <v>NO</v>
      </c>
      <c r="K24" s="44" t="str">
        <f>'10_Analysis_Ready'!AO24</f>
        <v>YES</v>
      </c>
      <c r="L24" s="44" t="str">
        <f>'10_Analysis_Ready'!AM24</f>
        <v>ZERO-SHOT</v>
      </c>
      <c r="M24" s="44" t="str">
        <f>'10_Analysis_Ready'!BJ24</f>
        <v>YES</v>
      </c>
      <c r="N24" s="44" t="str">
        <f>'10_Analysis_Ready'!BI24</f>
        <v>YES</v>
      </c>
      <c r="O24" s="44"/>
      <c r="P24" s="44"/>
      <c r="Q24" s="44"/>
      <c r="R24" s="44"/>
      <c r="S24" s="44"/>
      <c r="T24" s="44"/>
      <c r="U24" s="44"/>
      <c r="V24" s="44"/>
      <c r="W24" s="44"/>
      <c r="X24" s="44"/>
      <c r="Y24" s="44"/>
      <c r="Z24" s="44"/>
    </row>
    <row r="25" spans="1:26" ht="15.75" customHeight="1">
      <c r="A25" s="44" t="str">
        <f>'10_Analysis_Ready'!A25</f>
        <v>R0032</v>
      </c>
      <c r="B25" s="44">
        <f>'10_Analysis_Ready'!C25</f>
        <v>2026</v>
      </c>
      <c r="C25" s="44" t="str">
        <f>'10_Analysis_Ready'!BK25</f>
        <v>VERY HIGH</v>
      </c>
      <c r="D25" s="44" t="str">
        <f>'10_Analysis_Ready'!AF25</f>
        <v>MULTIPLE</v>
      </c>
      <c r="E25" s="44" t="str">
        <f>'10_Analysis_Ready'!AG25</f>
        <v>YES</v>
      </c>
      <c r="F25" s="44" t="str">
        <f>'10_Analysis_Ready'!AH25</f>
        <v>YES</v>
      </c>
      <c r="G25" s="44" t="str">
        <f>'10_Analysis_Ready'!AI25</f>
        <v>YES</v>
      </c>
      <c r="H25" s="44" t="str">
        <f>'10_Analysis_Ready'!AJ25</f>
        <v>YES</v>
      </c>
      <c r="I25" s="44" t="str">
        <f>'10_Analysis_Ready'!AK25</f>
        <v>NO</v>
      </c>
      <c r="J25" s="44" t="str">
        <f>'10_Analysis_Ready'!AL25</f>
        <v>NO</v>
      </c>
      <c r="K25" s="44" t="str">
        <f>'10_Analysis_Ready'!AO25</f>
        <v>YES</v>
      </c>
      <c r="L25" s="44" t="str">
        <f>'10_Analysis_Ready'!AM25</f>
        <v>ZERO-SHOT</v>
      </c>
      <c r="M25" s="44" t="str">
        <f>'10_Analysis_Ready'!BJ25</f>
        <v>YES</v>
      </c>
      <c r="N25" s="44" t="str">
        <f>'10_Analysis_Ready'!BI25</f>
        <v>YES</v>
      </c>
      <c r="O25" s="44"/>
      <c r="P25" s="44"/>
      <c r="Q25" s="44"/>
      <c r="R25" s="44"/>
      <c r="S25" s="44"/>
      <c r="T25" s="44"/>
      <c r="U25" s="44"/>
      <c r="V25" s="44"/>
      <c r="W25" s="44"/>
      <c r="X25" s="44"/>
      <c r="Y25" s="44"/>
      <c r="Z25" s="44"/>
    </row>
    <row r="26" spans="1:26" ht="15.75" customHeight="1">
      <c r="A26" s="44" t="str">
        <f>'10_Analysis_Ready'!A26</f>
        <v>R0034</v>
      </c>
      <c r="B26" s="44">
        <f>'10_Analysis_Ready'!C26</f>
        <v>2026</v>
      </c>
      <c r="C26" s="44" t="str">
        <f>'10_Analysis_Ready'!BK26</f>
        <v>MODERATE</v>
      </c>
      <c r="D26" s="44" t="str">
        <f>'10_Analysis_Ready'!AF26</f>
        <v>MULTIPLE</v>
      </c>
      <c r="E26" s="44" t="str">
        <f>'10_Analysis_Ready'!AG26</f>
        <v>YES</v>
      </c>
      <c r="F26" s="44" t="str">
        <f>'10_Analysis_Ready'!AH26</f>
        <v>NO</v>
      </c>
      <c r="G26" s="44" t="str">
        <f>'10_Analysis_Ready'!AI26</f>
        <v>YES</v>
      </c>
      <c r="H26" s="44" t="str">
        <f>'10_Analysis_Ready'!AJ26</f>
        <v>YES</v>
      </c>
      <c r="I26" s="44" t="str">
        <f>'10_Analysis_Ready'!AK26</f>
        <v>YES</v>
      </c>
      <c r="J26" s="44" t="str">
        <f>'10_Analysis_Ready'!AL26</f>
        <v>NO</v>
      </c>
      <c r="K26" s="44" t="str">
        <f>'10_Analysis_Ready'!AO26</f>
        <v>YES</v>
      </c>
      <c r="L26" s="44" t="str">
        <f>'10_Analysis_Ready'!AM26</f>
        <v>ZERO-SHOT</v>
      </c>
      <c r="M26" s="44" t="str">
        <f>'10_Analysis_Ready'!BJ26</f>
        <v>YES</v>
      </c>
      <c r="N26" s="44" t="str">
        <f>'10_Analysis_Ready'!BI26</f>
        <v>YES</v>
      </c>
      <c r="O26" s="44"/>
      <c r="P26" s="44"/>
      <c r="Q26" s="44"/>
      <c r="R26" s="44"/>
      <c r="S26" s="44"/>
      <c r="T26" s="44"/>
      <c r="U26" s="44"/>
      <c r="V26" s="44"/>
      <c r="W26" s="44"/>
      <c r="X26" s="44"/>
      <c r="Y26" s="44"/>
      <c r="Z26" s="44"/>
    </row>
    <row r="27" spans="1:26" ht="15.75" customHeight="1">
      <c r="A27" s="44" t="str">
        <f>'10_Analysis_Ready'!A27</f>
        <v>R0035</v>
      </c>
      <c r="B27" s="44">
        <f>'10_Analysis_Ready'!C27</f>
        <v>2024</v>
      </c>
      <c r="C27" s="44" t="str">
        <f>'10_Analysis_Ready'!BK27</f>
        <v>HIGH</v>
      </c>
      <c r="D27" s="44" t="str">
        <f>'10_Analysis_Ready'!AF27</f>
        <v>MULTIPLE</v>
      </c>
      <c r="E27" s="44" t="str">
        <f>'10_Analysis_Ready'!AG27</f>
        <v>YES</v>
      </c>
      <c r="F27" s="44" t="str">
        <f>'10_Analysis_Ready'!AH27</f>
        <v>YES</v>
      </c>
      <c r="G27" s="44" t="str">
        <f>'10_Analysis_Ready'!AI27</f>
        <v>NO</v>
      </c>
      <c r="H27" s="44" t="str">
        <f>'10_Analysis_Ready'!AJ27</f>
        <v>YES</v>
      </c>
      <c r="I27" s="44" t="str">
        <f>'10_Analysis_Ready'!AK27</f>
        <v>YES</v>
      </c>
      <c r="J27" s="44" t="str">
        <f>'10_Analysis_Ready'!AL27</f>
        <v>NO</v>
      </c>
      <c r="K27" s="44" t="str">
        <f>'10_Analysis_Ready'!AO27</f>
        <v>NO</v>
      </c>
      <c r="L27" s="44" t="str">
        <f>'10_Analysis_Ready'!AM27</f>
        <v>ZERO-SHOT</v>
      </c>
      <c r="M27" s="44" t="str">
        <f>'10_Analysis_Ready'!BJ27</f>
        <v>YES</v>
      </c>
      <c r="N27" s="44" t="str">
        <f>'10_Analysis_Ready'!BI27</f>
        <v>YES</v>
      </c>
      <c r="O27" s="44"/>
      <c r="P27" s="44"/>
      <c r="Q27" s="44"/>
      <c r="R27" s="44"/>
      <c r="S27" s="44"/>
      <c r="T27" s="44"/>
      <c r="U27" s="44"/>
      <c r="V27" s="44"/>
      <c r="W27" s="44"/>
      <c r="X27" s="44"/>
      <c r="Y27" s="44"/>
      <c r="Z27" s="44"/>
    </row>
    <row r="28" spans="1:26" ht="15.75" customHeight="1">
      <c r="A28" s="44" t="str">
        <f>'10_Analysis_Ready'!A28</f>
        <v>R0037</v>
      </c>
      <c r="B28" s="44">
        <f>'10_Analysis_Ready'!C28</f>
        <v>2024</v>
      </c>
      <c r="C28" s="44" t="str">
        <f>'10_Analysis_Ready'!BK28</f>
        <v>MODERATE</v>
      </c>
      <c r="D28" s="44" t="str">
        <f>'10_Analysis_Ready'!AF28</f>
        <v>CROSS-GENERATOR</v>
      </c>
      <c r="E28" s="44" t="str">
        <f>'10_Analysis_Ready'!AG28</f>
        <v>YES</v>
      </c>
      <c r="F28" s="44" t="str">
        <f>'10_Analysis_Ready'!AH28</f>
        <v>NO</v>
      </c>
      <c r="G28" s="44" t="str">
        <f>'10_Analysis_Ready'!AI28</f>
        <v>NO</v>
      </c>
      <c r="H28" s="44" t="str">
        <f>'10_Analysis_Ready'!AJ28</f>
        <v>NO</v>
      </c>
      <c r="I28" s="44" t="str">
        <f>'10_Analysis_Ready'!AK28</f>
        <v>NO</v>
      </c>
      <c r="J28" s="44" t="str">
        <f>'10_Analysis_Ready'!AL28</f>
        <v>NO</v>
      </c>
      <c r="K28" s="44" t="str">
        <f>'10_Analysis_Ready'!AO28</f>
        <v>NO</v>
      </c>
      <c r="L28" s="44" t="str">
        <f>'10_Analysis_Ready'!AM28</f>
        <v>ZERO-SHOT</v>
      </c>
      <c r="M28" s="44" t="str">
        <f>'10_Analysis_Ready'!BJ28</f>
        <v>YES</v>
      </c>
      <c r="N28" s="44" t="str">
        <f>'10_Analysis_Ready'!BI28</f>
        <v>YES</v>
      </c>
      <c r="O28" s="44"/>
      <c r="P28" s="44"/>
      <c r="Q28" s="44"/>
      <c r="R28" s="44"/>
      <c r="S28" s="44"/>
      <c r="T28" s="44"/>
      <c r="U28" s="44"/>
      <c r="V28" s="44"/>
      <c r="W28" s="44"/>
      <c r="X28" s="44"/>
      <c r="Y28" s="44"/>
      <c r="Z28" s="44"/>
    </row>
    <row r="29" spans="1:26" ht="15.75" customHeight="1">
      <c r="A29" s="44" t="str">
        <f>'10_Analysis_Ready'!A29</f>
        <v>R0039</v>
      </c>
      <c r="B29" s="44">
        <f>'10_Analysis_Ready'!C29</f>
        <v>2024</v>
      </c>
      <c r="C29" s="44" t="str">
        <f>'10_Analysis_Ready'!BK29</f>
        <v>LOW</v>
      </c>
      <c r="D29" s="44" t="str">
        <f>'10_Analysis_Ready'!AF29</f>
        <v>NONE</v>
      </c>
      <c r="E29" s="44" t="str">
        <f>'10_Analysis_Ready'!AG29</f>
        <v>NO</v>
      </c>
      <c r="F29" s="44" t="str">
        <f>'10_Analysis_Ready'!AH29</f>
        <v>NO</v>
      </c>
      <c r="G29" s="44" t="str">
        <f>'10_Analysis_Ready'!AI29</f>
        <v>NO</v>
      </c>
      <c r="H29" s="44" t="str">
        <f>'10_Analysis_Ready'!AJ29</f>
        <v>NO</v>
      </c>
      <c r="I29" s="44" t="str">
        <f>'10_Analysis_Ready'!AK29</f>
        <v>NO</v>
      </c>
      <c r="J29" s="44" t="str">
        <f>'10_Analysis_Ready'!AL29</f>
        <v>NO</v>
      </c>
      <c r="K29" s="44" t="str">
        <f>'10_Analysis_Ready'!AO29</f>
        <v>NO</v>
      </c>
      <c r="L29" s="44" t="str">
        <f>'10_Analysis_Ready'!AM29</f>
        <v>N/A</v>
      </c>
      <c r="M29" s="44" t="str">
        <f>'10_Analysis_Ready'!BJ29</f>
        <v>NO</v>
      </c>
      <c r="N29" s="44" t="str">
        <f>'10_Analysis_Ready'!BI29</f>
        <v>YES</v>
      </c>
      <c r="O29" s="44"/>
      <c r="P29" s="44"/>
      <c r="Q29" s="44"/>
      <c r="R29" s="44"/>
      <c r="S29" s="44"/>
      <c r="T29" s="44"/>
      <c r="U29" s="44"/>
      <c r="V29" s="44"/>
      <c r="W29" s="44"/>
      <c r="X29" s="44"/>
      <c r="Y29" s="44"/>
      <c r="Z29" s="44"/>
    </row>
    <row r="30" spans="1:26" ht="15.75" customHeight="1">
      <c r="A30" s="44" t="str">
        <f>'10_Analysis_Ready'!A30</f>
        <v>R0040</v>
      </c>
      <c r="B30" s="44">
        <f>'10_Analysis_Ready'!C30</f>
        <v>2026</v>
      </c>
      <c r="C30" s="44" t="str">
        <f>'10_Analysis_Ready'!BK30</f>
        <v>LOW</v>
      </c>
      <c r="D30" s="44" t="str">
        <f>'10_Analysis_Ready'!AF30</f>
        <v>NONE</v>
      </c>
      <c r="E30" s="44" t="str">
        <f>'10_Analysis_Ready'!AG30</f>
        <v>UNCLEAR</v>
      </c>
      <c r="F30" s="44" t="str">
        <f>'10_Analysis_Ready'!AH30</f>
        <v>UNCLEAR</v>
      </c>
      <c r="G30" s="44" t="str">
        <f>'10_Analysis_Ready'!AI30</f>
        <v>NO</v>
      </c>
      <c r="H30" s="44" t="str">
        <f>'10_Analysis_Ready'!AJ30</f>
        <v>NO</v>
      </c>
      <c r="I30" s="44" t="str">
        <f>'10_Analysis_Ready'!AK30</f>
        <v>NO</v>
      </c>
      <c r="J30" s="44" t="str">
        <f>'10_Analysis_Ready'!AL30</f>
        <v>NO</v>
      </c>
      <c r="K30" s="44" t="str">
        <f>'10_Analysis_Ready'!AO30</f>
        <v>YES</v>
      </c>
      <c r="L30" s="44" t="str">
        <f>'10_Analysis_Ready'!AM30</f>
        <v>N/A</v>
      </c>
      <c r="M30" s="44" t="str">
        <f>'10_Analysis_Ready'!BJ30</f>
        <v>NO</v>
      </c>
      <c r="N30" s="44" t="str">
        <f>'10_Analysis_Ready'!BI30</f>
        <v>YES</v>
      </c>
      <c r="O30" s="44"/>
      <c r="P30" s="44"/>
      <c r="Q30" s="44"/>
      <c r="R30" s="44"/>
      <c r="S30" s="44"/>
      <c r="T30" s="44"/>
      <c r="U30" s="44"/>
      <c r="V30" s="44"/>
      <c r="W30" s="44"/>
      <c r="X30" s="44"/>
      <c r="Y30" s="44"/>
      <c r="Z30" s="44"/>
    </row>
    <row r="31" spans="1:26" ht="15.75" customHeight="1">
      <c r="A31" s="44" t="str">
        <f>'10_Analysis_Ready'!A31</f>
        <v>R0041</v>
      </c>
      <c r="B31" s="44">
        <f>'10_Analysis_Ready'!C31</f>
        <v>2026</v>
      </c>
      <c r="C31" s="44" t="str">
        <f>'10_Analysis_Ready'!BK31</f>
        <v>MODERATE</v>
      </c>
      <c r="D31" s="44" t="str">
        <f>'10_Analysis_Ready'!AF31</f>
        <v>MULTIPLE</v>
      </c>
      <c r="E31" s="44" t="str">
        <f>'10_Analysis_Ready'!AG31</f>
        <v>YES</v>
      </c>
      <c r="F31" s="44" t="str">
        <f>'10_Analysis_Ready'!AH31</f>
        <v>NO</v>
      </c>
      <c r="G31" s="44" t="str">
        <f>'10_Analysis_Ready'!AI31</f>
        <v>YES</v>
      </c>
      <c r="H31" s="44" t="str">
        <f>'10_Analysis_Ready'!AJ31</f>
        <v>YES</v>
      </c>
      <c r="I31" s="44" t="str">
        <f>'10_Analysis_Ready'!AK31</f>
        <v>NO</v>
      </c>
      <c r="J31" s="44" t="str">
        <f>'10_Analysis_Ready'!AL31</f>
        <v>NO</v>
      </c>
      <c r="K31" s="44" t="str">
        <f>'10_Analysis_Ready'!AO31</f>
        <v>NO</v>
      </c>
      <c r="L31" s="44" t="str">
        <f>'10_Analysis_Ready'!AM31</f>
        <v>MIXED</v>
      </c>
      <c r="M31" s="44" t="str">
        <f>'10_Analysis_Ready'!BJ31</f>
        <v>NO</v>
      </c>
      <c r="N31" s="44" t="str">
        <f>'10_Analysis_Ready'!BI31</f>
        <v>NO</v>
      </c>
      <c r="O31" s="44"/>
      <c r="P31" s="44"/>
      <c r="Q31" s="44"/>
      <c r="R31" s="44"/>
      <c r="S31" s="44"/>
      <c r="T31" s="44"/>
      <c r="U31" s="44"/>
      <c r="V31" s="44"/>
      <c r="W31" s="44"/>
      <c r="X31" s="44"/>
      <c r="Y31" s="44"/>
      <c r="Z31" s="44"/>
    </row>
    <row r="32" spans="1:26" ht="15.75" customHeight="1">
      <c r="A32" s="44" t="str">
        <f>'10_Analysis_Ready'!A32</f>
        <v>R0045</v>
      </c>
      <c r="B32" s="44">
        <f>'10_Analysis_Ready'!C32</f>
        <v>2026</v>
      </c>
      <c r="C32" s="44" t="str">
        <f>'10_Analysis_Ready'!BK32</f>
        <v>LOW</v>
      </c>
      <c r="D32" s="44" t="str">
        <f>'10_Analysis_Ready'!AF32</f>
        <v>NONE</v>
      </c>
      <c r="E32" s="44" t="str">
        <f>'10_Analysis_Ready'!AG32</f>
        <v>NO</v>
      </c>
      <c r="F32" s="44" t="str">
        <f>'10_Analysis_Ready'!AH32</f>
        <v>NO</v>
      </c>
      <c r="G32" s="44" t="str">
        <f>'10_Analysis_Ready'!AI32</f>
        <v>NO</v>
      </c>
      <c r="H32" s="44" t="str">
        <f>'10_Analysis_Ready'!AJ32</f>
        <v>NO</v>
      </c>
      <c r="I32" s="44" t="str">
        <f>'10_Analysis_Ready'!AK32</f>
        <v>NO</v>
      </c>
      <c r="J32" s="44" t="str">
        <f>'10_Analysis_Ready'!AL32</f>
        <v>NO</v>
      </c>
      <c r="K32" s="44" t="str">
        <f>'10_Analysis_Ready'!AO32</f>
        <v>YES</v>
      </c>
      <c r="L32" s="44" t="str">
        <f>'10_Analysis_Ready'!AM32</f>
        <v>N/A</v>
      </c>
      <c r="M32" s="44" t="str">
        <f>'10_Analysis_Ready'!BJ32</f>
        <v>NO</v>
      </c>
      <c r="N32" s="44" t="str">
        <f>'10_Analysis_Ready'!BI32</f>
        <v>NO</v>
      </c>
      <c r="O32" s="44"/>
      <c r="P32" s="44"/>
      <c r="Q32" s="44"/>
      <c r="R32" s="44"/>
      <c r="S32" s="44"/>
      <c r="T32" s="44"/>
      <c r="U32" s="44"/>
      <c r="V32" s="44"/>
      <c r="W32" s="44"/>
      <c r="X32" s="44"/>
      <c r="Y32" s="44"/>
      <c r="Z32" s="44"/>
    </row>
    <row r="33" spans="1:26" ht="15.75" customHeight="1">
      <c r="A33" s="44" t="str">
        <f>'10_Analysis_Ready'!A33</f>
        <v>R0046</v>
      </c>
      <c r="B33" s="44">
        <f>'10_Analysis_Ready'!C33</f>
        <v>2025</v>
      </c>
      <c r="C33" s="44" t="str">
        <f>'10_Analysis_Ready'!BK33</f>
        <v>HIGH</v>
      </c>
      <c r="D33" s="44" t="str">
        <f>'10_Analysis_Ready'!AF33</f>
        <v>MULTIPLE</v>
      </c>
      <c r="E33" s="44" t="str">
        <f>'10_Analysis_Ready'!AG33</f>
        <v>YES</v>
      </c>
      <c r="F33" s="44" t="str">
        <f>'10_Analysis_Ready'!AH33</f>
        <v>YES</v>
      </c>
      <c r="G33" s="44" t="str">
        <f>'10_Analysis_Ready'!AI33</f>
        <v>NO</v>
      </c>
      <c r="H33" s="44" t="str">
        <f>'10_Analysis_Ready'!AJ33</f>
        <v>YES</v>
      </c>
      <c r="I33" s="44" t="str">
        <f>'10_Analysis_Ready'!AK33</f>
        <v>NO</v>
      </c>
      <c r="J33" s="44" t="str">
        <f>'10_Analysis_Ready'!AL33</f>
        <v>NO</v>
      </c>
      <c r="K33" s="44" t="str">
        <f>'10_Analysis_Ready'!AO33</f>
        <v>NO</v>
      </c>
      <c r="L33" s="44" t="str">
        <f>'10_Analysis_Ready'!AM33</f>
        <v>ZERO-SHOT</v>
      </c>
      <c r="M33" s="44" t="str">
        <f>'10_Analysis_Ready'!BJ33</f>
        <v>YES</v>
      </c>
      <c r="N33" s="44" t="str">
        <f>'10_Analysis_Ready'!BI33</f>
        <v>YES</v>
      </c>
      <c r="O33" s="44"/>
      <c r="P33" s="44"/>
      <c r="Q33" s="44"/>
      <c r="R33" s="44"/>
      <c r="S33" s="44"/>
      <c r="T33" s="44"/>
      <c r="U33" s="44"/>
      <c r="V33" s="44"/>
      <c r="W33" s="44"/>
      <c r="X33" s="44"/>
      <c r="Y33" s="44"/>
      <c r="Z33" s="44"/>
    </row>
    <row r="34" spans="1:26" ht="15.75" customHeight="1">
      <c r="A34" s="44" t="str">
        <f>'10_Analysis_Ready'!A34</f>
        <v>R0047</v>
      </c>
      <c r="B34" s="44">
        <f>'10_Analysis_Ready'!C34</f>
        <v>2024</v>
      </c>
      <c r="C34" s="44" t="str">
        <f>'10_Analysis_Ready'!BK34</f>
        <v>HIGH</v>
      </c>
      <c r="D34" s="44" t="str">
        <f>'10_Analysis_Ready'!AF34</f>
        <v>MULTIPLE</v>
      </c>
      <c r="E34" s="44" t="str">
        <f>'10_Analysis_Ready'!AG34</f>
        <v>YES</v>
      </c>
      <c r="F34" s="44" t="str">
        <f>'10_Analysis_Ready'!AH34</f>
        <v>YES</v>
      </c>
      <c r="G34" s="44" t="str">
        <f>'10_Analysis_Ready'!AI34</f>
        <v>NO</v>
      </c>
      <c r="H34" s="44" t="str">
        <f>'10_Analysis_Ready'!AJ34</f>
        <v>YES</v>
      </c>
      <c r="I34" s="44" t="str">
        <f>'10_Analysis_Ready'!AK34</f>
        <v>NO</v>
      </c>
      <c r="J34" s="44" t="str">
        <f>'10_Analysis_Ready'!AL34</f>
        <v>NO</v>
      </c>
      <c r="K34" s="44" t="str">
        <f>'10_Analysis_Ready'!AO34</f>
        <v>NO</v>
      </c>
      <c r="L34" s="44" t="str">
        <f>'10_Analysis_Ready'!AM34</f>
        <v>ZERO-SHOT</v>
      </c>
      <c r="M34" s="44" t="str">
        <f>'10_Analysis_Ready'!BJ34</f>
        <v>YES</v>
      </c>
      <c r="N34" s="44" t="str">
        <f>'10_Analysis_Ready'!BI34</f>
        <v>YES</v>
      </c>
      <c r="O34" s="44"/>
      <c r="P34" s="44"/>
      <c r="Q34" s="44"/>
      <c r="R34" s="44"/>
      <c r="S34" s="44"/>
      <c r="T34" s="44"/>
      <c r="U34" s="44"/>
      <c r="V34" s="44"/>
      <c r="W34" s="44"/>
      <c r="X34" s="44"/>
      <c r="Y34" s="44"/>
      <c r="Z34" s="44"/>
    </row>
    <row r="35" spans="1:26" ht="15.75" customHeight="1">
      <c r="A35" s="44" t="str">
        <f>'10_Analysis_Ready'!A35</f>
        <v>R0051</v>
      </c>
      <c r="B35" s="44">
        <f>'10_Analysis_Ready'!C35</f>
        <v>2021</v>
      </c>
      <c r="C35" s="44" t="str">
        <f>'10_Analysis_Ready'!BK35</f>
        <v>LOW</v>
      </c>
      <c r="D35" s="44" t="str">
        <f>'10_Analysis_Ready'!AF35</f>
        <v>NONE</v>
      </c>
      <c r="E35" s="44" t="str">
        <f>'10_Analysis_Ready'!AG35</f>
        <v>NO</v>
      </c>
      <c r="F35" s="44" t="str">
        <f>'10_Analysis_Ready'!AH35</f>
        <v>NO</v>
      </c>
      <c r="G35" s="44" t="str">
        <f>'10_Analysis_Ready'!AI35</f>
        <v>NO</v>
      </c>
      <c r="H35" s="44" t="str">
        <f>'10_Analysis_Ready'!AJ35</f>
        <v>NO</v>
      </c>
      <c r="I35" s="44" t="str">
        <f>'10_Analysis_Ready'!AK35</f>
        <v>NO</v>
      </c>
      <c r="J35" s="44" t="str">
        <f>'10_Analysis_Ready'!AL35</f>
        <v>NO</v>
      </c>
      <c r="K35" s="44" t="str">
        <f>'10_Analysis_Ready'!AO35</f>
        <v>YES</v>
      </c>
      <c r="L35" s="44" t="str">
        <f>'10_Analysis_Ready'!AM35</f>
        <v>N/A</v>
      </c>
      <c r="M35" s="44" t="str">
        <f>'10_Analysis_Ready'!BJ35</f>
        <v>NO</v>
      </c>
      <c r="N35" s="44" t="str">
        <f>'10_Analysis_Ready'!BI35</f>
        <v>NO</v>
      </c>
      <c r="O35" s="44"/>
      <c r="P35" s="44"/>
      <c r="Q35" s="44"/>
      <c r="R35" s="44"/>
      <c r="S35" s="44"/>
      <c r="T35" s="44"/>
      <c r="U35" s="44"/>
      <c r="V35" s="44"/>
      <c r="W35" s="44"/>
      <c r="X35" s="44"/>
      <c r="Y35" s="44"/>
      <c r="Z35" s="44"/>
    </row>
    <row r="36" spans="1:26" ht="15.75" customHeight="1">
      <c r="A36" s="44" t="str">
        <f>'10_Analysis_Ready'!A36</f>
        <v>R0052</v>
      </c>
      <c r="B36" s="44">
        <f>'10_Analysis_Ready'!C36</f>
        <v>2025</v>
      </c>
      <c r="C36" s="44" t="str">
        <f>'10_Analysis_Ready'!BK36</f>
        <v>HIGH</v>
      </c>
      <c r="D36" s="44" t="str">
        <f>'10_Analysis_Ready'!AF36</f>
        <v>MULTIPLE</v>
      </c>
      <c r="E36" s="44" t="str">
        <f>'10_Analysis_Ready'!AG36</f>
        <v>YES</v>
      </c>
      <c r="F36" s="44" t="str">
        <f>'10_Analysis_Ready'!AH36</f>
        <v>YES</v>
      </c>
      <c r="G36" s="44" t="str">
        <f>'10_Analysis_Ready'!AI36</f>
        <v>YES</v>
      </c>
      <c r="H36" s="44" t="str">
        <f>'10_Analysis_Ready'!AJ36</f>
        <v>NO</v>
      </c>
      <c r="I36" s="44" t="str">
        <f>'10_Analysis_Ready'!AK36</f>
        <v>YES</v>
      </c>
      <c r="J36" s="44" t="str">
        <f>'10_Analysis_Ready'!AL36</f>
        <v>NO</v>
      </c>
      <c r="K36" s="44" t="str">
        <f>'10_Analysis_Ready'!AO36</f>
        <v>YES</v>
      </c>
      <c r="L36" s="44" t="str">
        <f>'10_Analysis_Ready'!AM36</f>
        <v>ZERO-SHOT</v>
      </c>
      <c r="M36" s="44" t="str">
        <f>'10_Analysis_Ready'!BJ36</f>
        <v>YES</v>
      </c>
      <c r="N36" s="44" t="str">
        <f>'10_Analysis_Ready'!BI36</f>
        <v>YES</v>
      </c>
      <c r="O36" s="44"/>
      <c r="P36" s="44"/>
      <c r="Q36" s="44"/>
      <c r="R36" s="44"/>
      <c r="S36" s="44"/>
      <c r="T36" s="44"/>
      <c r="U36" s="44"/>
      <c r="V36" s="44"/>
      <c r="W36" s="44"/>
      <c r="X36" s="44"/>
      <c r="Y36" s="44"/>
      <c r="Z36" s="44"/>
    </row>
    <row r="37" spans="1:26" ht="15.75" customHeight="1">
      <c r="A37" s="44" t="str">
        <f>'10_Analysis_Ready'!A37</f>
        <v>R0053</v>
      </c>
      <c r="B37" s="44">
        <f>'10_Analysis_Ready'!C37</f>
        <v>2025</v>
      </c>
      <c r="C37" s="44" t="str">
        <f>'10_Analysis_Ready'!BK37</f>
        <v>LOW</v>
      </c>
      <c r="D37" s="44" t="str">
        <f>'10_Analysis_Ready'!AF37</f>
        <v>NONE</v>
      </c>
      <c r="E37" s="44" t="str">
        <f>'10_Analysis_Ready'!AG37</f>
        <v>NO</v>
      </c>
      <c r="F37" s="44" t="str">
        <f>'10_Analysis_Ready'!AH37</f>
        <v>NO</v>
      </c>
      <c r="G37" s="44" t="str">
        <f>'10_Analysis_Ready'!AI37</f>
        <v>NO</v>
      </c>
      <c r="H37" s="44" t="str">
        <f>'10_Analysis_Ready'!AJ37</f>
        <v>NO</v>
      </c>
      <c r="I37" s="44" t="str">
        <f>'10_Analysis_Ready'!AK37</f>
        <v>NO</v>
      </c>
      <c r="J37" s="44" t="str">
        <f>'10_Analysis_Ready'!AL37</f>
        <v>NO</v>
      </c>
      <c r="K37" s="44" t="str">
        <f>'10_Analysis_Ready'!AO37</f>
        <v>NO</v>
      </c>
      <c r="L37" s="44" t="str">
        <f>'10_Analysis_Ready'!AM37</f>
        <v>N/A</v>
      </c>
      <c r="M37" s="44" t="str">
        <f>'10_Analysis_Ready'!BJ37</f>
        <v>NO</v>
      </c>
      <c r="N37" s="44" t="str">
        <f>'10_Analysis_Ready'!BI37</f>
        <v>YES</v>
      </c>
      <c r="O37" s="44"/>
      <c r="P37" s="44"/>
      <c r="Q37" s="44"/>
      <c r="R37" s="44"/>
      <c r="S37" s="44"/>
      <c r="T37" s="44"/>
      <c r="U37" s="44"/>
      <c r="V37" s="44"/>
      <c r="W37" s="44"/>
      <c r="X37" s="44"/>
      <c r="Y37" s="44"/>
      <c r="Z37" s="44"/>
    </row>
    <row r="38" spans="1:26" ht="15.75" customHeight="1">
      <c r="A38" s="44" t="str">
        <f>'10_Analysis_Ready'!A38</f>
        <v>R0055</v>
      </c>
      <c r="B38" s="44">
        <f>'10_Analysis_Ready'!C38</f>
        <v>2026</v>
      </c>
      <c r="C38" s="44" t="str">
        <f>'10_Analysis_Ready'!BK38</f>
        <v>HIGH</v>
      </c>
      <c r="D38" s="44" t="str">
        <f>'10_Analysis_Ready'!AF38</f>
        <v>CROSS-GENERATOR</v>
      </c>
      <c r="E38" s="44" t="str">
        <f>'10_Analysis_Ready'!AG38</f>
        <v>YES</v>
      </c>
      <c r="F38" s="44" t="str">
        <f>'10_Analysis_Ready'!AH38</f>
        <v>YES</v>
      </c>
      <c r="G38" s="44" t="str">
        <f>'10_Analysis_Ready'!AI38</f>
        <v>UNCLEAR</v>
      </c>
      <c r="H38" s="44" t="str">
        <f>'10_Analysis_Ready'!AJ38</f>
        <v>NO</v>
      </c>
      <c r="I38" s="44" t="str">
        <f>'10_Analysis_Ready'!AK38</f>
        <v>NO</v>
      </c>
      <c r="J38" s="44" t="str">
        <f>'10_Analysis_Ready'!AL38</f>
        <v>NO</v>
      </c>
      <c r="K38" s="44" t="str">
        <f>'10_Analysis_Ready'!AO38</f>
        <v>YES</v>
      </c>
      <c r="L38" s="44" t="str">
        <f>'10_Analysis_Ready'!AM38</f>
        <v>ZERO-SHOT</v>
      </c>
      <c r="M38" s="44" t="str">
        <f>'10_Analysis_Ready'!BJ38</f>
        <v>YES</v>
      </c>
      <c r="N38" s="44" t="str">
        <f>'10_Analysis_Ready'!BI38</f>
        <v>YES</v>
      </c>
      <c r="O38" s="44"/>
      <c r="P38" s="44"/>
      <c r="Q38" s="44"/>
      <c r="R38" s="44"/>
      <c r="S38" s="44"/>
      <c r="T38" s="44"/>
      <c r="U38" s="44"/>
      <c r="V38" s="44"/>
      <c r="W38" s="44"/>
      <c r="X38" s="44"/>
      <c r="Y38" s="44"/>
      <c r="Z38" s="44"/>
    </row>
    <row r="39" spans="1:26" ht="15.75" customHeight="1">
      <c r="A39" s="44" t="str">
        <f>'10_Analysis_Ready'!A39</f>
        <v>R0056</v>
      </c>
      <c r="B39" s="44">
        <f>'10_Analysis_Ready'!C39</f>
        <v>2026</v>
      </c>
      <c r="C39" s="44" t="str">
        <f>'10_Analysis_Ready'!BK39</f>
        <v>HIGH</v>
      </c>
      <c r="D39" s="44" t="str">
        <f>'10_Analysis_Ready'!AF39</f>
        <v>MULTIPLE</v>
      </c>
      <c r="E39" s="44" t="str">
        <f>'10_Analysis_Ready'!AG39</f>
        <v>YES</v>
      </c>
      <c r="F39" s="44" t="str">
        <f>'10_Analysis_Ready'!AH39</f>
        <v>NO</v>
      </c>
      <c r="G39" s="44" t="str">
        <f>'10_Analysis_Ready'!AI39</f>
        <v>YES</v>
      </c>
      <c r="H39" s="44" t="str">
        <f>'10_Analysis_Ready'!AJ39</f>
        <v>NO</v>
      </c>
      <c r="I39" s="44" t="str">
        <f>'10_Analysis_Ready'!AK39</f>
        <v>NO</v>
      </c>
      <c r="J39" s="44" t="str">
        <f>'10_Analysis_Ready'!AL39</f>
        <v>NO</v>
      </c>
      <c r="K39" s="44" t="str">
        <f>'10_Analysis_Ready'!AO39</f>
        <v>NO</v>
      </c>
      <c r="L39" s="44" t="str">
        <f>'10_Analysis_Ready'!AM39</f>
        <v>ZERO-SHOT</v>
      </c>
      <c r="M39" s="44" t="str">
        <f>'10_Analysis_Ready'!BJ39</f>
        <v>YES</v>
      </c>
      <c r="N39" s="44" t="str">
        <f>'10_Analysis_Ready'!BI39</f>
        <v>YES</v>
      </c>
      <c r="O39" s="44"/>
      <c r="P39" s="44"/>
      <c r="Q39" s="44"/>
      <c r="R39" s="44"/>
      <c r="S39" s="44"/>
      <c r="T39" s="44"/>
      <c r="U39" s="44"/>
      <c r="V39" s="44"/>
      <c r="W39" s="44"/>
      <c r="X39" s="44"/>
      <c r="Y39" s="44"/>
      <c r="Z39" s="44"/>
    </row>
    <row r="40" spans="1:26" ht="15.75" customHeight="1">
      <c r="A40" s="44" t="str">
        <f>'10_Analysis_Ready'!A40</f>
        <v>R0058</v>
      </c>
      <c r="B40" s="44">
        <f>'10_Analysis_Ready'!C40</f>
        <v>2026</v>
      </c>
      <c r="C40" s="44" t="str">
        <f>'10_Analysis_Ready'!BK40</f>
        <v>VERY HIGH</v>
      </c>
      <c r="D40" s="44" t="str">
        <f>'10_Analysis_Ready'!AF40</f>
        <v>MULTIPLE</v>
      </c>
      <c r="E40" s="44" t="str">
        <f>'10_Analysis_Ready'!AG40</f>
        <v>YES</v>
      </c>
      <c r="F40" s="44" t="str">
        <f>'10_Analysis_Ready'!AH40</f>
        <v>YES</v>
      </c>
      <c r="G40" s="44" t="str">
        <f>'10_Analysis_Ready'!AI40</f>
        <v>YES</v>
      </c>
      <c r="H40" s="44" t="str">
        <f>'10_Analysis_Ready'!AJ40</f>
        <v>YES</v>
      </c>
      <c r="I40" s="44" t="str">
        <f>'10_Analysis_Ready'!AK40</f>
        <v>NO</v>
      </c>
      <c r="J40" s="44" t="str">
        <f>'10_Analysis_Ready'!AL40</f>
        <v>NO</v>
      </c>
      <c r="K40" s="44" t="str">
        <f>'10_Analysis_Ready'!AO40</f>
        <v>YES</v>
      </c>
      <c r="L40" s="44" t="str">
        <f>'10_Analysis_Ready'!AM40</f>
        <v>ZERO-SHOT</v>
      </c>
      <c r="M40" s="44" t="str">
        <f>'10_Analysis_Ready'!BJ40</f>
        <v>YES</v>
      </c>
      <c r="N40" s="44" t="str">
        <f>'10_Analysis_Ready'!BI40</f>
        <v>YES</v>
      </c>
      <c r="O40" s="44"/>
      <c r="P40" s="44"/>
      <c r="Q40" s="44"/>
      <c r="R40" s="44"/>
      <c r="S40" s="44"/>
      <c r="T40" s="44"/>
      <c r="U40" s="44"/>
      <c r="V40" s="44"/>
      <c r="W40" s="44"/>
      <c r="X40" s="44"/>
      <c r="Y40" s="44"/>
      <c r="Z40" s="44"/>
    </row>
    <row r="41" spans="1:26" ht="15.75" customHeight="1">
      <c r="A41" s="44" t="str">
        <f>'10_Analysis_Ready'!A41</f>
        <v>R0062</v>
      </c>
      <c r="B41" s="44">
        <f>'10_Analysis_Ready'!C41</f>
        <v>2024</v>
      </c>
      <c r="C41" s="44" t="str">
        <f>'10_Analysis_Ready'!BK41</f>
        <v>MODERATE</v>
      </c>
      <c r="D41" s="44" t="str">
        <f>'10_Analysis_Ready'!AF41</f>
        <v>MULTIPLE</v>
      </c>
      <c r="E41" s="44" t="str">
        <f>'10_Analysis_Ready'!AG41</f>
        <v>YES</v>
      </c>
      <c r="F41" s="44" t="str">
        <f>'10_Analysis_Ready'!AH41</f>
        <v>NO</v>
      </c>
      <c r="G41" s="44" t="str">
        <f>'10_Analysis_Ready'!AI41</f>
        <v>YES</v>
      </c>
      <c r="H41" s="44" t="str">
        <f>'10_Analysis_Ready'!AJ41</f>
        <v>NO</v>
      </c>
      <c r="I41" s="44" t="str">
        <f>'10_Analysis_Ready'!AK41</f>
        <v>NO</v>
      </c>
      <c r="J41" s="44" t="str">
        <f>'10_Analysis_Ready'!AL41</f>
        <v>NO</v>
      </c>
      <c r="K41" s="44" t="str">
        <f>'10_Analysis_Ready'!AO41</f>
        <v>YES</v>
      </c>
      <c r="L41" s="44" t="str">
        <f>'10_Analysis_Ready'!AM41</f>
        <v>ZERO-SHOT</v>
      </c>
      <c r="M41" s="44" t="str">
        <f>'10_Analysis_Ready'!BJ41</f>
        <v>YES</v>
      </c>
      <c r="N41" s="44" t="str">
        <f>'10_Analysis_Ready'!BI41</f>
        <v>YES</v>
      </c>
      <c r="O41" s="44"/>
      <c r="P41" s="44"/>
      <c r="Q41" s="44"/>
      <c r="R41" s="44"/>
      <c r="S41" s="44"/>
      <c r="T41" s="44"/>
      <c r="U41" s="44"/>
      <c r="V41" s="44"/>
      <c r="W41" s="44"/>
      <c r="X41" s="44"/>
      <c r="Y41" s="44"/>
      <c r="Z41" s="44"/>
    </row>
    <row r="42" spans="1:26" ht="15.75" customHeight="1">
      <c r="A42" s="44" t="str">
        <f>'10_Analysis_Ready'!A42</f>
        <v>R0063</v>
      </c>
      <c r="B42" s="44">
        <f>'10_Analysis_Ready'!C42</f>
        <v>2026</v>
      </c>
      <c r="C42" s="44" t="str">
        <f>'10_Analysis_Ready'!BK42</f>
        <v>LOW</v>
      </c>
      <c r="D42" s="44" t="str">
        <f>'10_Analysis_Ready'!AF42</f>
        <v>NONE</v>
      </c>
      <c r="E42" s="44" t="str">
        <f>'10_Analysis_Ready'!AG42</f>
        <v>NO</v>
      </c>
      <c r="F42" s="44" t="str">
        <f>'10_Analysis_Ready'!AH42</f>
        <v>NO</v>
      </c>
      <c r="G42" s="44" t="str">
        <f>'10_Analysis_Ready'!AI42</f>
        <v>NO</v>
      </c>
      <c r="H42" s="44" t="str">
        <f>'10_Analysis_Ready'!AJ42</f>
        <v>NO</v>
      </c>
      <c r="I42" s="44" t="str">
        <f>'10_Analysis_Ready'!AK42</f>
        <v>NO</v>
      </c>
      <c r="J42" s="44" t="str">
        <f>'10_Analysis_Ready'!AL42</f>
        <v>NO</v>
      </c>
      <c r="K42" s="44" t="str">
        <f>'10_Analysis_Ready'!AO42</f>
        <v>NO</v>
      </c>
      <c r="L42" s="44" t="str">
        <f>'10_Analysis_Ready'!AM42</f>
        <v>N/A</v>
      </c>
      <c r="M42" s="44" t="str">
        <f>'10_Analysis_Ready'!BJ42</f>
        <v>NO</v>
      </c>
      <c r="N42" s="44" t="str">
        <f>'10_Analysis_Ready'!BI42</f>
        <v>YES</v>
      </c>
      <c r="O42" s="44"/>
      <c r="P42" s="44"/>
      <c r="Q42" s="44"/>
      <c r="R42" s="44"/>
      <c r="S42" s="44"/>
      <c r="T42" s="44"/>
      <c r="U42" s="44"/>
      <c r="V42" s="44"/>
      <c r="W42" s="44"/>
      <c r="X42" s="44"/>
      <c r="Y42" s="44"/>
      <c r="Z42" s="44"/>
    </row>
    <row r="43" spans="1:26" ht="15.75" customHeight="1">
      <c r="A43" s="44" t="str">
        <f>'10_Analysis_Ready'!A43</f>
        <v>R0064</v>
      </c>
      <c r="B43" s="44">
        <f>'10_Analysis_Ready'!C43</f>
        <v>2025</v>
      </c>
      <c r="C43" s="44" t="str">
        <f>'10_Analysis_Ready'!BK43</f>
        <v>HIGH</v>
      </c>
      <c r="D43" s="44" t="str">
        <f>'10_Analysis_Ready'!AF43</f>
        <v>MULTIPLE</v>
      </c>
      <c r="E43" s="44" t="str">
        <f>'10_Analysis_Ready'!AG43</f>
        <v>YES</v>
      </c>
      <c r="F43" s="44" t="str">
        <f>'10_Analysis_Ready'!AH43</f>
        <v>YES</v>
      </c>
      <c r="G43" s="44" t="str">
        <f>'10_Analysis_Ready'!AI43</f>
        <v>YES</v>
      </c>
      <c r="H43" s="44" t="str">
        <f>'10_Analysis_Ready'!AJ43</f>
        <v>NO</v>
      </c>
      <c r="I43" s="44" t="str">
        <f>'10_Analysis_Ready'!AK43</f>
        <v>NO</v>
      </c>
      <c r="J43" s="44" t="str">
        <f>'10_Analysis_Ready'!AL43</f>
        <v>NO</v>
      </c>
      <c r="K43" s="44" t="str">
        <f>'10_Analysis_Ready'!AO43</f>
        <v>YES</v>
      </c>
      <c r="L43" s="44" t="str">
        <f>'10_Analysis_Ready'!AM43</f>
        <v>ZERO-SHOT</v>
      </c>
      <c r="M43" s="44" t="str">
        <f>'10_Analysis_Ready'!BJ43</f>
        <v>YES</v>
      </c>
      <c r="N43" s="44" t="str">
        <f>'10_Analysis_Ready'!BI43</f>
        <v>YES</v>
      </c>
      <c r="O43" s="44"/>
      <c r="P43" s="44"/>
      <c r="Q43" s="44"/>
      <c r="R43" s="44"/>
      <c r="S43" s="44"/>
      <c r="T43" s="44"/>
      <c r="U43" s="44"/>
      <c r="V43" s="44"/>
      <c r="W43" s="44"/>
      <c r="X43" s="44"/>
      <c r="Y43" s="44"/>
      <c r="Z43" s="44"/>
    </row>
    <row r="44" spans="1:26" ht="15.75" customHeight="1">
      <c r="A44" s="44" t="str">
        <f>'10_Analysis_Ready'!A44</f>
        <v>R0065</v>
      </c>
      <c r="B44" s="44">
        <f>'10_Analysis_Ready'!C44</f>
        <v>2026</v>
      </c>
      <c r="C44" s="44" t="str">
        <f>'10_Analysis_Ready'!BK44</f>
        <v>MODERATE</v>
      </c>
      <c r="D44" s="44" t="str">
        <f>'10_Analysis_Ready'!AF44</f>
        <v>CROSS-GENERATOR</v>
      </c>
      <c r="E44" s="44" t="str">
        <f>'10_Analysis_Ready'!AG44</f>
        <v>YES</v>
      </c>
      <c r="F44" s="44" t="str">
        <f>'10_Analysis_Ready'!AH44</f>
        <v>YES</v>
      </c>
      <c r="G44" s="44" t="str">
        <f>'10_Analysis_Ready'!AI44</f>
        <v>NO</v>
      </c>
      <c r="H44" s="44" t="str">
        <f>'10_Analysis_Ready'!AJ44</f>
        <v>NO</v>
      </c>
      <c r="I44" s="44" t="str">
        <f>'10_Analysis_Ready'!AK44</f>
        <v>NO</v>
      </c>
      <c r="J44" s="44" t="str">
        <f>'10_Analysis_Ready'!AL44</f>
        <v>NO</v>
      </c>
      <c r="K44" s="44" t="str">
        <f>'10_Analysis_Ready'!AO44</f>
        <v>NO</v>
      </c>
      <c r="L44" s="44" t="str">
        <f>'10_Analysis_Ready'!AM44</f>
        <v>ZERO-SHOT</v>
      </c>
      <c r="M44" s="44" t="str">
        <f>'10_Analysis_Ready'!BJ44</f>
        <v>YES</v>
      </c>
      <c r="N44" s="44" t="str">
        <f>'10_Analysis_Ready'!BI44</f>
        <v>YES</v>
      </c>
      <c r="O44" s="44"/>
      <c r="P44" s="44"/>
      <c r="Q44" s="44"/>
      <c r="R44" s="44"/>
      <c r="S44" s="44"/>
      <c r="T44" s="44"/>
      <c r="U44" s="44"/>
      <c r="V44" s="44"/>
      <c r="W44" s="44"/>
      <c r="X44" s="44"/>
      <c r="Y44" s="44"/>
      <c r="Z44" s="44"/>
    </row>
    <row r="45" spans="1:26" ht="15.75" customHeight="1">
      <c r="A45" s="44" t="str">
        <f>'10_Analysis_Ready'!A45</f>
        <v>R0066</v>
      </c>
      <c r="B45" s="44">
        <f>'10_Analysis_Ready'!C45</f>
        <v>2025</v>
      </c>
      <c r="C45" s="44" t="str">
        <f>'10_Analysis_Ready'!BK45</f>
        <v>LOW</v>
      </c>
      <c r="D45" s="44" t="str">
        <f>'10_Analysis_Ready'!AF45</f>
        <v>NONE</v>
      </c>
      <c r="E45" s="44" t="str">
        <f>'10_Analysis_Ready'!AG45</f>
        <v>NO</v>
      </c>
      <c r="F45" s="44" t="str">
        <f>'10_Analysis_Ready'!AH45</f>
        <v>NO</v>
      </c>
      <c r="G45" s="44" t="str">
        <f>'10_Analysis_Ready'!AI45</f>
        <v>NO</v>
      </c>
      <c r="H45" s="44" t="str">
        <f>'10_Analysis_Ready'!AJ45</f>
        <v>NO</v>
      </c>
      <c r="I45" s="44" t="str">
        <f>'10_Analysis_Ready'!AK45</f>
        <v>NO</v>
      </c>
      <c r="J45" s="44" t="str">
        <f>'10_Analysis_Ready'!AL45</f>
        <v>NO</v>
      </c>
      <c r="K45" s="44" t="str">
        <f>'10_Analysis_Ready'!AO45</f>
        <v>YES</v>
      </c>
      <c r="L45" s="44" t="str">
        <f>'10_Analysis_Ready'!AM45</f>
        <v>N/A</v>
      </c>
      <c r="M45" s="44" t="str">
        <f>'10_Analysis_Ready'!BJ45</f>
        <v>NO</v>
      </c>
      <c r="N45" s="44" t="str">
        <f>'10_Analysis_Ready'!BI45</f>
        <v>YES</v>
      </c>
      <c r="O45" s="44"/>
      <c r="P45" s="44"/>
      <c r="Q45" s="44"/>
      <c r="R45" s="44"/>
      <c r="S45" s="44"/>
      <c r="T45" s="44"/>
      <c r="U45" s="44"/>
      <c r="V45" s="44"/>
      <c r="W45" s="44"/>
      <c r="X45" s="44"/>
      <c r="Y45" s="44"/>
      <c r="Z45" s="44"/>
    </row>
    <row r="46" spans="1:26" ht="15.75" customHeight="1">
      <c r="A46" s="44" t="str">
        <f>'10_Analysis_Ready'!A46</f>
        <v>R0067</v>
      </c>
      <c r="B46" s="44">
        <f>'10_Analysis_Ready'!C46</f>
        <v>2026</v>
      </c>
      <c r="C46" s="44" t="str">
        <f>'10_Analysis_Ready'!BK46</f>
        <v>MODERATE</v>
      </c>
      <c r="D46" s="44" t="str">
        <f>'10_Analysis_Ready'!AF46</f>
        <v>MULTIPLE</v>
      </c>
      <c r="E46" s="44" t="str">
        <f>'10_Analysis_Ready'!AG46</f>
        <v>YES</v>
      </c>
      <c r="F46" s="44" t="str">
        <f>'10_Analysis_Ready'!AH46</f>
        <v>UNCLEAR</v>
      </c>
      <c r="G46" s="44" t="str">
        <f>'10_Analysis_Ready'!AI46</f>
        <v>YES</v>
      </c>
      <c r="H46" s="44" t="str">
        <f>'10_Analysis_Ready'!AJ46</f>
        <v>UNCLEAR</v>
      </c>
      <c r="I46" s="44" t="str">
        <f>'10_Analysis_Ready'!AK46</f>
        <v>NO</v>
      </c>
      <c r="J46" s="44" t="str">
        <f>'10_Analysis_Ready'!AL46</f>
        <v>NO</v>
      </c>
      <c r="K46" s="44" t="str">
        <f>'10_Analysis_Ready'!AO46</f>
        <v>NO</v>
      </c>
      <c r="L46" s="44" t="str">
        <f>'10_Analysis_Ready'!AM46</f>
        <v>ZERO-SHOT</v>
      </c>
      <c r="M46" s="44" t="str">
        <f>'10_Analysis_Ready'!BJ46</f>
        <v>YES</v>
      </c>
      <c r="N46" s="44" t="str">
        <f>'10_Analysis_Ready'!BI46</f>
        <v>YES</v>
      </c>
      <c r="O46" s="44"/>
      <c r="P46" s="44"/>
      <c r="Q46" s="44"/>
      <c r="R46" s="44"/>
      <c r="S46" s="44"/>
      <c r="T46" s="44"/>
      <c r="U46" s="44"/>
      <c r="V46" s="44"/>
      <c r="W46" s="44"/>
      <c r="X46" s="44"/>
      <c r="Y46" s="44"/>
      <c r="Z46" s="44"/>
    </row>
    <row r="47" spans="1:26" ht="15.75" customHeight="1">
      <c r="A47" s="44" t="str">
        <f>'10_Analysis_Ready'!A47</f>
        <v>R0069</v>
      </c>
      <c r="B47" s="44">
        <f>'10_Analysis_Ready'!C47</f>
        <v>2025</v>
      </c>
      <c r="C47" s="44" t="str">
        <f>'10_Analysis_Ready'!BK47</f>
        <v>LOW</v>
      </c>
      <c r="D47" s="44" t="str">
        <f>'10_Analysis_Ready'!AF47</f>
        <v>NONE</v>
      </c>
      <c r="E47" s="44" t="str">
        <f>'10_Analysis_Ready'!AG47</f>
        <v>NO</v>
      </c>
      <c r="F47" s="44" t="str">
        <f>'10_Analysis_Ready'!AH47</f>
        <v>NO</v>
      </c>
      <c r="G47" s="44" t="str">
        <f>'10_Analysis_Ready'!AI47</f>
        <v>NO</v>
      </c>
      <c r="H47" s="44" t="str">
        <f>'10_Analysis_Ready'!AJ47</f>
        <v>NO</v>
      </c>
      <c r="I47" s="44" t="str">
        <f>'10_Analysis_Ready'!AK47</f>
        <v>NO</v>
      </c>
      <c r="J47" s="44" t="str">
        <f>'10_Analysis_Ready'!AL47</f>
        <v>NO</v>
      </c>
      <c r="K47" s="44" t="str">
        <f>'10_Analysis_Ready'!AO47</f>
        <v>YES</v>
      </c>
      <c r="L47" s="44" t="str">
        <f>'10_Analysis_Ready'!AM47</f>
        <v>N/A</v>
      </c>
      <c r="M47" s="44" t="str">
        <f>'10_Analysis_Ready'!BJ47</f>
        <v>NO</v>
      </c>
      <c r="N47" s="44" t="str">
        <f>'10_Analysis_Ready'!BI47</f>
        <v>NO</v>
      </c>
      <c r="O47" s="44"/>
      <c r="P47" s="44"/>
      <c r="Q47" s="44"/>
      <c r="R47" s="44"/>
      <c r="S47" s="44"/>
      <c r="T47" s="44"/>
      <c r="U47" s="44"/>
      <c r="V47" s="44"/>
      <c r="W47" s="44"/>
      <c r="X47" s="44"/>
      <c r="Y47" s="44"/>
      <c r="Z47" s="44"/>
    </row>
    <row r="48" spans="1:26" ht="15.75" customHeight="1">
      <c r="A48" s="44" t="str">
        <f>'10_Analysis_Ready'!A48</f>
        <v>R0070</v>
      </c>
      <c r="B48" s="44">
        <f>'10_Analysis_Ready'!C48</f>
        <v>2024</v>
      </c>
      <c r="C48" s="44" t="str">
        <f>'10_Analysis_Ready'!BK48</f>
        <v>HIGH</v>
      </c>
      <c r="D48" s="44" t="str">
        <f>'10_Analysis_Ready'!AF48</f>
        <v>MULTIPLE</v>
      </c>
      <c r="E48" s="44" t="str">
        <f>'10_Analysis_Ready'!AG48</f>
        <v>YES</v>
      </c>
      <c r="F48" s="44" t="str">
        <f>'10_Analysis_Ready'!AH48</f>
        <v>YES</v>
      </c>
      <c r="G48" s="44" t="str">
        <f>'10_Analysis_Ready'!AI48</f>
        <v>YES</v>
      </c>
      <c r="H48" s="44" t="str">
        <f>'10_Analysis_Ready'!AJ48</f>
        <v>NO</v>
      </c>
      <c r="I48" s="44" t="str">
        <f>'10_Analysis_Ready'!AK48</f>
        <v>NO</v>
      </c>
      <c r="J48" s="44" t="str">
        <f>'10_Analysis_Ready'!AL48</f>
        <v>NO</v>
      </c>
      <c r="K48" s="44" t="str">
        <f>'10_Analysis_Ready'!AO48</f>
        <v>YES</v>
      </c>
      <c r="L48" s="44" t="str">
        <f>'10_Analysis_Ready'!AM48</f>
        <v>ZERO-SHOT</v>
      </c>
      <c r="M48" s="44" t="str">
        <f>'10_Analysis_Ready'!BJ48</f>
        <v>YES</v>
      </c>
      <c r="N48" s="44" t="str">
        <f>'10_Analysis_Ready'!BI48</f>
        <v>YES</v>
      </c>
      <c r="O48" s="44"/>
      <c r="P48" s="44"/>
      <c r="Q48" s="44"/>
      <c r="R48" s="44"/>
      <c r="S48" s="44"/>
      <c r="T48" s="44"/>
      <c r="U48" s="44"/>
      <c r="V48" s="44"/>
      <c r="W48" s="44"/>
      <c r="X48" s="44"/>
      <c r="Y48" s="44"/>
      <c r="Z48" s="44"/>
    </row>
    <row r="49" spans="1:26" ht="15.75" customHeight="1">
      <c r="A49" s="44" t="str">
        <f>'10_Analysis_Ready'!A49</f>
        <v>R0071</v>
      </c>
      <c r="B49" s="44">
        <f>'10_Analysis_Ready'!C49</f>
        <v>2024</v>
      </c>
      <c r="C49" s="44" t="str">
        <f>'10_Analysis_Ready'!BK49</f>
        <v>MODERATE</v>
      </c>
      <c r="D49" s="44" t="str">
        <f>'10_Analysis_Ready'!AF49</f>
        <v>CROSS-DATASET</v>
      </c>
      <c r="E49" s="44" t="str">
        <f>'10_Analysis_Ready'!AG49</f>
        <v>NO</v>
      </c>
      <c r="F49" s="44" t="str">
        <f>'10_Analysis_Ready'!AH49</f>
        <v>NO</v>
      </c>
      <c r="G49" s="44" t="str">
        <f>'10_Analysis_Ready'!AI49</f>
        <v>YES</v>
      </c>
      <c r="H49" s="44" t="str">
        <f>'10_Analysis_Ready'!AJ49</f>
        <v>NO</v>
      </c>
      <c r="I49" s="44" t="str">
        <f>'10_Analysis_Ready'!AK49</f>
        <v>NO</v>
      </c>
      <c r="J49" s="44" t="str">
        <f>'10_Analysis_Ready'!AL49</f>
        <v>NO</v>
      </c>
      <c r="K49" s="44" t="str">
        <f>'10_Analysis_Ready'!AO49</f>
        <v>YES</v>
      </c>
      <c r="L49" s="44" t="str">
        <f>'10_Analysis_Ready'!AM49</f>
        <v>ZERO-SHOT</v>
      </c>
      <c r="M49" s="44" t="str">
        <f>'10_Analysis_Ready'!BJ49</f>
        <v>YES</v>
      </c>
      <c r="N49" s="44" t="str">
        <f>'10_Analysis_Ready'!BI49</f>
        <v>YES</v>
      </c>
      <c r="O49" s="44"/>
      <c r="P49" s="44"/>
      <c r="Q49" s="44"/>
      <c r="R49" s="44"/>
      <c r="S49" s="44"/>
      <c r="T49" s="44"/>
      <c r="U49" s="44"/>
      <c r="V49" s="44"/>
      <c r="W49" s="44"/>
      <c r="X49" s="44"/>
      <c r="Y49" s="44"/>
      <c r="Z49" s="44"/>
    </row>
    <row r="50" spans="1:26" ht="15.75" customHeight="1">
      <c r="A50" s="44" t="str">
        <f>'10_Analysis_Ready'!A50</f>
        <v>R0072</v>
      </c>
      <c r="B50" s="44">
        <f>'10_Analysis_Ready'!C50</f>
        <v>2026</v>
      </c>
      <c r="C50" s="44" t="str">
        <f>'10_Analysis_Ready'!BK50</f>
        <v>VERY HIGH</v>
      </c>
      <c r="D50" s="44" t="str">
        <f>'10_Analysis_Ready'!AF50</f>
        <v>MULTIPLE</v>
      </c>
      <c r="E50" s="44" t="str">
        <f>'10_Analysis_Ready'!AG50</f>
        <v>YES</v>
      </c>
      <c r="F50" s="44" t="str">
        <f>'10_Analysis_Ready'!AH50</f>
        <v>YES</v>
      </c>
      <c r="G50" s="44" t="str">
        <f>'10_Analysis_Ready'!AI50</f>
        <v>NO</v>
      </c>
      <c r="H50" s="44" t="str">
        <f>'10_Analysis_Ready'!AJ50</f>
        <v>YES</v>
      </c>
      <c r="I50" s="44" t="str">
        <f>'10_Analysis_Ready'!AK50</f>
        <v>NO</v>
      </c>
      <c r="J50" s="44" t="str">
        <f>'10_Analysis_Ready'!AL50</f>
        <v>NO</v>
      </c>
      <c r="K50" s="44" t="str">
        <f>'10_Analysis_Ready'!AO50</f>
        <v>NO</v>
      </c>
      <c r="L50" s="44" t="str">
        <f>'10_Analysis_Ready'!AM50</f>
        <v>ZERO-SHOT</v>
      </c>
      <c r="M50" s="44" t="str">
        <f>'10_Analysis_Ready'!BJ50</f>
        <v>YES</v>
      </c>
      <c r="N50" s="44" t="str">
        <f>'10_Analysis_Ready'!BI50</f>
        <v>YES</v>
      </c>
      <c r="O50" s="44"/>
      <c r="P50" s="44"/>
      <c r="Q50" s="44"/>
      <c r="R50" s="44"/>
      <c r="S50" s="44"/>
      <c r="T50" s="44"/>
      <c r="U50" s="44"/>
      <c r="V50" s="44"/>
      <c r="W50" s="44"/>
      <c r="X50" s="44"/>
      <c r="Y50" s="44"/>
      <c r="Z50" s="44"/>
    </row>
    <row r="51" spans="1:26" ht="15.75" customHeight="1">
      <c r="A51" s="44" t="str">
        <f>'10_Analysis_Ready'!A51</f>
        <v>R0073</v>
      </c>
      <c r="B51" s="44">
        <f>'10_Analysis_Ready'!C51</f>
        <v>2025</v>
      </c>
      <c r="C51" s="44" t="str">
        <f>'10_Analysis_Ready'!BK51</f>
        <v>HIGH</v>
      </c>
      <c r="D51" s="44" t="str">
        <f>'10_Analysis_Ready'!AF51</f>
        <v>MULTIPLE</v>
      </c>
      <c r="E51" s="44" t="str">
        <f>'10_Analysis_Ready'!AG51</f>
        <v>YES</v>
      </c>
      <c r="F51" s="44" t="str">
        <f>'10_Analysis_Ready'!AH51</f>
        <v>YES</v>
      </c>
      <c r="G51" s="44" t="str">
        <f>'10_Analysis_Ready'!AI51</f>
        <v>YES</v>
      </c>
      <c r="H51" s="44" t="str">
        <f>'10_Analysis_Ready'!AJ51</f>
        <v>YES</v>
      </c>
      <c r="I51" s="44" t="str">
        <f>'10_Analysis_Ready'!AK51</f>
        <v>NO</v>
      </c>
      <c r="J51" s="44" t="str">
        <f>'10_Analysis_Ready'!AL51</f>
        <v>NO</v>
      </c>
      <c r="K51" s="44" t="str">
        <f>'10_Analysis_Ready'!AO51</f>
        <v>YES</v>
      </c>
      <c r="L51" s="44" t="str">
        <f>'10_Analysis_Ready'!AM51</f>
        <v>ZERO-SHOT</v>
      </c>
      <c r="M51" s="44" t="str">
        <f>'10_Analysis_Ready'!BJ51</f>
        <v>YES</v>
      </c>
      <c r="N51" s="44" t="str">
        <f>'10_Analysis_Ready'!BI51</f>
        <v>YES</v>
      </c>
      <c r="O51" s="44"/>
      <c r="P51" s="44"/>
      <c r="Q51" s="44"/>
      <c r="R51" s="44"/>
      <c r="S51" s="44"/>
      <c r="T51" s="44"/>
      <c r="U51" s="44"/>
      <c r="V51" s="44"/>
      <c r="W51" s="44"/>
      <c r="X51" s="44"/>
      <c r="Y51" s="44"/>
      <c r="Z51" s="44"/>
    </row>
    <row r="52" spans="1:26" ht="15.75" customHeight="1">
      <c r="A52" s="44" t="str">
        <f>'10_Analysis_Ready'!A52</f>
        <v>R0076</v>
      </c>
      <c r="B52" s="44">
        <f>'10_Analysis_Ready'!C52</f>
        <v>2025</v>
      </c>
      <c r="C52" s="44" t="str">
        <f>'10_Analysis_Ready'!BK52</f>
        <v>LOW</v>
      </c>
      <c r="D52" s="44" t="str">
        <f>'10_Analysis_Ready'!AF52</f>
        <v>CONTINUAL-ADAPTIVE</v>
      </c>
      <c r="E52" s="44" t="str">
        <f>'10_Analysis_Ready'!AG52</f>
        <v>NO</v>
      </c>
      <c r="F52" s="44" t="str">
        <f>'10_Analysis_Ready'!AH52</f>
        <v>NO</v>
      </c>
      <c r="G52" s="44" t="str">
        <f>'10_Analysis_Ready'!AI52</f>
        <v>NO</v>
      </c>
      <c r="H52" s="44" t="str">
        <f>'10_Analysis_Ready'!AJ52</f>
        <v>NO</v>
      </c>
      <c r="I52" s="44" t="str">
        <f>'10_Analysis_Ready'!AK52</f>
        <v>NO</v>
      </c>
      <c r="J52" s="44" t="str">
        <f>'10_Analysis_Ready'!AL52</f>
        <v>YES</v>
      </c>
      <c r="K52" s="44" t="str">
        <f>'10_Analysis_Ready'!AO52</f>
        <v>NO</v>
      </c>
      <c r="L52" s="44" t="str">
        <f>'10_Analysis_Ready'!AM52</f>
        <v>FINE-TUNED</v>
      </c>
      <c r="M52" s="44" t="str">
        <f>'10_Analysis_Ready'!BJ52</f>
        <v>NO</v>
      </c>
      <c r="N52" s="44" t="str">
        <f>'10_Analysis_Ready'!BI52</f>
        <v>NO</v>
      </c>
      <c r="O52" s="44"/>
      <c r="P52" s="44"/>
      <c r="Q52" s="44"/>
      <c r="R52" s="44"/>
      <c r="S52" s="44"/>
      <c r="T52" s="44"/>
      <c r="U52" s="44"/>
      <c r="V52" s="44"/>
      <c r="W52" s="44"/>
      <c r="X52" s="44"/>
      <c r="Y52" s="44"/>
      <c r="Z52" s="44"/>
    </row>
    <row r="53" spans="1:26" ht="15.75" customHeight="1">
      <c r="A53" s="44" t="str">
        <f>'10_Analysis_Ready'!A53</f>
        <v>R0077</v>
      </c>
      <c r="B53" s="44">
        <f>'10_Analysis_Ready'!C53</f>
        <v>2025</v>
      </c>
      <c r="C53" s="44" t="str">
        <f>'10_Analysis_Ready'!BK53</f>
        <v>VERY HIGH</v>
      </c>
      <c r="D53" s="44" t="str">
        <f>'10_Analysis_Ready'!AF53</f>
        <v>MULTIPLE</v>
      </c>
      <c r="E53" s="44" t="str">
        <f>'10_Analysis_Ready'!AG53</f>
        <v>YES</v>
      </c>
      <c r="F53" s="44" t="str">
        <f>'10_Analysis_Ready'!AH53</f>
        <v>YES</v>
      </c>
      <c r="G53" s="44" t="str">
        <f>'10_Analysis_Ready'!AI53</f>
        <v>YES</v>
      </c>
      <c r="H53" s="44" t="str">
        <f>'10_Analysis_Ready'!AJ53</f>
        <v>YES</v>
      </c>
      <c r="I53" s="44" t="str">
        <f>'10_Analysis_Ready'!AK53</f>
        <v>NO</v>
      </c>
      <c r="J53" s="44" t="str">
        <f>'10_Analysis_Ready'!AL53</f>
        <v>NO</v>
      </c>
      <c r="K53" s="44" t="str">
        <f>'10_Analysis_Ready'!AO53</f>
        <v>YES</v>
      </c>
      <c r="L53" s="44" t="str">
        <f>'10_Analysis_Ready'!AM53</f>
        <v>ZERO-SHOT</v>
      </c>
      <c r="M53" s="44" t="str">
        <f>'10_Analysis_Ready'!BJ53</f>
        <v>YES</v>
      </c>
      <c r="N53" s="44" t="str">
        <f>'10_Analysis_Ready'!BI53</f>
        <v>YES</v>
      </c>
      <c r="O53" s="44"/>
      <c r="P53" s="44"/>
      <c r="Q53" s="44"/>
      <c r="R53" s="44"/>
      <c r="S53" s="44"/>
      <c r="T53" s="44"/>
      <c r="U53" s="44"/>
      <c r="V53" s="44"/>
      <c r="W53" s="44"/>
      <c r="X53" s="44"/>
      <c r="Y53" s="44"/>
      <c r="Z53" s="44"/>
    </row>
    <row r="54" spans="1:26" ht="15.75" customHeight="1">
      <c r="A54" s="44" t="str">
        <f>'10_Analysis_Ready'!A54</f>
        <v>R0078</v>
      </c>
      <c r="B54" s="44">
        <f>'10_Analysis_Ready'!C54</f>
        <v>2022</v>
      </c>
      <c r="C54" s="44" t="str">
        <f>'10_Analysis_Ready'!BK54</f>
        <v>LOW</v>
      </c>
      <c r="D54" s="44" t="str">
        <f>'10_Analysis_Ready'!AF54</f>
        <v>MULTIPLE</v>
      </c>
      <c r="E54" s="44" t="str">
        <f>'10_Analysis_Ready'!AG54</f>
        <v>YES</v>
      </c>
      <c r="F54" s="44" t="str">
        <f>'10_Analysis_Ready'!AH54</f>
        <v>NO</v>
      </c>
      <c r="G54" s="44" t="str">
        <f>'10_Analysis_Ready'!AI54</f>
        <v>YES</v>
      </c>
      <c r="H54" s="44" t="str">
        <f>'10_Analysis_Ready'!AJ54</f>
        <v>NO</v>
      </c>
      <c r="I54" s="44" t="str">
        <f>'10_Analysis_Ready'!AK54</f>
        <v>NO</v>
      </c>
      <c r="J54" s="44" t="str">
        <f>'10_Analysis_Ready'!AL54</f>
        <v>NO</v>
      </c>
      <c r="K54" s="44" t="str">
        <f>'10_Analysis_Ready'!AO54</f>
        <v>NO</v>
      </c>
      <c r="L54" s="44" t="str">
        <f>'10_Analysis_Ready'!AM54</f>
        <v>ZERO-SHOT</v>
      </c>
      <c r="M54" s="44" t="str">
        <f>'10_Analysis_Ready'!BJ54</f>
        <v>NO</v>
      </c>
      <c r="N54" s="44" t="str">
        <f>'10_Analysis_Ready'!BI54</f>
        <v>YES</v>
      </c>
      <c r="O54" s="44"/>
      <c r="P54" s="44"/>
      <c r="Q54" s="44"/>
      <c r="R54" s="44"/>
      <c r="S54" s="44"/>
      <c r="T54" s="44"/>
      <c r="U54" s="44"/>
      <c r="V54" s="44"/>
      <c r="W54" s="44"/>
      <c r="X54" s="44"/>
      <c r="Y54" s="44"/>
      <c r="Z54" s="44"/>
    </row>
    <row r="55" spans="1:26" ht="15.75" customHeight="1">
      <c r="A55" s="44" t="str">
        <f>'10_Analysis_Ready'!A55</f>
        <v>R0080</v>
      </c>
      <c r="B55" s="44">
        <f>'10_Analysis_Ready'!C55</f>
        <v>2026</v>
      </c>
      <c r="C55" s="44" t="str">
        <f>'10_Analysis_Ready'!BK55</f>
        <v>MODERATE</v>
      </c>
      <c r="D55" s="44" t="str">
        <f>'10_Analysis_Ready'!AF55</f>
        <v>MULTIPLE</v>
      </c>
      <c r="E55" s="44" t="str">
        <f>'10_Analysis_Ready'!AG55</f>
        <v>YES</v>
      </c>
      <c r="F55" s="44" t="str">
        <f>'10_Analysis_Ready'!AH55</f>
        <v>YES</v>
      </c>
      <c r="G55" s="44" t="str">
        <f>'10_Analysis_Ready'!AI55</f>
        <v>YES</v>
      </c>
      <c r="H55" s="44" t="str">
        <f>'10_Analysis_Ready'!AJ55</f>
        <v>NO</v>
      </c>
      <c r="I55" s="44" t="str">
        <f>'10_Analysis_Ready'!AK55</f>
        <v>NO</v>
      </c>
      <c r="J55" s="44" t="str">
        <f>'10_Analysis_Ready'!AL55</f>
        <v>NO</v>
      </c>
      <c r="K55" s="44" t="str">
        <f>'10_Analysis_Ready'!AO55</f>
        <v>YES</v>
      </c>
      <c r="L55" s="44" t="str">
        <f>'10_Analysis_Ready'!AM55</f>
        <v>ZERO-SHOT</v>
      </c>
      <c r="M55" s="44" t="str">
        <f>'10_Analysis_Ready'!BJ55</f>
        <v>YES</v>
      </c>
      <c r="N55" s="44" t="str">
        <f>'10_Analysis_Ready'!BI55</f>
        <v>YES</v>
      </c>
      <c r="O55" s="44"/>
      <c r="P55" s="44"/>
      <c r="Q55" s="44"/>
      <c r="R55" s="44"/>
      <c r="S55" s="44"/>
      <c r="T55" s="44"/>
      <c r="U55" s="44"/>
      <c r="V55" s="44"/>
      <c r="W55" s="44"/>
      <c r="X55" s="44"/>
      <c r="Y55" s="44"/>
      <c r="Z55" s="44"/>
    </row>
    <row r="56" spans="1:26" ht="15.75" customHeight="1">
      <c r="A56" s="44" t="str">
        <f>'10_Analysis_Ready'!A56</f>
        <v>R0081</v>
      </c>
      <c r="B56" s="44">
        <f>'10_Analysis_Ready'!C56</f>
        <v>2024</v>
      </c>
      <c r="C56" s="44" t="str">
        <f>'10_Analysis_Ready'!BK56</f>
        <v>LOW</v>
      </c>
      <c r="D56" s="44" t="str">
        <f>'10_Analysis_Ready'!AF56</f>
        <v>NONE</v>
      </c>
      <c r="E56" s="44" t="str">
        <f>'10_Analysis_Ready'!AG56</f>
        <v>NO</v>
      </c>
      <c r="F56" s="44" t="str">
        <f>'10_Analysis_Ready'!AH56</f>
        <v>NO</v>
      </c>
      <c r="G56" s="44" t="str">
        <f>'10_Analysis_Ready'!AI56</f>
        <v>NO</v>
      </c>
      <c r="H56" s="44" t="str">
        <f>'10_Analysis_Ready'!AJ56</f>
        <v>NO</v>
      </c>
      <c r="I56" s="44" t="str">
        <f>'10_Analysis_Ready'!AK56</f>
        <v>NO</v>
      </c>
      <c r="J56" s="44" t="str">
        <f>'10_Analysis_Ready'!AL56</f>
        <v>NO</v>
      </c>
      <c r="K56" s="44" t="str">
        <f>'10_Analysis_Ready'!AO56</f>
        <v>NO</v>
      </c>
      <c r="L56" s="44" t="str">
        <f>'10_Analysis_Ready'!AM56</f>
        <v>N/A</v>
      </c>
      <c r="M56" s="44" t="str">
        <f>'10_Analysis_Ready'!BJ56</f>
        <v>NO</v>
      </c>
      <c r="N56" s="44" t="str">
        <f>'10_Analysis_Ready'!BI56</f>
        <v>NO</v>
      </c>
      <c r="O56" s="44"/>
      <c r="P56" s="44"/>
      <c r="Q56" s="44"/>
      <c r="R56" s="44"/>
      <c r="S56" s="44"/>
      <c r="T56" s="44"/>
      <c r="U56" s="44"/>
      <c r="V56" s="44"/>
      <c r="W56" s="44"/>
      <c r="X56" s="44"/>
      <c r="Y56" s="44"/>
      <c r="Z56" s="44"/>
    </row>
    <row r="57" spans="1:26" ht="15.75" customHeight="1">
      <c r="A57" s="44" t="str">
        <f>'10_Analysis_Ready'!A57</f>
        <v>R0082</v>
      </c>
      <c r="B57" s="44">
        <f>'10_Analysis_Ready'!C57</f>
        <v>2026</v>
      </c>
      <c r="C57" s="44" t="str">
        <f>'10_Analysis_Ready'!BK57</f>
        <v>HIGH</v>
      </c>
      <c r="D57" s="44" t="str">
        <f>'10_Analysis_Ready'!AF57</f>
        <v>MULTIPLE</v>
      </c>
      <c r="E57" s="44" t="str">
        <f>'10_Analysis_Ready'!AG57</f>
        <v>YES</v>
      </c>
      <c r="F57" s="44" t="str">
        <f>'10_Analysis_Ready'!AH57</f>
        <v>YES</v>
      </c>
      <c r="G57" s="44" t="str">
        <f>'10_Analysis_Ready'!AI57</f>
        <v>YES</v>
      </c>
      <c r="H57" s="44" t="str">
        <f>'10_Analysis_Ready'!AJ57</f>
        <v>NO</v>
      </c>
      <c r="I57" s="44" t="str">
        <f>'10_Analysis_Ready'!AK57</f>
        <v>NO</v>
      </c>
      <c r="J57" s="44" t="str">
        <f>'10_Analysis_Ready'!AL57</f>
        <v>NO</v>
      </c>
      <c r="K57" s="44" t="str">
        <f>'10_Analysis_Ready'!AO57</f>
        <v>NO</v>
      </c>
      <c r="L57" s="44" t="str">
        <f>'10_Analysis_Ready'!AM57</f>
        <v>ZERO-SHOT</v>
      </c>
      <c r="M57" s="44" t="str">
        <f>'10_Analysis_Ready'!BJ57</f>
        <v>YES</v>
      </c>
      <c r="N57" s="44" t="str">
        <f>'10_Analysis_Ready'!BI57</f>
        <v>YES</v>
      </c>
      <c r="O57" s="44"/>
      <c r="P57" s="44"/>
      <c r="Q57" s="44"/>
      <c r="R57" s="44"/>
      <c r="S57" s="44"/>
      <c r="T57" s="44"/>
      <c r="U57" s="44"/>
      <c r="V57" s="44"/>
      <c r="W57" s="44"/>
      <c r="X57" s="44"/>
      <c r="Y57" s="44"/>
      <c r="Z57" s="44"/>
    </row>
    <row r="58" spans="1:26" ht="15.75" customHeight="1">
      <c r="A58" s="44" t="str">
        <f>'10_Analysis_Ready'!A58</f>
        <v>R0083</v>
      </c>
      <c r="B58" s="44">
        <f>'10_Analysis_Ready'!C58</f>
        <v>2026</v>
      </c>
      <c r="C58" s="44" t="str">
        <f>'10_Analysis_Ready'!BK58</f>
        <v>HIGH</v>
      </c>
      <c r="D58" s="44" t="str">
        <f>'10_Analysis_Ready'!AF58</f>
        <v>MULTIPLE</v>
      </c>
      <c r="E58" s="44" t="str">
        <f>'10_Analysis_Ready'!AG58</f>
        <v>YES</v>
      </c>
      <c r="F58" s="44" t="str">
        <f>'10_Analysis_Ready'!AH58</f>
        <v>YES</v>
      </c>
      <c r="G58" s="44" t="str">
        <f>'10_Analysis_Ready'!AI58</f>
        <v>YES</v>
      </c>
      <c r="H58" s="44" t="str">
        <f>'10_Analysis_Ready'!AJ58</f>
        <v>NO</v>
      </c>
      <c r="I58" s="44" t="str">
        <f>'10_Analysis_Ready'!AK58</f>
        <v>NO</v>
      </c>
      <c r="J58" s="44" t="str">
        <f>'10_Analysis_Ready'!AL58</f>
        <v>NO</v>
      </c>
      <c r="K58" s="44" t="str">
        <f>'10_Analysis_Ready'!AO58</f>
        <v>NO</v>
      </c>
      <c r="L58" s="44" t="str">
        <f>'10_Analysis_Ready'!AM58</f>
        <v>ZERO-SHOT</v>
      </c>
      <c r="M58" s="44" t="str">
        <f>'10_Analysis_Ready'!BJ58</f>
        <v>YES</v>
      </c>
      <c r="N58" s="44" t="str">
        <f>'10_Analysis_Ready'!BI58</f>
        <v>YES</v>
      </c>
      <c r="O58" s="44"/>
      <c r="P58" s="44"/>
      <c r="Q58" s="44"/>
      <c r="R58" s="44"/>
      <c r="S58" s="44"/>
      <c r="T58" s="44"/>
      <c r="U58" s="44"/>
      <c r="V58" s="44"/>
      <c r="W58" s="44"/>
      <c r="X58" s="44"/>
      <c r="Y58" s="44"/>
      <c r="Z58" s="44"/>
    </row>
    <row r="59" spans="1:26" ht="15.75" customHeight="1">
      <c r="A59" s="44" t="str">
        <f>'10_Analysis_Ready'!A59</f>
        <v>R0085</v>
      </c>
      <c r="B59" s="44">
        <f>'10_Analysis_Ready'!C59</f>
        <v>2024</v>
      </c>
      <c r="C59" s="44" t="str">
        <f>'10_Analysis_Ready'!BK59</f>
        <v>MODERATE</v>
      </c>
      <c r="D59" s="44" t="str">
        <f>'10_Analysis_Ready'!AF59</f>
        <v>MULTIPLE</v>
      </c>
      <c r="E59" s="44" t="str">
        <f>'10_Analysis_Ready'!AG59</f>
        <v>YES</v>
      </c>
      <c r="F59" s="44" t="str">
        <f>'10_Analysis_Ready'!AH59</f>
        <v>YES</v>
      </c>
      <c r="G59" s="44" t="str">
        <f>'10_Analysis_Ready'!AI59</f>
        <v>YES</v>
      </c>
      <c r="H59" s="44" t="str">
        <f>'10_Analysis_Ready'!AJ59</f>
        <v>YES</v>
      </c>
      <c r="I59" s="44" t="str">
        <f>'10_Analysis_Ready'!AK59</f>
        <v>NO</v>
      </c>
      <c r="J59" s="44" t="str">
        <f>'10_Analysis_Ready'!AL59</f>
        <v>NO</v>
      </c>
      <c r="K59" s="44" t="str">
        <f>'10_Analysis_Ready'!AO59</f>
        <v>YES</v>
      </c>
      <c r="L59" s="44" t="str">
        <f>'10_Analysis_Ready'!AM59</f>
        <v>ZERO-SHOT</v>
      </c>
      <c r="M59" s="44" t="str">
        <f>'10_Analysis_Ready'!BJ59</f>
        <v>YES</v>
      </c>
      <c r="N59" s="44" t="str">
        <f>'10_Analysis_Ready'!BI59</f>
        <v>YES</v>
      </c>
      <c r="O59" s="44"/>
      <c r="P59" s="44"/>
      <c r="Q59" s="44"/>
      <c r="R59" s="44"/>
      <c r="S59" s="44"/>
      <c r="T59" s="44"/>
      <c r="U59" s="44"/>
      <c r="V59" s="44"/>
      <c r="W59" s="44"/>
      <c r="X59" s="44"/>
      <c r="Y59" s="44"/>
      <c r="Z59" s="44"/>
    </row>
    <row r="60" spans="1:26" ht="15.75" customHeight="1">
      <c r="A60" s="44" t="str">
        <f>'10_Analysis_Ready'!A60</f>
        <v>R0086</v>
      </c>
      <c r="B60" s="44">
        <f>'10_Analysis_Ready'!C60</f>
        <v>2026</v>
      </c>
      <c r="C60" s="44" t="str">
        <f>'10_Analysis_Ready'!BK60</f>
        <v>LOW</v>
      </c>
      <c r="D60" s="44" t="str">
        <f>'10_Analysis_Ready'!AF60</f>
        <v>NONE</v>
      </c>
      <c r="E60" s="44" t="str">
        <f>'10_Analysis_Ready'!AG60</f>
        <v>NO</v>
      </c>
      <c r="F60" s="44" t="str">
        <f>'10_Analysis_Ready'!AH60</f>
        <v>NO</v>
      </c>
      <c r="G60" s="44" t="str">
        <f>'10_Analysis_Ready'!AI60</f>
        <v>NO</v>
      </c>
      <c r="H60" s="44" t="str">
        <f>'10_Analysis_Ready'!AJ60</f>
        <v>NO</v>
      </c>
      <c r="I60" s="44" t="str">
        <f>'10_Analysis_Ready'!AK60</f>
        <v>NO</v>
      </c>
      <c r="J60" s="44" t="str">
        <f>'10_Analysis_Ready'!AL60</f>
        <v>NO</v>
      </c>
      <c r="K60" s="44" t="str">
        <f>'10_Analysis_Ready'!AO60</f>
        <v>YES</v>
      </c>
      <c r="L60" s="44" t="str">
        <f>'10_Analysis_Ready'!AM60</f>
        <v>N/A</v>
      </c>
      <c r="M60" s="44" t="str">
        <f>'10_Analysis_Ready'!BJ60</f>
        <v>NO</v>
      </c>
      <c r="N60" s="44" t="str">
        <f>'10_Analysis_Ready'!BI60</f>
        <v>YES</v>
      </c>
      <c r="O60" s="44"/>
      <c r="P60" s="44"/>
      <c r="Q60" s="44"/>
      <c r="R60" s="44"/>
      <c r="S60" s="44"/>
      <c r="T60" s="44"/>
      <c r="U60" s="44"/>
      <c r="V60" s="44"/>
      <c r="W60" s="44"/>
      <c r="X60" s="44"/>
      <c r="Y60" s="44"/>
      <c r="Z60" s="44"/>
    </row>
    <row r="61" spans="1:26" ht="15.75" customHeight="1">
      <c r="A61" s="44" t="str">
        <f>'10_Analysis_Ready'!A61</f>
        <v>R0089</v>
      </c>
      <c r="B61" s="44">
        <f>'10_Analysis_Ready'!C61</f>
        <v>2025</v>
      </c>
      <c r="C61" s="44" t="str">
        <f>'10_Analysis_Ready'!BK61</f>
        <v>MODERATE</v>
      </c>
      <c r="D61" s="44" t="str">
        <f>'10_Analysis_Ready'!AF61</f>
        <v>CROSS-GENERATOR</v>
      </c>
      <c r="E61" s="44" t="str">
        <f>'10_Analysis_Ready'!AG61</f>
        <v>YES</v>
      </c>
      <c r="F61" s="44" t="str">
        <f>'10_Analysis_Ready'!AH61</f>
        <v>NO</v>
      </c>
      <c r="G61" s="44" t="str">
        <f>'10_Analysis_Ready'!AI61</f>
        <v>NO</v>
      </c>
      <c r="H61" s="44" t="str">
        <f>'10_Analysis_Ready'!AJ61</f>
        <v>NO</v>
      </c>
      <c r="I61" s="44" t="str">
        <f>'10_Analysis_Ready'!AK61</f>
        <v>NO</v>
      </c>
      <c r="J61" s="44" t="str">
        <f>'10_Analysis_Ready'!AL61</f>
        <v>NO</v>
      </c>
      <c r="K61" s="44" t="str">
        <f>'10_Analysis_Ready'!AO61</f>
        <v>NO</v>
      </c>
      <c r="L61" s="44" t="str">
        <f>'10_Analysis_Ready'!AM61</f>
        <v>ZERO-SHOT</v>
      </c>
      <c r="M61" s="44" t="str">
        <f>'10_Analysis_Ready'!BJ61</f>
        <v>YES</v>
      </c>
      <c r="N61" s="44" t="str">
        <f>'10_Analysis_Ready'!BI61</f>
        <v>YES</v>
      </c>
      <c r="O61" s="44"/>
      <c r="P61" s="44"/>
      <c r="Q61" s="44"/>
      <c r="R61" s="44"/>
      <c r="S61" s="44"/>
      <c r="T61" s="44"/>
      <c r="U61" s="44"/>
      <c r="V61" s="44"/>
      <c r="W61" s="44"/>
      <c r="X61" s="44"/>
      <c r="Y61" s="44"/>
      <c r="Z61" s="44"/>
    </row>
    <row r="62" spans="1:26" ht="15.75" customHeight="1">
      <c r="A62" s="44" t="str">
        <f>'10_Analysis_Ready'!A62</f>
        <v>R0090</v>
      </c>
      <c r="B62" s="44">
        <f>'10_Analysis_Ready'!C62</f>
        <v>2026</v>
      </c>
      <c r="C62" s="44" t="str">
        <f>'10_Analysis_Ready'!BK62</f>
        <v>MODERATE</v>
      </c>
      <c r="D62" s="44" t="str">
        <f>'10_Analysis_Ready'!AF62</f>
        <v>MULTIPLE</v>
      </c>
      <c r="E62" s="44" t="str">
        <f>'10_Analysis_Ready'!AG62</f>
        <v>YES</v>
      </c>
      <c r="F62" s="44" t="str">
        <f>'10_Analysis_Ready'!AH62</f>
        <v>YES</v>
      </c>
      <c r="G62" s="44" t="str">
        <f>'10_Analysis_Ready'!AI62</f>
        <v>NO</v>
      </c>
      <c r="H62" s="44" t="str">
        <f>'10_Analysis_Ready'!AJ62</f>
        <v>NO</v>
      </c>
      <c r="I62" s="44" t="str">
        <f>'10_Analysis_Ready'!AK62</f>
        <v>NO</v>
      </c>
      <c r="J62" s="44" t="str">
        <f>'10_Analysis_Ready'!AL62</f>
        <v>YES</v>
      </c>
      <c r="K62" s="44" t="str">
        <f>'10_Analysis_Ready'!AO62</f>
        <v>YES</v>
      </c>
      <c r="L62" s="44" t="str">
        <f>'10_Analysis_Ready'!AM62</f>
        <v>FINE-TUNED</v>
      </c>
      <c r="M62" s="44" t="str">
        <f>'10_Analysis_Ready'!BJ62</f>
        <v>YES</v>
      </c>
      <c r="N62" s="44" t="str">
        <f>'10_Analysis_Ready'!BI62</f>
        <v>YES</v>
      </c>
      <c r="O62" s="44"/>
      <c r="P62" s="44"/>
      <c r="Q62" s="44"/>
      <c r="R62" s="44"/>
      <c r="S62" s="44"/>
      <c r="T62" s="44"/>
      <c r="U62" s="44"/>
      <c r="V62" s="44"/>
      <c r="W62" s="44"/>
      <c r="X62" s="44"/>
      <c r="Y62" s="44"/>
      <c r="Z62" s="44"/>
    </row>
    <row r="63" spans="1:26" ht="15.75" customHeight="1">
      <c r="A63" s="44" t="str">
        <f>'10_Analysis_Ready'!A63</f>
        <v>R0091</v>
      </c>
      <c r="B63" s="44">
        <f>'10_Analysis_Ready'!C63</f>
        <v>2026</v>
      </c>
      <c r="C63" s="44" t="str">
        <f>'10_Analysis_Ready'!BK63</f>
        <v>HIGH</v>
      </c>
      <c r="D63" s="44" t="str">
        <f>'10_Analysis_Ready'!AF63</f>
        <v>MULTIPLE</v>
      </c>
      <c r="E63" s="44" t="str">
        <f>'10_Analysis_Ready'!AG63</f>
        <v>YES</v>
      </c>
      <c r="F63" s="44" t="str">
        <f>'10_Analysis_Ready'!AH63</f>
        <v>YES</v>
      </c>
      <c r="G63" s="44" t="str">
        <f>'10_Analysis_Ready'!AI63</f>
        <v>YES</v>
      </c>
      <c r="H63" s="44" t="str">
        <f>'10_Analysis_Ready'!AJ63</f>
        <v>YES</v>
      </c>
      <c r="I63" s="44" t="str">
        <f>'10_Analysis_Ready'!AK63</f>
        <v>NO</v>
      </c>
      <c r="J63" s="44" t="str">
        <f>'10_Analysis_Ready'!AL63</f>
        <v>YES</v>
      </c>
      <c r="K63" s="44" t="str">
        <f>'10_Analysis_Ready'!AO63</f>
        <v>YES</v>
      </c>
      <c r="L63" s="44" t="str">
        <f>'10_Analysis_Ready'!AM63</f>
        <v>MIXED</v>
      </c>
      <c r="M63" s="44" t="str">
        <f>'10_Analysis_Ready'!BJ63</f>
        <v>YES</v>
      </c>
      <c r="N63" s="44" t="str">
        <f>'10_Analysis_Ready'!BI63</f>
        <v>YES</v>
      </c>
      <c r="O63" s="44"/>
      <c r="P63" s="44"/>
      <c r="Q63" s="44"/>
      <c r="R63" s="44"/>
      <c r="S63" s="44"/>
      <c r="T63" s="44"/>
      <c r="U63" s="44"/>
      <c r="V63" s="44"/>
      <c r="W63" s="44"/>
      <c r="X63" s="44"/>
      <c r="Y63" s="44"/>
      <c r="Z63" s="44"/>
    </row>
    <row r="64" spans="1:26" ht="15.75" customHeight="1">
      <c r="A64" s="44" t="str">
        <f>'10_Analysis_Ready'!A64</f>
        <v>R0095</v>
      </c>
      <c r="B64" s="44">
        <f>'10_Analysis_Ready'!C64</f>
        <v>2025</v>
      </c>
      <c r="C64" s="44" t="str">
        <f>'10_Analysis_Ready'!BK64</f>
        <v>LOW</v>
      </c>
      <c r="D64" s="44" t="str">
        <f>'10_Analysis_Ready'!AF64</f>
        <v>OPEN-SET</v>
      </c>
      <c r="E64" s="44" t="str">
        <f>'10_Analysis_Ready'!AG64</f>
        <v>NO</v>
      </c>
      <c r="F64" s="44" t="str">
        <f>'10_Analysis_Ready'!AH64</f>
        <v>NO</v>
      </c>
      <c r="G64" s="44" t="str">
        <f>'10_Analysis_Ready'!AI64</f>
        <v>NO</v>
      </c>
      <c r="H64" s="44" t="str">
        <f>'10_Analysis_Ready'!AJ64</f>
        <v>NO</v>
      </c>
      <c r="I64" s="44" t="str">
        <f>'10_Analysis_Ready'!AK64</f>
        <v>YES</v>
      </c>
      <c r="J64" s="44" t="str">
        <f>'10_Analysis_Ready'!AL64</f>
        <v>NO</v>
      </c>
      <c r="K64" s="44" t="str">
        <f>'10_Analysis_Ready'!AO64</f>
        <v>NO</v>
      </c>
      <c r="L64" s="44" t="str">
        <f>'10_Analysis_Ready'!AM64</f>
        <v>RETRAINED</v>
      </c>
      <c r="M64" s="44" t="str">
        <f>'10_Analysis_Ready'!BJ64</f>
        <v>NO</v>
      </c>
      <c r="N64" s="44" t="str">
        <f>'10_Analysis_Ready'!BI64</f>
        <v>YES</v>
      </c>
      <c r="O64" s="44"/>
      <c r="P64" s="44"/>
      <c r="Q64" s="44"/>
      <c r="R64" s="44"/>
      <c r="S64" s="44"/>
      <c r="T64" s="44"/>
      <c r="U64" s="44"/>
      <c r="V64" s="44"/>
      <c r="W64" s="44"/>
      <c r="X64" s="44"/>
      <c r="Y64" s="44"/>
      <c r="Z64" s="44"/>
    </row>
    <row r="65" spans="1:26" ht="15.75" customHeight="1">
      <c r="A65" s="44" t="str">
        <f>'10_Analysis_Ready'!A65</f>
        <v>R0096</v>
      </c>
      <c r="B65" s="44">
        <f>'10_Analysis_Ready'!C65</f>
        <v>2026</v>
      </c>
      <c r="C65" s="44" t="str">
        <f>'10_Analysis_Ready'!BK65</f>
        <v>HIGH</v>
      </c>
      <c r="D65" s="44" t="str">
        <f>'10_Analysis_Ready'!AF65</f>
        <v>MULTIPLE</v>
      </c>
      <c r="E65" s="44" t="str">
        <f>'10_Analysis_Ready'!AG65</f>
        <v>YES</v>
      </c>
      <c r="F65" s="44" t="str">
        <f>'10_Analysis_Ready'!AH65</f>
        <v>YES</v>
      </c>
      <c r="G65" s="44" t="str">
        <f>'10_Analysis_Ready'!AI65</f>
        <v>YES</v>
      </c>
      <c r="H65" s="44" t="str">
        <f>'10_Analysis_Ready'!AJ65</f>
        <v>NO</v>
      </c>
      <c r="I65" s="44" t="str">
        <f>'10_Analysis_Ready'!AK65</f>
        <v>YES</v>
      </c>
      <c r="J65" s="44" t="str">
        <f>'10_Analysis_Ready'!AL65</f>
        <v>NO</v>
      </c>
      <c r="K65" s="44" t="str">
        <f>'10_Analysis_Ready'!AO65</f>
        <v>YES</v>
      </c>
      <c r="L65" s="44" t="str">
        <f>'10_Analysis_Ready'!AM65</f>
        <v>RETRAINED</v>
      </c>
      <c r="M65" s="44" t="str">
        <f>'10_Analysis_Ready'!BJ65</f>
        <v>YES</v>
      </c>
      <c r="N65" s="44" t="str">
        <f>'10_Analysis_Ready'!BI65</f>
        <v>YES</v>
      </c>
      <c r="O65" s="44"/>
      <c r="P65" s="44"/>
      <c r="Q65" s="44"/>
      <c r="R65" s="44"/>
      <c r="S65" s="44"/>
      <c r="T65" s="44"/>
      <c r="U65" s="44"/>
      <c r="V65" s="44"/>
      <c r="W65" s="44"/>
      <c r="X65" s="44"/>
      <c r="Y65" s="44"/>
      <c r="Z65" s="44"/>
    </row>
    <row r="66" spans="1:26" ht="15.75" customHeight="1">
      <c r="A66" s="44" t="str">
        <f>'10_Analysis_Ready'!A66</f>
        <v>R0097</v>
      </c>
      <c r="B66" s="44">
        <f>'10_Analysis_Ready'!C66</f>
        <v>2026</v>
      </c>
      <c r="C66" s="44" t="str">
        <f>'10_Analysis_Ready'!BK66</f>
        <v>MODERATE</v>
      </c>
      <c r="D66" s="44" t="str">
        <f>'10_Analysis_Ready'!AF66</f>
        <v>MULTIPLE</v>
      </c>
      <c r="E66" s="44" t="str">
        <f>'10_Analysis_Ready'!AG66</f>
        <v>YES</v>
      </c>
      <c r="F66" s="44" t="str">
        <f>'10_Analysis_Ready'!AH66</f>
        <v>YES</v>
      </c>
      <c r="G66" s="44" t="str">
        <f>'10_Analysis_Ready'!AI66</f>
        <v>YES</v>
      </c>
      <c r="H66" s="44" t="str">
        <f>'10_Analysis_Ready'!AJ66</f>
        <v>NO</v>
      </c>
      <c r="I66" s="44" t="str">
        <f>'10_Analysis_Ready'!AK66</f>
        <v>YES</v>
      </c>
      <c r="J66" s="44" t="str">
        <f>'10_Analysis_Ready'!AL66</f>
        <v>NO</v>
      </c>
      <c r="K66" s="44" t="str">
        <f>'10_Analysis_Ready'!AO66</f>
        <v>YES</v>
      </c>
      <c r="L66" s="44" t="str">
        <f>'10_Analysis_Ready'!AM66</f>
        <v>ZERO-SHOT</v>
      </c>
      <c r="M66" s="44" t="str">
        <f>'10_Analysis_Ready'!BJ66</f>
        <v>YES</v>
      </c>
      <c r="N66" s="44" t="str">
        <f>'10_Analysis_Ready'!BI66</f>
        <v>YES</v>
      </c>
      <c r="O66" s="44"/>
      <c r="P66" s="44"/>
      <c r="Q66" s="44"/>
      <c r="R66" s="44"/>
      <c r="S66" s="44"/>
      <c r="T66" s="44"/>
      <c r="U66" s="44"/>
      <c r="V66" s="44"/>
      <c r="W66" s="44"/>
      <c r="X66" s="44"/>
      <c r="Y66" s="44"/>
      <c r="Z66" s="44"/>
    </row>
    <row r="67" spans="1:26" ht="15.75" customHeight="1">
      <c r="A67" s="44" t="str">
        <f>'10_Analysis_Ready'!A67</f>
        <v>R0098</v>
      </c>
      <c r="B67" s="44">
        <f>'10_Analysis_Ready'!C67</f>
        <v>2026</v>
      </c>
      <c r="C67" s="44" t="str">
        <f>'10_Analysis_Ready'!BK67</f>
        <v>LOW</v>
      </c>
      <c r="D67" s="44" t="str">
        <f>'10_Analysis_Ready'!AF67</f>
        <v>NONE</v>
      </c>
      <c r="E67" s="44" t="str">
        <f>'10_Analysis_Ready'!AG67</f>
        <v>NO</v>
      </c>
      <c r="F67" s="44" t="str">
        <f>'10_Analysis_Ready'!AH67</f>
        <v>NO</v>
      </c>
      <c r="G67" s="44" t="str">
        <f>'10_Analysis_Ready'!AI67</f>
        <v>NO</v>
      </c>
      <c r="H67" s="44" t="str">
        <f>'10_Analysis_Ready'!AJ67</f>
        <v>NO</v>
      </c>
      <c r="I67" s="44" t="str">
        <f>'10_Analysis_Ready'!AK67</f>
        <v>NO</v>
      </c>
      <c r="J67" s="44" t="str">
        <f>'10_Analysis_Ready'!AL67</f>
        <v>NO</v>
      </c>
      <c r="K67" s="44" t="str">
        <f>'10_Analysis_Ready'!AO67</f>
        <v>NO</v>
      </c>
      <c r="L67" s="44" t="str">
        <f>'10_Analysis_Ready'!AM67</f>
        <v>N/A</v>
      </c>
      <c r="M67" s="44" t="str">
        <f>'10_Analysis_Ready'!BJ67</f>
        <v>NO</v>
      </c>
      <c r="N67" s="44" t="str">
        <f>'10_Analysis_Ready'!BI67</f>
        <v>YES</v>
      </c>
      <c r="O67" s="44"/>
      <c r="P67" s="44"/>
      <c r="Q67" s="44"/>
      <c r="R67" s="44"/>
      <c r="S67" s="44"/>
      <c r="T67" s="44"/>
      <c r="U67" s="44"/>
      <c r="V67" s="44"/>
      <c r="W67" s="44"/>
      <c r="X67" s="44"/>
      <c r="Y67" s="44"/>
      <c r="Z67" s="44"/>
    </row>
    <row r="68" spans="1:26" ht="15.75" customHeight="1">
      <c r="A68" s="44" t="str">
        <f>'10_Analysis_Ready'!A68</f>
        <v>R0099</v>
      </c>
      <c r="B68" s="44">
        <f>'10_Analysis_Ready'!C68</f>
        <v>2025</v>
      </c>
      <c r="C68" s="44" t="str">
        <f>'10_Analysis_Ready'!BK68</f>
        <v>MODERATE</v>
      </c>
      <c r="D68" s="44" t="str">
        <f>'10_Analysis_Ready'!AF68</f>
        <v>MULTIPLE</v>
      </c>
      <c r="E68" s="44" t="str">
        <f>'10_Analysis_Ready'!AG68</f>
        <v>YES</v>
      </c>
      <c r="F68" s="44" t="str">
        <f>'10_Analysis_Ready'!AH68</f>
        <v>NO</v>
      </c>
      <c r="G68" s="44" t="str">
        <f>'10_Analysis_Ready'!AI68</f>
        <v>YES</v>
      </c>
      <c r="H68" s="44" t="str">
        <f>'10_Analysis_Ready'!AJ68</f>
        <v>YES</v>
      </c>
      <c r="I68" s="44" t="str">
        <f>'10_Analysis_Ready'!AK68</f>
        <v>YES</v>
      </c>
      <c r="J68" s="44" t="str">
        <f>'10_Analysis_Ready'!AL68</f>
        <v>NO</v>
      </c>
      <c r="K68" s="44" t="str">
        <f>'10_Analysis_Ready'!AO68</f>
        <v>NO</v>
      </c>
      <c r="L68" s="44" t="str">
        <f>'10_Analysis_Ready'!AM68</f>
        <v>ZERO-SHOT</v>
      </c>
      <c r="M68" s="44" t="str">
        <f>'10_Analysis_Ready'!BJ68</f>
        <v>YES</v>
      </c>
      <c r="N68" s="44" t="str">
        <f>'10_Analysis_Ready'!BI68</f>
        <v>YES</v>
      </c>
      <c r="O68" s="44"/>
      <c r="P68" s="44"/>
      <c r="Q68" s="44"/>
      <c r="R68" s="44"/>
      <c r="S68" s="44"/>
      <c r="T68" s="44"/>
      <c r="U68" s="44"/>
      <c r="V68" s="44"/>
      <c r="W68" s="44"/>
      <c r="X68" s="44"/>
      <c r="Y68" s="44"/>
      <c r="Z68" s="44"/>
    </row>
    <row r="69" spans="1:26" ht="15.75" customHeight="1">
      <c r="A69" s="44" t="str">
        <f>'10_Analysis_Ready'!A69</f>
        <v>R0101</v>
      </c>
      <c r="B69" s="44">
        <f>'10_Analysis_Ready'!C69</f>
        <v>2023</v>
      </c>
      <c r="C69" s="44" t="str">
        <f>'10_Analysis_Ready'!BK69</f>
        <v>MODERATE</v>
      </c>
      <c r="D69" s="44" t="str">
        <f>'10_Analysis_Ready'!AF69</f>
        <v>MULTIPLE</v>
      </c>
      <c r="E69" s="44" t="str">
        <f>'10_Analysis_Ready'!AG69</f>
        <v>YES</v>
      </c>
      <c r="F69" s="44" t="str">
        <f>'10_Analysis_Ready'!AH69</f>
        <v>NO</v>
      </c>
      <c r="G69" s="44" t="str">
        <f>'10_Analysis_Ready'!AI69</f>
        <v>YES</v>
      </c>
      <c r="H69" s="44" t="str">
        <f>'10_Analysis_Ready'!AJ69</f>
        <v>NO</v>
      </c>
      <c r="I69" s="44" t="str">
        <f>'10_Analysis_Ready'!AK69</f>
        <v>YES</v>
      </c>
      <c r="J69" s="44" t="str">
        <f>'10_Analysis_Ready'!AL69</f>
        <v>NO</v>
      </c>
      <c r="K69" s="44" t="str">
        <f>'10_Analysis_Ready'!AO69</f>
        <v>YES</v>
      </c>
      <c r="L69" s="44" t="str">
        <f>'10_Analysis_Ready'!AM69</f>
        <v>ZERO-SHOT</v>
      </c>
      <c r="M69" s="44" t="str">
        <f>'10_Analysis_Ready'!BJ69</f>
        <v>YES</v>
      </c>
      <c r="N69" s="44" t="str">
        <f>'10_Analysis_Ready'!BI69</f>
        <v>YES</v>
      </c>
      <c r="O69" s="44"/>
      <c r="P69" s="44"/>
      <c r="Q69" s="44"/>
      <c r="R69" s="44"/>
      <c r="S69" s="44"/>
      <c r="T69" s="44"/>
      <c r="U69" s="44"/>
      <c r="V69" s="44"/>
      <c r="W69" s="44"/>
      <c r="X69" s="44"/>
      <c r="Y69" s="44"/>
      <c r="Z69" s="44"/>
    </row>
    <row r="70" spans="1:26" ht="15.75" customHeight="1">
      <c r="A70" s="44" t="str">
        <f>'10_Analysis_Ready'!A70</f>
        <v>R0104</v>
      </c>
      <c r="B70" s="44">
        <f>'10_Analysis_Ready'!C70</f>
        <v>2026</v>
      </c>
      <c r="C70" s="44" t="str">
        <f>'10_Analysis_Ready'!BK70</f>
        <v>MODERATE</v>
      </c>
      <c r="D70" s="44" t="str">
        <f>'10_Analysis_Ready'!AF70</f>
        <v>MULTIPLE</v>
      </c>
      <c r="E70" s="44" t="str">
        <f>'10_Analysis_Ready'!AG70</f>
        <v>YES</v>
      </c>
      <c r="F70" s="44" t="str">
        <f>'10_Analysis_Ready'!AH70</f>
        <v>YES</v>
      </c>
      <c r="G70" s="44" t="str">
        <f>'10_Analysis_Ready'!AI70</f>
        <v>YES</v>
      </c>
      <c r="H70" s="44" t="str">
        <f>'10_Analysis_Ready'!AJ70</f>
        <v>YES</v>
      </c>
      <c r="I70" s="44" t="str">
        <f>'10_Analysis_Ready'!AK70</f>
        <v>YES</v>
      </c>
      <c r="J70" s="44" t="str">
        <f>'10_Analysis_Ready'!AL70</f>
        <v>NO</v>
      </c>
      <c r="K70" s="44" t="str">
        <f>'10_Analysis_Ready'!AO70</f>
        <v>YES</v>
      </c>
      <c r="L70" s="44" t="str">
        <f>'10_Analysis_Ready'!AM70</f>
        <v>ZERO-SHOT</v>
      </c>
      <c r="M70" s="44" t="str">
        <f>'10_Analysis_Ready'!BJ70</f>
        <v>YES</v>
      </c>
      <c r="N70" s="44" t="str">
        <f>'10_Analysis_Ready'!BI70</f>
        <v>YES</v>
      </c>
      <c r="O70" s="44"/>
      <c r="P70" s="44"/>
      <c r="Q70" s="44"/>
      <c r="R70" s="44"/>
      <c r="S70" s="44"/>
      <c r="T70" s="44"/>
      <c r="U70" s="44"/>
      <c r="V70" s="44"/>
      <c r="W70" s="44"/>
      <c r="X70" s="44"/>
      <c r="Y70" s="44"/>
      <c r="Z70" s="44"/>
    </row>
    <row r="71" spans="1:26" ht="15.75" customHeight="1">
      <c r="A71" s="44" t="str">
        <f>'10_Analysis_Ready'!A71</f>
        <v>R0105</v>
      </c>
      <c r="B71" s="44">
        <f>'10_Analysis_Ready'!C71</f>
        <v>2024</v>
      </c>
      <c r="C71" s="44" t="str">
        <f>'10_Analysis_Ready'!BK71</f>
        <v>LOW</v>
      </c>
      <c r="D71" s="44" t="str">
        <f>'10_Analysis_Ready'!AF71</f>
        <v>MULTIPLE</v>
      </c>
      <c r="E71" s="44" t="str">
        <f>'10_Analysis_Ready'!AG71</f>
        <v>YES</v>
      </c>
      <c r="F71" s="44" t="str">
        <f>'10_Analysis_Ready'!AH71</f>
        <v>NO</v>
      </c>
      <c r="G71" s="44" t="str">
        <f>'10_Analysis_Ready'!AI71</f>
        <v>YES</v>
      </c>
      <c r="H71" s="44" t="str">
        <f>'10_Analysis_Ready'!AJ71</f>
        <v>UNCLEAR</v>
      </c>
      <c r="I71" s="44" t="str">
        <f>'10_Analysis_Ready'!AK71</f>
        <v>NO</v>
      </c>
      <c r="J71" s="44" t="str">
        <f>'10_Analysis_Ready'!AL71</f>
        <v>NO</v>
      </c>
      <c r="K71" s="44" t="str">
        <f>'10_Analysis_Ready'!AO71</f>
        <v>NO</v>
      </c>
      <c r="L71" s="44" t="str">
        <f>'10_Analysis_Ready'!AM71</f>
        <v>ZERO-SHOT</v>
      </c>
      <c r="M71" s="44" t="str">
        <f>'10_Analysis_Ready'!BJ71</f>
        <v>NO</v>
      </c>
      <c r="N71" s="44" t="str">
        <f>'10_Analysis_Ready'!BI71</f>
        <v>YES</v>
      </c>
      <c r="O71" s="44"/>
      <c r="P71" s="44"/>
      <c r="Q71" s="44"/>
      <c r="R71" s="44"/>
      <c r="S71" s="44"/>
      <c r="T71" s="44"/>
      <c r="U71" s="44"/>
      <c r="V71" s="44"/>
      <c r="W71" s="44"/>
      <c r="X71" s="44"/>
      <c r="Y71" s="44"/>
      <c r="Z71" s="44"/>
    </row>
    <row r="72" spans="1:26" ht="15.75" customHeight="1">
      <c r="A72" s="44" t="str">
        <f>'10_Analysis_Ready'!A72</f>
        <v>R0106</v>
      </c>
      <c r="B72" s="44">
        <f>'10_Analysis_Ready'!C72</f>
        <v>2025</v>
      </c>
      <c r="C72" s="44" t="str">
        <f>'10_Analysis_Ready'!BK72</f>
        <v>HIGH</v>
      </c>
      <c r="D72" s="44" t="str">
        <f>'10_Analysis_Ready'!AF72</f>
        <v>CROSS-GENERATOR</v>
      </c>
      <c r="E72" s="44" t="str">
        <f>'10_Analysis_Ready'!AG72</f>
        <v>YES</v>
      </c>
      <c r="F72" s="44" t="str">
        <f>'10_Analysis_Ready'!AH72</f>
        <v>YES</v>
      </c>
      <c r="G72" s="44" t="str">
        <f>'10_Analysis_Ready'!AI72</f>
        <v>NO</v>
      </c>
      <c r="H72" s="44" t="str">
        <f>'10_Analysis_Ready'!AJ72</f>
        <v>UNCLEAR</v>
      </c>
      <c r="I72" s="44" t="str">
        <f>'10_Analysis_Ready'!AK72</f>
        <v>NO</v>
      </c>
      <c r="J72" s="44" t="str">
        <f>'10_Analysis_Ready'!AL72</f>
        <v>NO</v>
      </c>
      <c r="K72" s="44" t="str">
        <f>'10_Analysis_Ready'!AO72</f>
        <v>YES</v>
      </c>
      <c r="L72" s="44" t="str">
        <f>'10_Analysis_Ready'!AM72</f>
        <v>ZERO-SHOT</v>
      </c>
      <c r="M72" s="44" t="str">
        <f>'10_Analysis_Ready'!BJ72</f>
        <v>YES</v>
      </c>
      <c r="N72" s="44" t="str">
        <f>'10_Analysis_Ready'!BI72</f>
        <v>YES</v>
      </c>
      <c r="O72" s="44"/>
      <c r="P72" s="44"/>
      <c r="Q72" s="44"/>
      <c r="R72" s="44"/>
      <c r="S72" s="44"/>
      <c r="T72" s="44"/>
      <c r="U72" s="44"/>
      <c r="V72" s="44"/>
      <c r="W72" s="44"/>
      <c r="X72" s="44"/>
      <c r="Y72" s="44"/>
      <c r="Z72" s="44"/>
    </row>
    <row r="73" spans="1:26" ht="15.75" customHeight="1">
      <c r="A73" s="44" t="str">
        <f>'10_Analysis_Ready'!A73</f>
        <v>R0108</v>
      </c>
      <c r="B73" s="44">
        <f>'10_Analysis_Ready'!C73</f>
        <v>2023</v>
      </c>
      <c r="C73" s="44" t="str">
        <f>'10_Analysis_Ready'!BK73</f>
        <v>MODERATE</v>
      </c>
      <c r="D73" s="44" t="str">
        <f>'10_Analysis_Ready'!AF73</f>
        <v>MULTIPLE</v>
      </c>
      <c r="E73" s="44" t="str">
        <f>'10_Analysis_Ready'!AG73</f>
        <v>YES</v>
      </c>
      <c r="F73" s="44" t="str">
        <f>'10_Analysis_Ready'!AH73</f>
        <v>NO</v>
      </c>
      <c r="G73" s="44" t="str">
        <f>'10_Analysis_Ready'!AI73</f>
        <v>YES</v>
      </c>
      <c r="H73" s="44" t="str">
        <f>'10_Analysis_Ready'!AJ73</f>
        <v>YES</v>
      </c>
      <c r="I73" s="44" t="str">
        <f>'10_Analysis_Ready'!AK73</f>
        <v>NO</v>
      </c>
      <c r="J73" s="44" t="str">
        <f>'10_Analysis_Ready'!AL73</f>
        <v>NO</v>
      </c>
      <c r="K73" s="44" t="str">
        <f>'10_Analysis_Ready'!AO73</f>
        <v>NO</v>
      </c>
      <c r="L73" s="44" t="str">
        <f>'10_Analysis_Ready'!AM73</f>
        <v>ZERO-SHOT</v>
      </c>
      <c r="M73" s="44" t="str">
        <f>'10_Analysis_Ready'!BJ73</f>
        <v>YES</v>
      </c>
      <c r="N73" s="44" t="str">
        <f>'10_Analysis_Ready'!BI73</f>
        <v>YES</v>
      </c>
      <c r="O73" s="44"/>
      <c r="P73" s="44"/>
      <c r="Q73" s="44"/>
      <c r="R73" s="44"/>
      <c r="S73" s="44"/>
      <c r="T73" s="44"/>
      <c r="U73" s="44"/>
      <c r="V73" s="44"/>
      <c r="W73" s="44"/>
      <c r="X73" s="44"/>
      <c r="Y73" s="44"/>
      <c r="Z73" s="44"/>
    </row>
    <row r="74" spans="1:26" ht="15.75" customHeight="1">
      <c r="A74" s="44" t="str">
        <f>'10_Analysis_Ready'!A74</f>
        <v>R0109</v>
      </c>
      <c r="B74" s="44">
        <f>'10_Analysis_Ready'!C74</f>
        <v>2026</v>
      </c>
      <c r="C74" s="44" t="str">
        <f>'10_Analysis_Ready'!BK74</f>
        <v>HIGH</v>
      </c>
      <c r="D74" s="44" t="str">
        <f>'10_Analysis_Ready'!AF74</f>
        <v>MULTIPLE</v>
      </c>
      <c r="E74" s="44" t="str">
        <f>'10_Analysis_Ready'!AG74</f>
        <v>YES</v>
      </c>
      <c r="F74" s="44" t="str">
        <f>'10_Analysis_Ready'!AH74</f>
        <v>YES</v>
      </c>
      <c r="G74" s="44" t="str">
        <f>'10_Analysis_Ready'!AI74</f>
        <v>YES</v>
      </c>
      <c r="H74" s="44" t="str">
        <f>'10_Analysis_Ready'!AJ74</f>
        <v>YES</v>
      </c>
      <c r="I74" s="44" t="str">
        <f>'10_Analysis_Ready'!AK74</f>
        <v>NO</v>
      </c>
      <c r="J74" s="44" t="str">
        <f>'10_Analysis_Ready'!AL74</f>
        <v>NO</v>
      </c>
      <c r="K74" s="44" t="str">
        <f>'10_Analysis_Ready'!AO74</f>
        <v>YES</v>
      </c>
      <c r="L74" s="44" t="str">
        <f>'10_Analysis_Ready'!AM74</f>
        <v>ZERO-SHOT</v>
      </c>
      <c r="M74" s="44" t="str">
        <f>'10_Analysis_Ready'!BJ74</f>
        <v>YES</v>
      </c>
      <c r="N74" s="44" t="str">
        <f>'10_Analysis_Ready'!BI74</f>
        <v>YES</v>
      </c>
      <c r="O74" s="44"/>
      <c r="P74" s="44"/>
      <c r="Q74" s="44"/>
      <c r="R74" s="44"/>
      <c r="S74" s="44"/>
      <c r="T74" s="44"/>
      <c r="U74" s="44"/>
      <c r="V74" s="44"/>
      <c r="W74" s="44"/>
      <c r="X74" s="44"/>
      <c r="Y74" s="44"/>
      <c r="Z74" s="44"/>
    </row>
    <row r="75" spans="1:26" ht="15.75" customHeight="1">
      <c r="A75" s="44" t="str">
        <f>'10_Analysis_Ready'!A75</f>
        <v>R0113</v>
      </c>
      <c r="B75" s="44">
        <f>'10_Analysis_Ready'!C75</f>
        <v>2026</v>
      </c>
      <c r="C75" s="44" t="str">
        <f>'10_Analysis_Ready'!BK75</f>
        <v>HIGH</v>
      </c>
      <c r="D75" s="44" t="str">
        <f>'10_Analysis_Ready'!AF75</f>
        <v>MULTIPLE</v>
      </c>
      <c r="E75" s="44" t="str">
        <f>'10_Analysis_Ready'!AG75</f>
        <v>YES</v>
      </c>
      <c r="F75" s="44" t="str">
        <f>'10_Analysis_Ready'!AH75</f>
        <v>YES</v>
      </c>
      <c r="G75" s="44" t="str">
        <f>'10_Analysis_Ready'!AI75</f>
        <v>YES</v>
      </c>
      <c r="H75" s="44" t="str">
        <f>'10_Analysis_Ready'!AJ75</f>
        <v>YES</v>
      </c>
      <c r="I75" s="44" t="str">
        <f>'10_Analysis_Ready'!AK75</f>
        <v>NO</v>
      </c>
      <c r="J75" s="44" t="str">
        <f>'10_Analysis_Ready'!AL75</f>
        <v>NO</v>
      </c>
      <c r="K75" s="44" t="str">
        <f>'10_Analysis_Ready'!AO75</f>
        <v>YES</v>
      </c>
      <c r="L75" s="44" t="str">
        <f>'10_Analysis_Ready'!AM75</f>
        <v>ZERO-SHOT</v>
      </c>
      <c r="M75" s="44" t="str">
        <f>'10_Analysis_Ready'!BJ75</f>
        <v>YES</v>
      </c>
      <c r="N75" s="44" t="str">
        <f>'10_Analysis_Ready'!BI75</f>
        <v>YES</v>
      </c>
      <c r="O75" s="44"/>
      <c r="P75" s="44"/>
      <c r="Q75" s="44"/>
      <c r="R75" s="44"/>
      <c r="S75" s="44"/>
      <c r="T75" s="44"/>
      <c r="U75" s="44"/>
      <c r="V75" s="44"/>
      <c r="W75" s="44"/>
      <c r="X75" s="44"/>
      <c r="Y75" s="44"/>
      <c r="Z75" s="44"/>
    </row>
    <row r="76" spans="1:26" ht="15.75" customHeight="1">
      <c r="A76" s="44" t="str">
        <f>'10_Analysis_Ready'!A76</f>
        <v>R0114</v>
      </c>
      <c r="B76" s="44">
        <f>'10_Analysis_Ready'!C76</f>
        <v>2024</v>
      </c>
      <c r="C76" s="44" t="str">
        <f>'10_Analysis_Ready'!BK76</f>
        <v>HIGH</v>
      </c>
      <c r="D76" s="44" t="str">
        <f>'10_Analysis_Ready'!AF76</f>
        <v>MULTIPLE</v>
      </c>
      <c r="E76" s="44" t="str">
        <f>'10_Analysis_Ready'!AG76</f>
        <v>YES</v>
      </c>
      <c r="F76" s="44" t="str">
        <f>'10_Analysis_Ready'!AH76</f>
        <v>YES</v>
      </c>
      <c r="G76" s="44" t="str">
        <f>'10_Analysis_Ready'!AI76</f>
        <v>YES</v>
      </c>
      <c r="H76" s="44" t="str">
        <f>'10_Analysis_Ready'!AJ76</f>
        <v>YES</v>
      </c>
      <c r="I76" s="44" t="str">
        <f>'10_Analysis_Ready'!AK76</f>
        <v>NO</v>
      </c>
      <c r="J76" s="44" t="str">
        <f>'10_Analysis_Ready'!AL76</f>
        <v>NO</v>
      </c>
      <c r="K76" s="44" t="str">
        <f>'10_Analysis_Ready'!AO76</f>
        <v>YES</v>
      </c>
      <c r="L76" s="44" t="str">
        <f>'10_Analysis_Ready'!AM76</f>
        <v>ZERO-SHOT</v>
      </c>
      <c r="M76" s="44" t="str">
        <f>'10_Analysis_Ready'!BJ76</f>
        <v>YES</v>
      </c>
      <c r="N76" s="44" t="str">
        <f>'10_Analysis_Ready'!BI76</f>
        <v>YES</v>
      </c>
      <c r="O76" s="44"/>
      <c r="P76" s="44"/>
      <c r="Q76" s="44"/>
      <c r="R76" s="44"/>
      <c r="S76" s="44"/>
      <c r="T76" s="44"/>
      <c r="U76" s="44"/>
      <c r="V76" s="44"/>
      <c r="W76" s="44"/>
      <c r="X76" s="44"/>
      <c r="Y76" s="44"/>
      <c r="Z76" s="44"/>
    </row>
    <row r="77" spans="1:26" ht="15.75" customHeight="1">
      <c r="A77" s="44" t="str">
        <f>'10_Analysis_Ready'!A77</f>
        <v>R0115</v>
      </c>
      <c r="B77" s="44">
        <f>'10_Analysis_Ready'!C77</f>
        <v>2024</v>
      </c>
      <c r="C77" s="44" t="str">
        <f>'10_Analysis_Ready'!BK77</f>
        <v>MODERATE</v>
      </c>
      <c r="D77" s="44" t="str">
        <f>'10_Analysis_Ready'!AF77</f>
        <v>CROSS-GENERATOR</v>
      </c>
      <c r="E77" s="44" t="str">
        <f>'10_Analysis_Ready'!AG77</f>
        <v>YES</v>
      </c>
      <c r="F77" s="44" t="str">
        <f>'10_Analysis_Ready'!AH77</f>
        <v>YES</v>
      </c>
      <c r="G77" s="44" t="str">
        <f>'10_Analysis_Ready'!AI77</f>
        <v>NO</v>
      </c>
      <c r="H77" s="44" t="str">
        <f>'10_Analysis_Ready'!AJ77</f>
        <v>NO</v>
      </c>
      <c r="I77" s="44" t="str">
        <f>'10_Analysis_Ready'!AK77</f>
        <v>NO</v>
      </c>
      <c r="J77" s="44" t="str">
        <f>'10_Analysis_Ready'!AL77</f>
        <v>NO</v>
      </c>
      <c r="K77" s="44" t="str">
        <f>'10_Analysis_Ready'!AO77</f>
        <v>YES</v>
      </c>
      <c r="L77" s="44" t="str">
        <f>'10_Analysis_Ready'!AM77</f>
        <v>ZERO-SHOT</v>
      </c>
      <c r="M77" s="44" t="str">
        <f>'10_Analysis_Ready'!BJ77</f>
        <v>NO</v>
      </c>
      <c r="N77" s="44" t="str">
        <f>'10_Analysis_Ready'!BI77</f>
        <v>YES</v>
      </c>
      <c r="O77" s="44"/>
      <c r="P77" s="44"/>
      <c r="Q77" s="44"/>
      <c r="R77" s="44"/>
      <c r="S77" s="44"/>
      <c r="T77" s="44"/>
      <c r="U77" s="44"/>
      <c r="V77" s="44"/>
      <c r="W77" s="44"/>
      <c r="X77" s="44"/>
      <c r="Y77" s="44"/>
      <c r="Z77" s="44"/>
    </row>
    <row r="78" spans="1:26" ht="15.75" customHeight="1">
      <c r="A78" s="44" t="str">
        <f>'10_Analysis_Ready'!A78</f>
        <v>R0118</v>
      </c>
      <c r="B78" s="44">
        <f>'10_Analysis_Ready'!C78</f>
        <v>2026</v>
      </c>
      <c r="C78" s="44" t="str">
        <f>'10_Analysis_Ready'!BK78</f>
        <v>HIGH</v>
      </c>
      <c r="D78" s="44" t="str">
        <f>'10_Analysis_Ready'!AF78</f>
        <v>MULTIPLE</v>
      </c>
      <c r="E78" s="44" t="str">
        <f>'10_Analysis_Ready'!AG78</f>
        <v>YES</v>
      </c>
      <c r="F78" s="44" t="str">
        <f>'10_Analysis_Ready'!AH78</f>
        <v>YES</v>
      </c>
      <c r="G78" s="44" t="str">
        <f>'10_Analysis_Ready'!AI78</f>
        <v>YES</v>
      </c>
      <c r="H78" s="44" t="str">
        <f>'10_Analysis_Ready'!AJ78</f>
        <v>NO</v>
      </c>
      <c r="I78" s="44" t="str">
        <f>'10_Analysis_Ready'!AK78</f>
        <v>NO</v>
      </c>
      <c r="J78" s="44" t="str">
        <f>'10_Analysis_Ready'!AL78</f>
        <v>NO</v>
      </c>
      <c r="K78" s="44" t="str">
        <f>'10_Analysis_Ready'!AO78</f>
        <v>NO</v>
      </c>
      <c r="L78" s="44" t="str">
        <f>'10_Analysis_Ready'!AM78</f>
        <v>ZERO-SHOT</v>
      </c>
      <c r="M78" s="44" t="str">
        <f>'10_Analysis_Ready'!BJ78</f>
        <v>YES</v>
      </c>
      <c r="N78" s="44" t="str">
        <f>'10_Analysis_Ready'!BI78</f>
        <v>YES</v>
      </c>
      <c r="O78" s="44"/>
      <c r="P78" s="44"/>
      <c r="Q78" s="44"/>
      <c r="R78" s="44"/>
      <c r="S78" s="44"/>
      <c r="T78" s="44"/>
      <c r="U78" s="44"/>
      <c r="V78" s="44"/>
      <c r="W78" s="44"/>
      <c r="X78" s="44"/>
      <c r="Y78" s="44"/>
      <c r="Z78" s="44"/>
    </row>
    <row r="79" spans="1:26" ht="15.75" customHeight="1">
      <c r="A79" s="44" t="str">
        <f>'10_Analysis_Ready'!A79</f>
        <v>R0120</v>
      </c>
      <c r="B79" s="44">
        <f>'10_Analysis_Ready'!C79</f>
        <v>2025</v>
      </c>
      <c r="C79" s="44" t="str">
        <f>'10_Analysis_Ready'!BK79</f>
        <v>MODERATE</v>
      </c>
      <c r="D79" s="44" t="str">
        <f>'10_Analysis_Ready'!AF79</f>
        <v>MULTIPLE</v>
      </c>
      <c r="E79" s="44" t="str">
        <f>'10_Analysis_Ready'!AG79</f>
        <v>YES</v>
      </c>
      <c r="F79" s="44" t="str">
        <f>'10_Analysis_Ready'!AH79</f>
        <v>YES</v>
      </c>
      <c r="G79" s="44" t="str">
        <f>'10_Analysis_Ready'!AI79</f>
        <v>YES</v>
      </c>
      <c r="H79" s="44" t="str">
        <f>'10_Analysis_Ready'!AJ79</f>
        <v>NO</v>
      </c>
      <c r="I79" s="44" t="str">
        <f>'10_Analysis_Ready'!AK79</f>
        <v>NO</v>
      </c>
      <c r="J79" s="44" t="str">
        <f>'10_Analysis_Ready'!AL79</f>
        <v>NO</v>
      </c>
      <c r="K79" s="44" t="str">
        <f>'10_Analysis_Ready'!AO79</f>
        <v>NO</v>
      </c>
      <c r="L79" s="44" t="str">
        <f>'10_Analysis_Ready'!AM79</f>
        <v>ZERO-SHOT</v>
      </c>
      <c r="M79" s="44" t="str">
        <f>'10_Analysis_Ready'!BJ79</f>
        <v>YES</v>
      </c>
      <c r="N79" s="44" t="str">
        <f>'10_Analysis_Ready'!BI79</f>
        <v>YES</v>
      </c>
      <c r="O79" s="44"/>
      <c r="P79" s="44"/>
      <c r="Q79" s="44"/>
      <c r="R79" s="44"/>
      <c r="S79" s="44"/>
      <c r="T79" s="44"/>
      <c r="U79" s="44"/>
      <c r="V79" s="44"/>
      <c r="W79" s="44"/>
      <c r="X79" s="44"/>
      <c r="Y79" s="44"/>
      <c r="Z79" s="44"/>
    </row>
    <row r="80" spans="1:26" ht="15.75" customHeight="1">
      <c r="A80" s="44" t="str">
        <f>'10_Analysis_Ready'!A80</f>
        <v>R0121</v>
      </c>
      <c r="B80" s="44">
        <f>'10_Analysis_Ready'!C80</f>
        <v>2026</v>
      </c>
      <c r="C80" s="44" t="str">
        <f>'10_Analysis_Ready'!BK80</f>
        <v>HIGH</v>
      </c>
      <c r="D80" s="44" t="str">
        <f>'10_Analysis_Ready'!AF80</f>
        <v>MULTIPLE</v>
      </c>
      <c r="E80" s="44" t="str">
        <f>'10_Analysis_Ready'!AG80</f>
        <v>YES</v>
      </c>
      <c r="F80" s="44" t="str">
        <f>'10_Analysis_Ready'!AH80</f>
        <v>YES</v>
      </c>
      <c r="G80" s="44" t="str">
        <f>'10_Analysis_Ready'!AI80</f>
        <v>YES</v>
      </c>
      <c r="H80" s="44" t="str">
        <f>'10_Analysis_Ready'!AJ80</f>
        <v>YES</v>
      </c>
      <c r="I80" s="44" t="str">
        <f>'10_Analysis_Ready'!AK80</f>
        <v>NO</v>
      </c>
      <c r="J80" s="44" t="str">
        <f>'10_Analysis_Ready'!AL80</f>
        <v>NO</v>
      </c>
      <c r="K80" s="44" t="str">
        <f>'10_Analysis_Ready'!AO80</f>
        <v>NO</v>
      </c>
      <c r="L80" s="44" t="str">
        <f>'10_Analysis_Ready'!AM80</f>
        <v>ZERO-SHOT</v>
      </c>
      <c r="M80" s="44" t="str">
        <f>'10_Analysis_Ready'!BJ80</f>
        <v>YES</v>
      </c>
      <c r="N80" s="44" t="str">
        <f>'10_Analysis_Ready'!BI80</f>
        <v>YES</v>
      </c>
      <c r="O80" s="44"/>
      <c r="P80" s="44"/>
      <c r="Q80" s="44"/>
      <c r="R80" s="44"/>
      <c r="S80" s="44"/>
      <c r="T80" s="44"/>
      <c r="U80" s="44"/>
      <c r="V80" s="44"/>
      <c r="W80" s="44"/>
      <c r="X80" s="44"/>
      <c r="Y80" s="44"/>
      <c r="Z80" s="44"/>
    </row>
    <row r="81" spans="1:26" ht="15.75" customHeight="1">
      <c r="A81" s="44" t="str">
        <f>'10_Analysis_Ready'!A81</f>
        <v>R0122</v>
      </c>
      <c r="B81" s="44">
        <f>'10_Analysis_Ready'!C81</f>
        <v>2025</v>
      </c>
      <c r="C81" s="44" t="str">
        <f>'10_Analysis_Ready'!BK81</f>
        <v>LOW</v>
      </c>
      <c r="D81" s="44" t="str">
        <f>'10_Analysis_Ready'!AF81</f>
        <v>NONE</v>
      </c>
      <c r="E81" s="44" t="str">
        <f>'10_Analysis_Ready'!AG81</f>
        <v>NO</v>
      </c>
      <c r="F81" s="44" t="str">
        <f>'10_Analysis_Ready'!AH81</f>
        <v>NO</v>
      </c>
      <c r="G81" s="44" t="str">
        <f>'10_Analysis_Ready'!AI81</f>
        <v>NO</v>
      </c>
      <c r="H81" s="44" t="str">
        <f>'10_Analysis_Ready'!AJ81</f>
        <v>NO</v>
      </c>
      <c r="I81" s="44" t="str">
        <f>'10_Analysis_Ready'!AK81</f>
        <v>NO</v>
      </c>
      <c r="J81" s="44" t="str">
        <f>'10_Analysis_Ready'!AL81</f>
        <v>NO</v>
      </c>
      <c r="K81" s="44" t="str">
        <f>'10_Analysis_Ready'!AO81</f>
        <v>NO</v>
      </c>
      <c r="L81" s="44" t="str">
        <f>'10_Analysis_Ready'!AM81</f>
        <v>N/A</v>
      </c>
      <c r="M81" s="44" t="str">
        <f>'10_Analysis_Ready'!BJ81</f>
        <v>NO</v>
      </c>
      <c r="N81" s="44" t="str">
        <f>'10_Analysis_Ready'!BI81</f>
        <v>YES</v>
      </c>
      <c r="O81" s="44"/>
      <c r="P81" s="44"/>
      <c r="Q81" s="44"/>
      <c r="R81" s="44"/>
      <c r="S81" s="44"/>
      <c r="T81" s="44"/>
      <c r="U81" s="44"/>
      <c r="V81" s="44"/>
      <c r="W81" s="44"/>
      <c r="X81" s="44"/>
      <c r="Y81" s="44"/>
      <c r="Z81" s="44"/>
    </row>
    <row r="82" spans="1:26" ht="15.75" customHeight="1">
      <c r="A82" s="44" t="str">
        <f>'10_Analysis_Ready'!A82</f>
        <v>R0126</v>
      </c>
      <c r="B82" s="44">
        <f>'10_Analysis_Ready'!C82</f>
        <v>2024</v>
      </c>
      <c r="C82" s="44" t="str">
        <f>'10_Analysis_Ready'!BK82</f>
        <v>MODERATE</v>
      </c>
      <c r="D82" s="44" t="str">
        <f>'10_Analysis_Ready'!AF82</f>
        <v>MULTIPLE</v>
      </c>
      <c r="E82" s="44" t="str">
        <f>'10_Analysis_Ready'!AG82</f>
        <v>YES</v>
      </c>
      <c r="F82" s="44" t="str">
        <f>'10_Analysis_Ready'!AH82</f>
        <v>NO</v>
      </c>
      <c r="G82" s="44" t="str">
        <f>'10_Analysis_Ready'!AI82</f>
        <v>YES</v>
      </c>
      <c r="H82" s="44" t="str">
        <f>'10_Analysis_Ready'!AJ82</f>
        <v>YES</v>
      </c>
      <c r="I82" s="44" t="str">
        <f>'10_Analysis_Ready'!AK82</f>
        <v>YES</v>
      </c>
      <c r="J82" s="44" t="str">
        <f>'10_Analysis_Ready'!AL82</f>
        <v>NO</v>
      </c>
      <c r="K82" s="44" t="str">
        <f>'10_Analysis_Ready'!AO82</f>
        <v>YES</v>
      </c>
      <c r="L82" s="44" t="str">
        <f>'10_Analysis_Ready'!AM82</f>
        <v>ZERO-SHOT</v>
      </c>
      <c r="M82" s="44" t="str">
        <f>'10_Analysis_Ready'!BJ82</f>
        <v>YES</v>
      </c>
      <c r="N82" s="44" t="str">
        <f>'10_Analysis_Ready'!BI82</f>
        <v>YES</v>
      </c>
      <c r="O82" s="44"/>
      <c r="P82" s="44"/>
      <c r="Q82" s="44"/>
      <c r="R82" s="44"/>
      <c r="S82" s="44"/>
      <c r="T82" s="44"/>
      <c r="U82" s="44"/>
      <c r="V82" s="44"/>
      <c r="W82" s="44"/>
      <c r="X82" s="44"/>
      <c r="Y82" s="44"/>
      <c r="Z82" s="44"/>
    </row>
    <row r="83" spans="1:26" ht="15.75" customHeight="1">
      <c r="A83" s="44" t="str">
        <f>'10_Analysis_Ready'!A83</f>
        <v>R0128</v>
      </c>
      <c r="B83" s="44">
        <f>'10_Analysis_Ready'!C83</f>
        <v>2025</v>
      </c>
      <c r="C83" s="44" t="str">
        <f>'10_Analysis_Ready'!BK83</f>
        <v>VERY HIGH</v>
      </c>
      <c r="D83" s="44" t="str">
        <f>'10_Analysis_Ready'!AF83</f>
        <v>MULTIPLE</v>
      </c>
      <c r="E83" s="44" t="str">
        <f>'10_Analysis_Ready'!AG83</f>
        <v>YES</v>
      </c>
      <c r="F83" s="44" t="str">
        <f>'10_Analysis_Ready'!AH83</f>
        <v>YES</v>
      </c>
      <c r="G83" s="44" t="str">
        <f>'10_Analysis_Ready'!AI83</f>
        <v>YES</v>
      </c>
      <c r="H83" s="44" t="str">
        <f>'10_Analysis_Ready'!AJ83</f>
        <v>YES</v>
      </c>
      <c r="I83" s="44" t="str">
        <f>'10_Analysis_Ready'!AK83</f>
        <v>NO</v>
      </c>
      <c r="J83" s="44" t="str">
        <f>'10_Analysis_Ready'!AL83</f>
        <v>NO</v>
      </c>
      <c r="K83" s="44" t="str">
        <f>'10_Analysis_Ready'!AO83</f>
        <v>NO</v>
      </c>
      <c r="L83" s="44" t="str">
        <f>'10_Analysis_Ready'!AM83</f>
        <v>ZERO-SHOT</v>
      </c>
      <c r="M83" s="44" t="str">
        <f>'10_Analysis_Ready'!BJ83</f>
        <v>YES</v>
      </c>
      <c r="N83" s="44" t="str">
        <f>'10_Analysis_Ready'!BI83</f>
        <v>YES</v>
      </c>
      <c r="O83" s="44"/>
      <c r="P83" s="44"/>
      <c r="Q83" s="44"/>
      <c r="R83" s="44"/>
      <c r="S83" s="44"/>
      <c r="T83" s="44"/>
      <c r="U83" s="44"/>
      <c r="V83" s="44"/>
      <c r="W83" s="44"/>
      <c r="X83" s="44"/>
      <c r="Y83" s="44"/>
      <c r="Z83" s="44"/>
    </row>
    <row r="84" spans="1:26" ht="15.75" customHeight="1">
      <c r="A84" s="44" t="str">
        <f>'10_Analysis_Ready'!A84</f>
        <v>R0131</v>
      </c>
      <c r="B84" s="44">
        <f>'10_Analysis_Ready'!C84</f>
        <v>2025</v>
      </c>
      <c r="C84" s="44" t="str">
        <f>'10_Analysis_Ready'!BK84</f>
        <v>LOW</v>
      </c>
      <c r="D84" s="44" t="str">
        <f>'10_Analysis_Ready'!AF84</f>
        <v>NONE</v>
      </c>
      <c r="E84" s="44" t="str">
        <f>'10_Analysis_Ready'!AG84</f>
        <v>NO</v>
      </c>
      <c r="F84" s="44" t="str">
        <f>'10_Analysis_Ready'!AH84</f>
        <v>NO</v>
      </c>
      <c r="G84" s="44" t="str">
        <f>'10_Analysis_Ready'!AI84</f>
        <v>NO</v>
      </c>
      <c r="H84" s="44" t="str">
        <f>'10_Analysis_Ready'!AJ84</f>
        <v>NO</v>
      </c>
      <c r="I84" s="44" t="str">
        <f>'10_Analysis_Ready'!AK84</f>
        <v>NO</v>
      </c>
      <c r="J84" s="44" t="str">
        <f>'10_Analysis_Ready'!AL84</f>
        <v>NO</v>
      </c>
      <c r="K84" s="44" t="str">
        <f>'10_Analysis_Ready'!AO84</f>
        <v>NO</v>
      </c>
      <c r="L84" s="44" t="str">
        <f>'10_Analysis_Ready'!AM84</f>
        <v>N/A</v>
      </c>
      <c r="M84" s="44" t="str">
        <f>'10_Analysis_Ready'!BJ84</f>
        <v>NO</v>
      </c>
      <c r="N84" s="44" t="str">
        <f>'10_Analysis_Ready'!BI84</f>
        <v>YES</v>
      </c>
      <c r="O84" s="44"/>
      <c r="P84" s="44"/>
      <c r="Q84" s="44"/>
      <c r="R84" s="44"/>
      <c r="S84" s="44"/>
      <c r="T84" s="44"/>
      <c r="U84" s="44"/>
      <c r="V84" s="44"/>
      <c r="W84" s="44"/>
      <c r="X84" s="44"/>
      <c r="Y84" s="44"/>
      <c r="Z84" s="44"/>
    </row>
    <row r="85" spans="1:26" ht="15.75" customHeight="1">
      <c r="A85" s="44" t="str">
        <f>'10_Analysis_Ready'!A85</f>
        <v>R0133</v>
      </c>
      <c r="B85" s="44">
        <f>'10_Analysis_Ready'!C85</f>
        <v>2026</v>
      </c>
      <c r="C85" s="44" t="str">
        <f>'10_Analysis_Ready'!BK85</f>
        <v>HIGH</v>
      </c>
      <c r="D85" s="44" t="str">
        <f>'10_Analysis_Ready'!AF85</f>
        <v>MULTIPLE</v>
      </c>
      <c r="E85" s="44" t="str">
        <f>'10_Analysis_Ready'!AG85</f>
        <v>YES</v>
      </c>
      <c r="F85" s="44" t="str">
        <f>'10_Analysis_Ready'!AH85</f>
        <v>YES</v>
      </c>
      <c r="G85" s="44" t="str">
        <f>'10_Analysis_Ready'!AI85</f>
        <v>YES</v>
      </c>
      <c r="H85" s="44" t="str">
        <f>'10_Analysis_Ready'!AJ85</f>
        <v>YES</v>
      </c>
      <c r="I85" s="44" t="str">
        <f>'10_Analysis_Ready'!AK85</f>
        <v>NO</v>
      </c>
      <c r="J85" s="44" t="str">
        <f>'10_Analysis_Ready'!AL85</f>
        <v>NO</v>
      </c>
      <c r="K85" s="44" t="str">
        <f>'10_Analysis_Ready'!AO85</f>
        <v>YES</v>
      </c>
      <c r="L85" s="44" t="str">
        <f>'10_Analysis_Ready'!AM85</f>
        <v>ZERO-SHOT</v>
      </c>
      <c r="M85" s="44" t="str">
        <f>'10_Analysis_Ready'!BJ85</f>
        <v>YES</v>
      </c>
      <c r="N85" s="44" t="str">
        <f>'10_Analysis_Ready'!BI85</f>
        <v>YES</v>
      </c>
      <c r="O85" s="44"/>
      <c r="P85" s="44"/>
      <c r="Q85" s="44"/>
      <c r="R85" s="44"/>
      <c r="S85" s="44"/>
      <c r="T85" s="44"/>
      <c r="U85" s="44"/>
      <c r="V85" s="44"/>
      <c r="W85" s="44"/>
      <c r="X85" s="44"/>
      <c r="Y85" s="44"/>
      <c r="Z85" s="44"/>
    </row>
    <row r="86" spans="1:26" ht="15.75" customHeight="1">
      <c r="A86" s="44" t="str">
        <f>'10_Analysis_Ready'!A86</f>
        <v>R0135</v>
      </c>
      <c r="B86" s="44">
        <f>'10_Analysis_Ready'!C86</f>
        <v>2026</v>
      </c>
      <c r="C86" s="44" t="str">
        <f>'10_Analysis_Ready'!BK86</f>
        <v>MODERATE</v>
      </c>
      <c r="D86" s="44" t="str">
        <f>'10_Analysis_Ready'!AF86</f>
        <v>MULTIPLE</v>
      </c>
      <c r="E86" s="44" t="str">
        <f>'10_Analysis_Ready'!AG86</f>
        <v>YES</v>
      </c>
      <c r="F86" s="44" t="str">
        <f>'10_Analysis_Ready'!AH86</f>
        <v>YES</v>
      </c>
      <c r="G86" s="44" t="str">
        <f>'10_Analysis_Ready'!AI86</f>
        <v>YES</v>
      </c>
      <c r="H86" s="44" t="str">
        <f>'10_Analysis_Ready'!AJ86</f>
        <v>YES</v>
      </c>
      <c r="I86" s="44" t="str">
        <f>'10_Analysis_Ready'!AK86</f>
        <v>NO</v>
      </c>
      <c r="J86" s="44" t="str">
        <f>'10_Analysis_Ready'!AL86</f>
        <v>NO</v>
      </c>
      <c r="K86" s="44" t="str">
        <f>'10_Analysis_Ready'!AO86</f>
        <v>NO</v>
      </c>
      <c r="L86" s="44" t="str">
        <f>'10_Analysis_Ready'!AM86</f>
        <v>ZERO-SHOT</v>
      </c>
      <c r="M86" s="44" t="str">
        <f>'10_Analysis_Ready'!BJ86</f>
        <v>YES</v>
      </c>
      <c r="N86" s="44" t="str">
        <f>'10_Analysis_Ready'!BI86</f>
        <v>YES</v>
      </c>
      <c r="O86" s="44"/>
      <c r="P86" s="44"/>
      <c r="Q86" s="44"/>
      <c r="R86" s="44"/>
      <c r="S86" s="44"/>
      <c r="T86" s="44"/>
      <c r="U86" s="44"/>
      <c r="V86" s="44"/>
      <c r="W86" s="44"/>
      <c r="X86" s="44"/>
      <c r="Y86" s="44"/>
      <c r="Z86" s="44"/>
    </row>
    <row r="87" spans="1:26" ht="15.75" customHeight="1">
      <c r="A87" s="44" t="str">
        <f>'10_Analysis_Ready'!A87</f>
        <v>R0136</v>
      </c>
      <c r="B87" s="44">
        <f>'10_Analysis_Ready'!C87</f>
        <v>2026</v>
      </c>
      <c r="C87" s="44" t="str">
        <f>'10_Analysis_Ready'!BK87</f>
        <v>LOW</v>
      </c>
      <c r="D87" s="44" t="str">
        <f>'10_Analysis_Ready'!AF87</f>
        <v>NONE</v>
      </c>
      <c r="E87" s="44" t="str">
        <f>'10_Analysis_Ready'!AG87</f>
        <v>NO</v>
      </c>
      <c r="F87" s="44" t="str">
        <f>'10_Analysis_Ready'!AH87</f>
        <v>NO</v>
      </c>
      <c r="G87" s="44" t="str">
        <f>'10_Analysis_Ready'!AI87</f>
        <v>NO</v>
      </c>
      <c r="H87" s="44" t="str">
        <f>'10_Analysis_Ready'!AJ87</f>
        <v>NO</v>
      </c>
      <c r="I87" s="44" t="str">
        <f>'10_Analysis_Ready'!AK87</f>
        <v>NO</v>
      </c>
      <c r="J87" s="44" t="str">
        <f>'10_Analysis_Ready'!AL87</f>
        <v>NO</v>
      </c>
      <c r="K87" s="44" t="str">
        <f>'10_Analysis_Ready'!AO87</f>
        <v>YES</v>
      </c>
      <c r="L87" s="44" t="str">
        <f>'10_Analysis_Ready'!AM87</f>
        <v>N/A</v>
      </c>
      <c r="M87" s="44" t="str">
        <f>'10_Analysis_Ready'!BJ87</f>
        <v>NO</v>
      </c>
      <c r="N87" s="44" t="str">
        <f>'10_Analysis_Ready'!BI87</f>
        <v>NO</v>
      </c>
      <c r="O87" s="44"/>
      <c r="P87" s="44"/>
      <c r="Q87" s="44"/>
      <c r="R87" s="44"/>
      <c r="S87" s="44"/>
      <c r="T87" s="44"/>
      <c r="U87" s="44"/>
      <c r="V87" s="44"/>
      <c r="W87" s="44"/>
      <c r="X87" s="44"/>
      <c r="Y87" s="44"/>
      <c r="Z87" s="44"/>
    </row>
    <row r="88" spans="1:26" ht="15.75" customHeight="1">
      <c r="A88" s="44" t="str">
        <f>'10_Analysis_Ready'!A88</f>
        <v>R0144</v>
      </c>
      <c r="B88" s="44">
        <f>'10_Analysis_Ready'!C88</f>
        <v>2026</v>
      </c>
      <c r="C88" s="44" t="str">
        <f>'10_Analysis_Ready'!BK88</f>
        <v>VERY HIGH</v>
      </c>
      <c r="D88" s="44" t="str">
        <f>'10_Analysis_Ready'!AF88</f>
        <v>MULTIPLE</v>
      </c>
      <c r="E88" s="44" t="str">
        <f>'10_Analysis_Ready'!AG88</f>
        <v>YES</v>
      </c>
      <c r="F88" s="44" t="str">
        <f>'10_Analysis_Ready'!AH88</f>
        <v>YES</v>
      </c>
      <c r="G88" s="44" t="str">
        <f>'10_Analysis_Ready'!AI88</f>
        <v>YES</v>
      </c>
      <c r="H88" s="44" t="str">
        <f>'10_Analysis_Ready'!AJ88</f>
        <v>YES</v>
      </c>
      <c r="I88" s="44" t="str">
        <f>'10_Analysis_Ready'!AK88</f>
        <v>NO</v>
      </c>
      <c r="J88" s="44" t="str">
        <f>'10_Analysis_Ready'!AL88</f>
        <v>NO</v>
      </c>
      <c r="K88" s="44" t="str">
        <f>'10_Analysis_Ready'!AO88</f>
        <v>YES</v>
      </c>
      <c r="L88" s="44" t="str">
        <f>'10_Analysis_Ready'!AM88</f>
        <v>ZERO-SHOT</v>
      </c>
      <c r="M88" s="44" t="str">
        <f>'10_Analysis_Ready'!BJ88</f>
        <v>YES</v>
      </c>
      <c r="N88" s="44" t="str">
        <f>'10_Analysis_Ready'!BI88</f>
        <v>YES</v>
      </c>
      <c r="O88" s="44"/>
      <c r="P88" s="44"/>
      <c r="Q88" s="44"/>
      <c r="R88" s="44"/>
      <c r="S88" s="44"/>
      <c r="T88" s="44"/>
      <c r="U88" s="44"/>
      <c r="V88" s="44"/>
      <c r="W88" s="44"/>
      <c r="X88" s="44"/>
      <c r="Y88" s="44"/>
      <c r="Z88" s="44"/>
    </row>
    <row r="89" spans="1:26" ht="15.75" customHeight="1">
      <c r="A89" s="44" t="str">
        <f>'10_Analysis_Ready'!A89</f>
        <v>R0147</v>
      </c>
      <c r="B89" s="44">
        <f>'10_Analysis_Ready'!C89</f>
        <v>2026</v>
      </c>
      <c r="C89" s="44" t="str">
        <f>'10_Analysis_Ready'!BK89</f>
        <v>HIGH</v>
      </c>
      <c r="D89" s="44" t="str">
        <f>'10_Analysis_Ready'!AF89</f>
        <v>MULTIPLE</v>
      </c>
      <c r="E89" s="44" t="str">
        <f>'10_Analysis_Ready'!AG89</f>
        <v>YES</v>
      </c>
      <c r="F89" s="44" t="str">
        <f>'10_Analysis_Ready'!AH89</f>
        <v>YES</v>
      </c>
      <c r="G89" s="44" t="str">
        <f>'10_Analysis_Ready'!AI89</f>
        <v>YES</v>
      </c>
      <c r="H89" s="44" t="str">
        <f>'10_Analysis_Ready'!AJ89</f>
        <v>YES</v>
      </c>
      <c r="I89" s="44" t="str">
        <f>'10_Analysis_Ready'!AK89</f>
        <v>NO</v>
      </c>
      <c r="J89" s="44" t="str">
        <f>'10_Analysis_Ready'!AL89</f>
        <v>NO</v>
      </c>
      <c r="K89" s="44" t="str">
        <f>'10_Analysis_Ready'!AO89</f>
        <v>YES</v>
      </c>
      <c r="L89" s="44" t="str">
        <f>'10_Analysis_Ready'!AM89</f>
        <v>ZERO-SHOT</v>
      </c>
      <c r="M89" s="44" t="str">
        <f>'10_Analysis_Ready'!BJ89</f>
        <v>YES</v>
      </c>
      <c r="N89" s="44" t="str">
        <f>'10_Analysis_Ready'!BI89</f>
        <v>YES</v>
      </c>
      <c r="O89" s="44"/>
      <c r="P89" s="44"/>
      <c r="Q89" s="44"/>
      <c r="R89" s="44"/>
      <c r="S89" s="44"/>
      <c r="T89" s="44"/>
      <c r="U89" s="44"/>
      <c r="V89" s="44"/>
      <c r="W89" s="44"/>
      <c r="X89" s="44"/>
      <c r="Y89" s="44"/>
      <c r="Z89" s="44"/>
    </row>
    <row r="90" spans="1:26" ht="15.75" customHeight="1">
      <c r="A90" s="44" t="str">
        <f>'10_Analysis_Ready'!A90</f>
        <v>R0148</v>
      </c>
      <c r="B90" s="44">
        <f>'10_Analysis_Ready'!C90</f>
        <v>2026</v>
      </c>
      <c r="C90" s="44" t="str">
        <f>'10_Analysis_Ready'!BK90</f>
        <v>HIGH</v>
      </c>
      <c r="D90" s="44" t="str">
        <f>'10_Analysis_Ready'!AF90</f>
        <v>MULTIPLE</v>
      </c>
      <c r="E90" s="44" t="str">
        <f>'10_Analysis_Ready'!AG90</f>
        <v>YES</v>
      </c>
      <c r="F90" s="44" t="str">
        <f>'10_Analysis_Ready'!AH90</f>
        <v>YES</v>
      </c>
      <c r="G90" s="44" t="str">
        <f>'10_Analysis_Ready'!AI90</f>
        <v>YES</v>
      </c>
      <c r="H90" s="44" t="str">
        <f>'10_Analysis_Ready'!AJ90</f>
        <v>YES</v>
      </c>
      <c r="I90" s="44" t="str">
        <f>'10_Analysis_Ready'!AK90</f>
        <v>NO</v>
      </c>
      <c r="J90" s="44" t="str">
        <f>'10_Analysis_Ready'!AL90</f>
        <v>NO</v>
      </c>
      <c r="K90" s="44" t="str">
        <f>'10_Analysis_Ready'!AO90</f>
        <v>NO</v>
      </c>
      <c r="L90" s="44" t="str">
        <f>'10_Analysis_Ready'!AM90</f>
        <v>ZERO-SHOT</v>
      </c>
      <c r="M90" s="44" t="str">
        <f>'10_Analysis_Ready'!BJ90</f>
        <v>YES</v>
      </c>
      <c r="N90" s="44" t="str">
        <f>'10_Analysis_Ready'!BI90</f>
        <v>YES</v>
      </c>
      <c r="O90" s="44"/>
      <c r="P90" s="44"/>
      <c r="Q90" s="44"/>
      <c r="R90" s="44"/>
      <c r="S90" s="44"/>
      <c r="T90" s="44"/>
      <c r="U90" s="44"/>
      <c r="V90" s="44"/>
      <c r="W90" s="44"/>
      <c r="X90" s="44"/>
      <c r="Y90" s="44"/>
      <c r="Z90" s="44"/>
    </row>
    <row r="91" spans="1:26" ht="15.75" customHeight="1">
      <c r="A91" s="44" t="str">
        <f>'10_Analysis_Ready'!A91</f>
        <v>R0152</v>
      </c>
      <c r="B91" s="44">
        <f>'10_Analysis_Ready'!C91</f>
        <v>2025</v>
      </c>
      <c r="C91" s="44" t="str">
        <f>'10_Analysis_Ready'!BK91</f>
        <v>MODERATE</v>
      </c>
      <c r="D91" s="44" t="str">
        <f>'10_Analysis_Ready'!AF91</f>
        <v>MULTIPLE</v>
      </c>
      <c r="E91" s="44" t="str">
        <f>'10_Analysis_Ready'!AG91</f>
        <v>NO</v>
      </c>
      <c r="F91" s="44" t="str">
        <f>'10_Analysis_Ready'!AH91</f>
        <v>NO</v>
      </c>
      <c r="G91" s="44" t="str">
        <f>'10_Analysis_Ready'!AI91</f>
        <v>YES</v>
      </c>
      <c r="H91" s="44" t="str">
        <f>'10_Analysis_Ready'!AJ91</f>
        <v>YES</v>
      </c>
      <c r="I91" s="44" t="str">
        <f>'10_Analysis_Ready'!AK91</f>
        <v>NO</v>
      </c>
      <c r="J91" s="44" t="str">
        <f>'10_Analysis_Ready'!AL91</f>
        <v>NO</v>
      </c>
      <c r="K91" s="44" t="str">
        <f>'10_Analysis_Ready'!AO91</f>
        <v>NO</v>
      </c>
      <c r="L91" s="44" t="str">
        <f>'10_Analysis_Ready'!AM91</f>
        <v>ZERO-SHOT</v>
      </c>
      <c r="M91" s="44" t="str">
        <f>'10_Analysis_Ready'!BJ91</f>
        <v>YES</v>
      </c>
      <c r="N91" s="44" t="str">
        <f>'10_Analysis_Ready'!BI91</f>
        <v>YES</v>
      </c>
      <c r="O91" s="44"/>
      <c r="P91" s="44"/>
      <c r="Q91" s="44"/>
      <c r="R91" s="44"/>
      <c r="S91" s="44"/>
      <c r="T91" s="44"/>
      <c r="U91" s="44"/>
      <c r="V91" s="44"/>
      <c r="W91" s="44"/>
      <c r="X91" s="44"/>
      <c r="Y91" s="44"/>
      <c r="Z91" s="44"/>
    </row>
    <row r="92" spans="1:26" ht="15.75" customHeight="1">
      <c r="A92" s="44" t="str">
        <f>'10_Analysis_Ready'!A92</f>
        <v>R0154</v>
      </c>
      <c r="B92" s="44">
        <f>'10_Analysis_Ready'!C92</f>
        <v>2025</v>
      </c>
      <c r="C92" s="44" t="str">
        <f>'10_Analysis_Ready'!BK92</f>
        <v>MODERATE</v>
      </c>
      <c r="D92" s="44" t="str">
        <f>'10_Analysis_Ready'!AF92</f>
        <v>CROSS-DOMAIN</v>
      </c>
      <c r="E92" s="44" t="str">
        <f>'10_Analysis_Ready'!AG92</f>
        <v>NO</v>
      </c>
      <c r="F92" s="44" t="str">
        <f>'10_Analysis_Ready'!AH92</f>
        <v>NO</v>
      </c>
      <c r="G92" s="44" t="str">
        <f>'10_Analysis_Ready'!AI92</f>
        <v>NO</v>
      </c>
      <c r="H92" s="44" t="str">
        <f>'10_Analysis_Ready'!AJ92</f>
        <v>YES</v>
      </c>
      <c r="I92" s="44" t="str">
        <f>'10_Analysis_Ready'!AK92</f>
        <v>NO</v>
      </c>
      <c r="J92" s="44" t="str">
        <f>'10_Analysis_Ready'!AL92</f>
        <v>NO</v>
      </c>
      <c r="K92" s="44" t="str">
        <f>'10_Analysis_Ready'!AO92</f>
        <v>NO</v>
      </c>
      <c r="L92" s="44" t="str">
        <f>'10_Analysis_Ready'!AM92</f>
        <v>MIXED</v>
      </c>
      <c r="M92" s="44" t="str">
        <f>'10_Analysis_Ready'!BJ92</f>
        <v>YES</v>
      </c>
      <c r="N92" s="44" t="str">
        <f>'10_Analysis_Ready'!BI92</f>
        <v>YES</v>
      </c>
      <c r="O92" s="44"/>
      <c r="P92" s="44"/>
      <c r="Q92" s="44"/>
      <c r="R92" s="44"/>
      <c r="S92" s="44"/>
      <c r="T92" s="44"/>
      <c r="U92" s="44"/>
      <c r="V92" s="44"/>
      <c r="W92" s="44"/>
      <c r="X92" s="44"/>
      <c r="Y92" s="44"/>
      <c r="Z92" s="44"/>
    </row>
    <row r="93" spans="1:26" ht="15.75" customHeight="1">
      <c r="A93" s="44" t="str">
        <f>'10_Analysis_Ready'!A93</f>
        <v>R0155</v>
      </c>
      <c r="B93" s="44">
        <f>'10_Analysis_Ready'!C93</f>
        <v>2026</v>
      </c>
      <c r="C93" s="44" t="str">
        <f>'10_Analysis_Ready'!BK93</f>
        <v>LOW</v>
      </c>
      <c r="D93" s="44" t="str">
        <f>'10_Analysis_Ready'!AF93</f>
        <v>MULTIPLE</v>
      </c>
      <c r="E93" s="44" t="str">
        <f>'10_Analysis_Ready'!AG93</f>
        <v>YES</v>
      </c>
      <c r="F93" s="44" t="str">
        <f>'10_Analysis_Ready'!AH93</f>
        <v>YES</v>
      </c>
      <c r="G93" s="44" t="str">
        <f>'10_Analysis_Ready'!AI93</f>
        <v>YES</v>
      </c>
      <c r="H93" s="44" t="str">
        <f>'10_Analysis_Ready'!AJ93</f>
        <v>NO</v>
      </c>
      <c r="I93" s="44" t="str">
        <f>'10_Analysis_Ready'!AK93</f>
        <v>NO</v>
      </c>
      <c r="J93" s="44" t="str">
        <f>'10_Analysis_Ready'!AL93</f>
        <v>NO</v>
      </c>
      <c r="K93" s="44" t="str">
        <f>'10_Analysis_Ready'!AO93</f>
        <v>YES</v>
      </c>
      <c r="L93" s="44" t="str">
        <f>'10_Analysis_Ready'!AM93</f>
        <v>ZERO-SHOT</v>
      </c>
      <c r="M93" s="44" t="str">
        <f>'10_Analysis_Ready'!BJ93</f>
        <v>NO</v>
      </c>
      <c r="N93" s="44" t="str">
        <f>'10_Analysis_Ready'!BI93</f>
        <v>NO</v>
      </c>
      <c r="O93" s="44"/>
      <c r="P93" s="44"/>
      <c r="Q93" s="44"/>
      <c r="R93" s="44"/>
      <c r="S93" s="44"/>
      <c r="T93" s="44"/>
      <c r="U93" s="44"/>
      <c r="V93" s="44"/>
      <c r="W93" s="44"/>
      <c r="X93" s="44"/>
      <c r="Y93" s="44"/>
      <c r="Z93" s="44"/>
    </row>
    <row r="94" spans="1:26" ht="15.75" customHeight="1">
      <c r="A94" s="44" t="str">
        <f>'10_Analysis_Ready'!A94</f>
        <v>R0228</v>
      </c>
      <c r="B94" s="44">
        <f>'10_Analysis_Ready'!C94</f>
        <v>2026</v>
      </c>
      <c r="C94" s="44" t="str">
        <f>'10_Analysis_Ready'!BK94</f>
        <v>HIGH</v>
      </c>
      <c r="D94" s="44" t="str">
        <f>'10_Analysis_Ready'!AF94</f>
        <v>MULTIPLE</v>
      </c>
      <c r="E94" s="44" t="str">
        <f>'10_Analysis_Ready'!AG94</f>
        <v>YES</v>
      </c>
      <c r="F94" s="44" t="str">
        <f>'10_Analysis_Ready'!AH94</f>
        <v>YES</v>
      </c>
      <c r="G94" s="44" t="str">
        <f>'10_Analysis_Ready'!AI94</f>
        <v>YES</v>
      </c>
      <c r="H94" s="44" t="str">
        <f>'10_Analysis_Ready'!AJ94</f>
        <v>YES</v>
      </c>
      <c r="I94" s="44" t="str">
        <f>'10_Analysis_Ready'!AK94</f>
        <v>YES</v>
      </c>
      <c r="J94" s="44" t="str">
        <f>'10_Analysis_Ready'!AL94</f>
        <v>NO</v>
      </c>
      <c r="K94" s="44" t="str">
        <f>'10_Analysis_Ready'!AO94</f>
        <v>YES</v>
      </c>
      <c r="L94" s="44" t="str">
        <f>'10_Analysis_Ready'!AM94</f>
        <v>ZERO-SHOT</v>
      </c>
      <c r="M94" s="44" t="str">
        <f>'10_Analysis_Ready'!BJ94</f>
        <v>YES</v>
      </c>
      <c r="N94" s="44" t="str">
        <f>'10_Analysis_Ready'!BI94</f>
        <v>YES</v>
      </c>
      <c r="O94" s="44"/>
      <c r="P94" s="44"/>
      <c r="Q94" s="44"/>
      <c r="R94" s="44"/>
      <c r="S94" s="44"/>
      <c r="T94" s="44"/>
      <c r="U94" s="44"/>
      <c r="V94" s="44"/>
      <c r="W94" s="44"/>
      <c r="X94" s="44"/>
      <c r="Y94" s="44"/>
      <c r="Z94" s="44"/>
    </row>
    <row r="95" spans="1:26" ht="15.75" customHeight="1">
      <c r="A95" s="44" t="str">
        <f>'10_Analysis_Ready'!A95</f>
        <v>R0242</v>
      </c>
      <c r="B95" s="44">
        <f>'10_Analysis_Ready'!C95</f>
        <v>2026</v>
      </c>
      <c r="C95" s="44" t="str">
        <f>'10_Analysis_Ready'!BK95</f>
        <v>HIGH</v>
      </c>
      <c r="D95" s="44" t="str">
        <f>'10_Analysis_Ready'!AF95</f>
        <v>MULTIPLE</v>
      </c>
      <c r="E95" s="44" t="str">
        <f>'10_Analysis_Ready'!AG95</f>
        <v>YES</v>
      </c>
      <c r="F95" s="44" t="str">
        <f>'10_Analysis_Ready'!AH95</f>
        <v>YES</v>
      </c>
      <c r="G95" s="44" t="str">
        <f>'10_Analysis_Ready'!AI95</f>
        <v>YES</v>
      </c>
      <c r="H95" s="44" t="str">
        <f>'10_Analysis_Ready'!AJ95</f>
        <v>YES</v>
      </c>
      <c r="I95" s="44" t="str">
        <f>'10_Analysis_Ready'!AK95</f>
        <v>NO</v>
      </c>
      <c r="J95" s="44" t="str">
        <f>'10_Analysis_Ready'!AL95</f>
        <v>NO</v>
      </c>
      <c r="K95" s="44" t="str">
        <f>'10_Analysis_Ready'!AO95</f>
        <v>YES</v>
      </c>
      <c r="L95" s="44" t="str">
        <f>'10_Analysis_Ready'!AM95</f>
        <v>ZERO-SHOT</v>
      </c>
      <c r="M95" s="44" t="str">
        <f>'10_Analysis_Ready'!BJ95</f>
        <v>YES</v>
      </c>
      <c r="N95" s="44" t="str">
        <f>'10_Analysis_Ready'!BI95</f>
        <v>YES</v>
      </c>
      <c r="O95" s="44"/>
      <c r="P95" s="44"/>
      <c r="Q95" s="44"/>
      <c r="R95" s="44"/>
      <c r="S95" s="44"/>
      <c r="T95" s="44"/>
      <c r="U95" s="44"/>
      <c r="V95" s="44"/>
      <c r="W95" s="44"/>
      <c r="X95" s="44"/>
      <c r="Y95" s="44"/>
      <c r="Z95" s="44"/>
    </row>
    <row r="96" spans="1:26" ht="15.75" customHeight="1">
      <c r="A96" s="44" t="str">
        <f>'10_Analysis_Ready'!A96</f>
        <v>R0259</v>
      </c>
      <c r="B96" s="44">
        <f>'10_Analysis_Ready'!C96</f>
        <v>2025</v>
      </c>
      <c r="C96" s="44" t="str">
        <f>'10_Analysis_Ready'!BK96</f>
        <v>MODERATE</v>
      </c>
      <c r="D96" s="44" t="str">
        <f>'10_Analysis_Ready'!AF96</f>
        <v>MULTIPLE</v>
      </c>
      <c r="E96" s="44" t="str">
        <f>'10_Analysis_Ready'!AG96</f>
        <v>YES</v>
      </c>
      <c r="F96" s="44" t="str">
        <f>'10_Analysis_Ready'!AH96</f>
        <v>YES</v>
      </c>
      <c r="G96" s="44" t="str">
        <f>'10_Analysis_Ready'!AI96</f>
        <v>YES</v>
      </c>
      <c r="H96" s="44" t="str">
        <f>'10_Analysis_Ready'!AJ96</f>
        <v>YES</v>
      </c>
      <c r="I96" s="44" t="str">
        <f>'10_Analysis_Ready'!AK96</f>
        <v>YES</v>
      </c>
      <c r="J96" s="44" t="str">
        <f>'10_Analysis_Ready'!AL96</f>
        <v>NO</v>
      </c>
      <c r="K96" s="44" t="str">
        <f>'10_Analysis_Ready'!AO96</f>
        <v>YES</v>
      </c>
      <c r="L96" s="44" t="str">
        <f>'10_Analysis_Ready'!AM96</f>
        <v>ZERO-SHOT</v>
      </c>
      <c r="M96" s="44" t="str">
        <f>'10_Analysis_Ready'!BJ96</f>
        <v>YES</v>
      </c>
      <c r="N96" s="44" t="str">
        <f>'10_Analysis_Ready'!BI96</f>
        <v>YES</v>
      </c>
      <c r="O96" s="44"/>
      <c r="P96" s="44"/>
      <c r="Q96" s="44"/>
      <c r="R96" s="44"/>
      <c r="S96" s="44"/>
      <c r="T96" s="44"/>
      <c r="U96" s="44"/>
      <c r="V96" s="44"/>
      <c r="W96" s="44"/>
      <c r="X96" s="44"/>
      <c r="Y96" s="44"/>
      <c r="Z96" s="44"/>
    </row>
    <row r="97" spans="1:26" ht="15.75" customHeight="1">
      <c r="A97" s="44" t="str">
        <f>'10_Analysis_Ready'!A97</f>
        <v>R0275</v>
      </c>
      <c r="B97" s="44">
        <f>'10_Analysis_Ready'!C97</f>
        <v>2022</v>
      </c>
      <c r="C97" s="44" t="str">
        <f>'10_Analysis_Ready'!BK97</f>
        <v>MODERATE</v>
      </c>
      <c r="D97" s="44" t="str">
        <f>'10_Analysis_Ready'!AF97</f>
        <v>MULTIPLE</v>
      </c>
      <c r="E97" s="44" t="str">
        <f>'10_Analysis_Ready'!AG97</f>
        <v>YES</v>
      </c>
      <c r="F97" s="44" t="str">
        <f>'10_Analysis_Ready'!AH97</f>
        <v>YES</v>
      </c>
      <c r="G97" s="44" t="str">
        <f>'10_Analysis_Ready'!AI97</f>
        <v>YES</v>
      </c>
      <c r="H97" s="44" t="str">
        <f>'10_Analysis_Ready'!AJ97</f>
        <v>NO</v>
      </c>
      <c r="I97" s="44" t="str">
        <f>'10_Analysis_Ready'!AK97</f>
        <v>NO</v>
      </c>
      <c r="J97" s="44" t="str">
        <f>'10_Analysis_Ready'!AL97</f>
        <v>NO</v>
      </c>
      <c r="K97" s="44" t="str">
        <f>'10_Analysis_Ready'!AO97</f>
        <v>YES</v>
      </c>
      <c r="L97" s="44" t="str">
        <f>'10_Analysis_Ready'!AM97</f>
        <v>ZERO-SHOT</v>
      </c>
      <c r="M97" s="44" t="str">
        <f>'10_Analysis_Ready'!BJ97</f>
        <v>YES</v>
      </c>
      <c r="N97" s="44" t="str">
        <f>'10_Analysis_Ready'!BI97</f>
        <v>YES</v>
      </c>
      <c r="O97" s="44"/>
      <c r="P97" s="44"/>
      <c r="Q97" s="44"/>
      <c r="R97" s="44"/>
      <c r="S97" s="44"/>
      <c r="T97" s="44"/>
      <c r="U97" s="44"/>
      <c r="V97" s="44"/>
      <c r="W97" s="44"/>
      <c r="X97" s="44"/>
      <c r="Y97" s="44"/>
      <c r="Z97" s="44"/>
    </row>
    <row r="98" spans="1:26" ht="15.75" customHeight="1">
      <c r="A98" s="44" t="str">
        <f>'10_Analysis_Ready'!A98</f>
        <v>R0302</v>
      </c>
      <c r="B98" s="44">
        <f>'10_Analysis_Ready'!C98</f>
        <v>2026</v>
      </c>
      <c r="C98" s="44" t="str">
        <f>'10_Analysis_Ready'!BK98</f>
        <v>VERY HIGH</v>
      </c>
      <c r="D98" s="44" t="str">
        <f>'10_Analysis_Ready'!AF98</f>
        <v>MULTIPLE</v>
      </c>
      <c r="E98" s="44" t="str">
        <f>'10_Analysis_Ready'!AG98</f>
        <v>YES</v>
      </c>
      <c r="F98" s="44" t="str">
        <f>'10_Analysis_Ready'!AH98</f>
        <v>YES</v>
      </c>
      <c r="G98" s="44" t="str">
        <f>'10_Analysis_Ready'!AI98</f>
        <v>YES</v>
      </c>
      <c r="H98" s="44" t="str">
        <f>'10_Analysis_Ready'!AJ98</f>
        <v>YES</v>
      </c>
      <c r="I98" s="44" t="str">
        <f>'10_Analysis_Ready'!AK98</f>
        <v>NO</v>
      </c>
      <c r="J98" s="44" t="str">
        <f>'10_Analysis_Ready'!AL98</f>
        <v>NO</v>
      </c>
      <c r="K98" s="44" t="str">
        <f>'10_Analysis_Ready'!AO98</f>
        <v>YES</v>
      </c>
      <c r="L98" s="44" t="str">
        <f>'10_Analysis_Ready'!AM98</f>
        <v>ZERO-SHOT</v>
      </c>
      <c r="M98" s="44" t="str">
        <f>'10_Analysis_Ready'!BJ98</f>
        <v>YES</v>
      </c>
      <c r="N98" s="44" t="str">
        <f>'10_Analysis_Ready'!BI98</f>
        <v>YES</v>
      </c>
      <c r="O98" s="44"/>
      <c r="P98" s="44"/>
      <c r="Q98" s="44"/>
      <c r="R98" s="44"/>
      <c r="S98" s="44"/>
      <c r="T98" s="44"/>
      <c r="U98" s="44"/>
      <c r="V98" s="44"/>
      <c r="W98" s="44"/>
      <c r="X98" s="44"/>
      <c r="Y98" s="44"/>
      <c r="Z98" s="44"/>
    </row>
    <row r="99" spans="1:26" ht="15.75" customHeight="1">
      <c r="A99" s="44" t="str">
        <f>'10_Analysis_Ready'!A99</f>
        <v>R0309</v>
      </c>
      <c r="B99" s="44">
        <f>'10_Analysis_Ready'!C99</f>
        <v>2024</v>
      </c>
      <c r="C99" s="44" t="str">
        <f>'10_Analysis_Ready'!BK99</f>
        <v>MODERATE</v>
      </c>
      <c r="D99" s="44" t="str">
        <f>'10_Analysis_Ready'!AF99</f>
        <v>MULTIPLE</v>
      </c>
      <c r="E99" s="44" t="str">
        <f>'10_Analysis_Ready'!AG99</f>
        <v>YES</v>
      </c>
      <c r="F99" s="44" t="str">
        <f>'10_Analysis_Ready'!AH99</f>
        <v>NO</v>
      </c>
      <c r="G99" s="44" t="str">
        <f>'10_Analysis_Ready'!AI99</f>
        <v>YES</v>
      </c>
      <c r="H99" s="44" t="str">
        <f>'10_Analysis_Ready'!AJ99</f>
        <v>NO</v>
      </c>
      <c r="I99" s="44" t="str">
        <f>'10_Analysis_Ready'!AK99</f>
        <v>NO</v>
      </c>
      <c r="J99" s="44" t="str">
        <f>'10_Analysis_Ready'!AL99</f>
        <v>NO</v>
      </c>
      <c r="K99" s="44" t="str">
        <f>'10_Analysis_Ready'!AO99</f>
        <v>NO</v>
      </c>
      <c r="L99" s="44" t="str">
        <f>'10_Analysis_Ready'!AM99</f>
        <v>ZERO-SHOT</v>
      </c>
      <c r="M99" s="44" t="str">
        <f>'10_Analysis_Ready'!BJ99</f>
        <v>YES</v>
      </c>
      <c r="N99" s="44" t="str">
        <f>'10_Analysis_Ready'!BI99</f>
        <v>YES</v>
      </c>
      <c r="O99" s="44"/>
      <c r="P99" s="44"/>
      <c r="Q99" s="44"/>
      <c r="R99" s="44"/>
      <c r="S99" s="44"/>
      <c r="T99" s="44"/>
      <c r="U99" s="44"/>
      <c r="V99" s="44"/>
      <c r="W99" s="44"/>
      <c r="X99" s="44"/>
      <c r="Y99" s="44"/>
      <c r="Z99" s="44"/>
    </row>
    <row r="100" spans="1:26" ht="15.75" customHeight="1">
      <c r="A100" s="44" t="str">
        <f>'10_Analysis_Ready'!A100</f>
        <v>R0321</v>
      </c>
      <c r="B100" s="44">
        <f>'10_Analysis_Ready'!C100</f>
        <v>2025</v>
      </c>
      <c r="C100" s="44" t="str">
        <f>'10_Analysis_Ready'!BK100</f>
        <v>MODERATE</v>
      </c>
      <c r="D100" s="44" t="str">
        <f>'10_Analysis_Ready'!AF100</f>
        <v>MULTIPLE</v>
      </c>
      <c r="E100" s="44" t="str">
        <f>'10_Analysis_Ready'!AG100</f>
        <v>YES</v>
      </c>
      <c r="F100" s="44" t="str">
        <f>'10_Analysis_Ready'!AH100</f>
        <v>NO</v>
      </c>
      <c r="G100" s="44" t="str">
        <f>'10_Analysis_Ready'!AI100</f>
        <v>YES</v>
      </c>
      <c r="H100" s="44" t="str">
        <f>'10_Analysis_Ready'!AJ100</f>
        <v>NO</v>
      </c>
      <c r="I100" s="44" t="str">
        <f>'10_Analysis_Ready'!AK100</f>
        <v>NO</v>
      </c>
      <c r="J100" s="44" t="str">
        <f>'10_Analysis_Ready'!AL100</f>
        <v>NO</v>
      </c>
      <c r="K100" s="44" t="str">
        <f>'10_Analysis_Ready'!AO100</f>
        <v>YES</v>
      </c>
      <c r="L100" s="44" t="str">
        <f>'10_Analysis_Ready'!AM100</f>
        <v>ZERO-SHOT</v>
      </c>
      <c r="M100" s="44" t="str">
        <f>'10_Analysis_Ready'!BJ100</f>
        <v>YES</v>
      </c>
      <c r="N100" s="44" t="str">
        <f>'10_Analysis_Ready'!BI100</f>
        <v>YES</v>
      </c>
      <c r="O100" s="44"/>
      <c r="P100" s="44"/>
      <c r="Q100" s="44"/>
      <c r="R100" s="44"/>
      <c r="S100" s="44"/>
      <c r="T100" s="44"/>
      <c r="U100" s="44"/>
      <c r="V100" s="44"/>
      <c r="W100" s="44"/>
      <c r="X100" s="44"/>
      <c r="Y100" s="44"/>
      <c r="Z100" s="44"/>
    </row>
    <row r="101" spans="1:26" ht="15.75" customHeight="1">
      <c r="A101" s="44" t="str">
        <f>'10_Analysis_Ready'!A101</f>
        <v>R0325</v>
      </c>
      <c r="B101" s="44">
        <f>'10_Analysis_Ready'!C101</f>
        <v>2025</v>
      </c>
      <c r="C101" s="44" t="str">
        <f>'10_Analysis_Ready'!BK101</f>
        <v>HIGH</v>
      </c>
      <c r="D101" s="44" t="str">
        <f>'10_Analysis_Ready'!AF101</f>
        <v>MULTIPLE</v>
      </c>
      <c r="E101" s="44" t="str">
        <f>'10_Analysis_Ready'!AG101</f>
        <v>YES</v>
      </c>
      <c r="F101" s="44" t="str">
        <f>'10_Analysis_Ready'!AH101</f>
        <v>YES</v>
      </c>
      <c r="G101" s="44" t="str">
        <f>'10_Analysis_Ready'!AI101</f>
        <v>YES</v>
      </c>
      <c r="H101" s="44" t="str">
        <f>'10_Analysis_Ready'!AJ101</f>
        <v>YES</v>
      </c>
      <c r="I101" s="44" t="str">
        <f>'10_Analysis_Ready'!AK101</f>
        <v>YES</v>
      </c>
      <c r="J101" s="44" t="str">
        <f>'10_Analysis_Ready'!AL101</f>
        <v>NO</v>
      </c>
      <c r="K101" s="44" t="str">
        <f>'10_Analysis_Ready'!AO101</f>
        <v>YES</v>
      </c>
      <c r="L101" s="44" t="str">
        <f>'10_Analysis_Ready'!AM101</f>
        <v>ZERO-SHOT</v>
      </c>
      <c r="M101" s="44" t="str">
        <f>'10_Analysis_Ready'!BJ101</f>
        <v>YES</v>
      </c>
      <c r="N101" s="44" t="str">
        <f>'10_Analysis_Ready'!BI101</f>
        <v>YES</v>
      </c>
    </row>
    <row r="102" spans="1:26" ht="15.75" customHeight="1">
      <c r="A102" s="44" t="str">
        <f>'10_Analysis_Ready'!A102</f>
        <v>R0345</v>
      </c>
      <c r="B102" s="44">
        <f>'10_Analysis_Ready'!C102</f>
        <v>2023</v>
      </c>
      <c r="C102" s="44" t="str">
        <f>'10_Analysis_Ready'!BK102</f>
        <v>HIGH</v>
      </c>
      <c r="D102" s="44" t="str">
        <f>'10_Analysis_Ready'!AF102</f>
        <v>MULTIPLE</v>
      </c>
      <c r="E102" s="44" t="str">
        <f>'10_Analysis_Ready'!AG102</f>
        <v>YES</v>
      </c>
      <c r="F102" s="44" t="str">
        <f>'10_Analysis_Ready'!AH102</f>
        <v>YES</v>
      </c>
      <c r="G102" s="44" t="str">
        <f>'10_Analysis_Ready'!AI102</f>
        <v>YES</v>
      </c>
      <c r="H102" s="44" t="str">
        <f>'10_Analysis_Ready'!AJ102</f>
        <v>YES</v>
      </c>
      <c r="I102" s="44" t="str">
        <f>'10_Analysis_Ready'!AK102</f>
        <v>YES</v>
      </c>
      <c r="J102" s="44" t="str">
        <f>'10_Analysis_Ready'!AL102</f>
        <v>NO</v>
      </c>
      <c r="K102" s="44" t="str">
        <f>'10_Analysis_Ready'!AO102</f>
        <v>YES</v>
      </c>
      <c r="L102" s="44" t="str">
        <f>'10_Analysis_Ready'!AM102</f>
        <v>ZERO-SHOT</v>
      </c>
      <c r="M102" s="44" t="str">
        <f>'10_Analysis_Ready'!BJ102</f>
        <v>YES</v>
      </c>
      <c r="N102" s="44" t="str">
        <f>'10_Analysis_Ready'!BI102</f>
        <v>YES</v>
      </c>
    </row>
    <row r="103" spans="1:26" ht="15.75" customHeight="1"/>
    <row r="104" spans="1:26" ht="15.75" customHeight="1"/>
    <row r="105" spans="1:26" ht="15.75" customHeight="1"/>
    <row r="106" spans="1:26" ht="15.75" customHeight="1"/>
    <row r="107" spans="1:26" ht="15.75" customHeight="1"/>
    <row r="108" spans="1:26" ht="15.75" customHeight="1"/>
    <row r="109" spans="1:26" ht="15.75" customHeight="1"/>
    <row r="110" spans="1:26" ht="15.75" customHeight="1"/>
    <row r="111" spans="1:26" ht="15.75" customHeight="1"/>
    <row r="112" spans="1:26"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N1"/>
  </mergeCells>
  <conditionalFormatting sqref="C4:C77">
    <cfRule type="expression" dxfId="23" priority="19">
      <formula>C4="VERY HIGH"</formula>
    </cfRule>
    <cfRule type="expression" dxfId="22" priority="20">
      <formula>C4="HIGH"</formula>
    </cfRule>
    <cfRule type="expression" dxfId="21" priority="21">
      <formula>C4="MODERATE"</formula>
    </cfRule>
    <cfRule type="expression" dxfId="20" priority="22">
      <formula>C4="LOW"</formula>
    </cfRule>
  </conditionalFormatting>
  <conditionalFormatting sqref="E4:K77">
    <cfRule type="expression" dxfId="19" priority="1">
      <formula>E4="YES"</formula>
    </cfRule>
    <cfRule type="expression" dxfId="18" priority="2">
      <formula>E4="NO"</formula>
    </cfRule>
  </conditionalFormatting>
  <conditionalFormatting sqref="M4:N77">
    <cfRule type="expression" dxfId="17" priority="15">
      <formula>M4="YES"</formula>
    </cfRule>
    <cfRule type="expression" dxfId="16" priority="16">
      <formula>M4="NO"</formula>
    </cfRule>
  </conditionalFormatting>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Z1000"/>
  <sheetViews>
    <sheetView workbookViewId="0"/>
  </sheetViews>
  <sheetFormatPr baseColWidth="10" defaultColWidth="12.6640625" defaultRowHeight="15" customHeight="1"/>
  <cols>
    <col min="1" max="1" width="26" customWidth="1"/>
    <col min="2" max="2" width="30" customWidth="1"/>
    <col min="3" max="3" width="34" customWidth="1"/>
    <col min="4" max="4" width="42" customWidth="1"/>
    <col min="5" max="5" width="44" customWidth="1"/>
    <col min="6" max="6" width="46" customWidth="1"/>
    <col min="7" max="7" width="18" customWidth="1"/>
    <col min="8" max="8" width="26" customWidth="1"/>
    <col min="9" max="26" width="8.6640625" customWidth="1"/>
  </cols>
  <sheetData>
    <row r="1" spans="1:26" ht="13">
      <c r="A1" s="62" t="s">
        <v>7114</v>
      </c>
      <c r="B1" s="59"/>
      <c r="C1" s="59"/>
      <c r="D1" s="59"/>
      <c r="E1" s="59"/>
      <c r="F1" s="59"/>
      <c r="G1" s="59"/>
      <c r="H1" s="59"/>
      <c r="I1" s="44"/>
      <c r="J1" s="44"/>
      <c r="K1" s="44"/>
      <c r="L1" s="44"/>
      <c r="M1" s="44"/>
      <c r="N1" s="44"/>
      <c r="O1" s="44"/>
      <c r="P1" s="44"/>
      <c r="Q1" s="44"/>
      <c r="R1" s="44"/>
      <c r="S1" s="44"/>
      <c r="T1" s="44"/>
      <c r="U1" s="44"/>
      <c r="V1" s="44"/>
      <c r="W1" s="44"/>
      <c r="X1" s="44"/>
      <c r="Y1" s="44"/>
      <c r="Z1" s="44"/>
    </row>
    <row r="2" spans="1:26" ht="13">
      <c r="A2" s="44"/>
      <c r="B2" s="44"/>
      <c r="C2" s="44"/>
      <c r="D2" s="44"/>
      <c r="E2" s="44"/>
      <c r="F2" s="44"/>
      <c r="G2" s="44"/>
      <c r="H2" s="44"/>
      <c r="I2" s="44"/>
      <c r="J2" s="44"/>
      <c r="K2" s="44"/>
      <c r="L2" s="44"/>
      <c r="M2" s="44"/>
      <c r="N2" s="44"/>
      <c r="O2" s="44"/>
      <c r="P2" s="44"/>
      <c r="Q2" s="44"/>
      <c r="R2" s="44"/>
      <c r="S2" s="44"/>
      <c r="T2" s="44"/>
      <c r="U2" s="44"/>
      <c r="V2" s="44"/>
      <c r="W2" s="44"/>
      <c r="X2" s="44"/>
      <c r="Y2" s="44"/>
      <c r="Z2" s="44"/>
    </row>
    <row r="3" spans="1:26" ht="14">
      <c r="A3" s="43" t="s">
        <v>7115</v>
      </c>
      <c r="B3" s="43" t="s">
        <v>7116</v>
      </c>
      <c r="C3" s="43" t="s">
        <v>7117</v>
      </c>
      <c r="D3" s="43" t="s">
        <v>7118</v>
      </c>
      <c r="E3" s="43" t="s">
        <v>7119</v>
      </c>
      <c r="F3" s="43" t="s">
        <v>7120</v>
      </c>
      <c r="G3" s="43" t="s">
        <v>7121</v>
      </c>
      <c r="H3" s="43" t="s">
        <v>7122</v>
      </c>
      <c r="I3" s="44"/>
      <c r="J3" s="44"/>
      <c r="K3" s="44"/>
      <c r="L3" s="44"/>
      <c r="M3" s="44"/>
      <c r="N3" s="44"/>
      <c r="O3" s="44"/>
      <c r="P3" s="44"/>
      <c r="Q3" s="44"/>
      <c r="R3" s="44"/>
      <c r="S3" s="44"/>
      <c r="T3" s="44"/>
      <c r="U3" s="44"/>
      <c r="V3" s="44"/>
      <c r="W3" s="44"/>
      <c r="X3" s="44"/>
      <c r="Y3" s="44"/>
      <c r="Z3" s="44"/>
    </row>
    <row r="4" spans="1:26" ht="28">
      <c r="A4" s="44" t="s">
        <v>7123</v>
      </c>
      <c r="B4" s="44" t="s">
        <v>7124</v>
      </c>
      <c r="C4" s="44" t="s">
        <v>7125</v>
      </c>
      <c r="D4" s="44" t="s">
        <v>7126</v>
      </c>
      <c r="E4" s="44" t="s">
        <v>7127</v>
      </c>
      <c r="F4" s="44" t="s">
        <v>7128</v>
      </c>
      <c r="G4" s="44" t="s">
        <v>7129</v>
      </c>
      <c r="H4" s="44" t="s">
        <v>7130</v>
      </c>
      <c r="I4" s="44"/>
      <c r="J4" s="44"/>
      <c r="K4" s="44"/>
      <c r="L4" s="44"/>
      <c r="M4" s="44"/>
      <c r="N4" s="44"/>
      <c r="O4" s="44"/>
      <c r="P4" s="44"/>
      <c r="Q4" s="44"/>
      <c r="R4" s="44"/>
      <c r="S4" s="44"/>
      <c r="T4" s="44"/>
      <c r="U4" s="44"/>
      <c r="V4" s="44"/>
      <c r="W4" s="44"/>
      <c r="X4" s="44"/>
      <c r="Y4" s="44"/>
      <c r="Z4" s="44"/>
    </row>
    <row r="5" spans="1:26" ht="14">
      <c r="A5" s="44" t="s">
        <v>7123</v>
      </c>
      <c r="B5" s="44" t="s">
        <v>7131</v>
      </c>
      <c r="C5" s="44" t="s">
        <v>7132</v>
      </c>
      <c r="D5" s="44" t="s">
        <v>7133</v>
      </c>
      <c r="E5" s="44" t="s">
        <v>7134</v>
      </c>
      <c r="F5" s="44" t="s">
        <v>7135</v>
      </c>
      <c r="G5" s="44" t="s">
        <v>3813</v>
      </c>
      <c r="H5" s="44" t="s">
        <v>7130</v>
      </c>
      <c r="I5" s="44"/>
      <c r="J5" s="44"/>
      <c r="K5" s="44"/>
      <c r="L5" s="44"/>
      <c r="M5" s="44"/>
      <c r="N5" s="44"/>
      <c r="O5" s="44"/>
      <c r="P5" s="44"/>
      <c r="Q5" s="44"/>
      <c r="R5" s="44"/>
      <c r="S5" s="44"/>
      <c r="T5" s="44"/>
      <c r="U5" s="44"/>
      <c r="V5" s="44"/>
      <c r="W5" s="44"/>
      <c r="X5" s="44"/>
      <c r="Y5" s="44"/>
      <c r="Z5" s="44"/>
    </row>
    <row r="6" spans="1:26" ht="14">
      <c r="A6" s="44" t="s">
        <v>7123</v>
      </c>
      <c r="B6" s="44" t="s">
        <v>7136</v>
      </c>
      <c r="C6" s="44" t="s">
        <v>7137</v>
      </c>
      <c r="D6" s="44" t="s">
        <v>7138</v>
      </c>
      <c r="E6" s="44" t="s">
        <v>7139</v>
      </c>
      <c r="F6" s="44" t="s">
        <v>7140</v>
      </c>
      <c r="G6" s="44" t="s">
        <v>3813</v>
      </c>
      <c r="H6" s="44" t="s">
        <v>7130</v>
      </c>
      <c r="I6" s="44"/>
      <c r="J6" s="44"/>
      <c r="K6" s="44"/>
      <c r="L6" s="44"/>
      <c r="M6" s="44"/>
      <c r="N6" s="44"/>
      <c r="O6" s="44"/>
      <c r="P6" s="44"/>
      <c r="Q6" s="44"/>
      <c r="R6" s="44"/>
      <c r="S6" s="44"/>
      <c r="T6" s="44"/>
      <c r="U6" s="44"/>
      <c r="V6" s="44"/>
      <c r="W6" s="44"/>
      <c r="X6" s="44"/>
      <c r="Y6" s="44"/>
      <c r="Z6" s="44"/>
    </row>
    <row r="7" spans="1:26" ht="28">
      <c r="A7" s="44" t="s">
        <v>7123</v>
      </c>
      <c r="B7" s="44" t="s">
        <v>7141</v>
      </c>
      <c r="C7" s="44" t="s">
        <v>7142</v>
      </c>
      <c r="D7" s="44" t="s">
        <v>7143</v>
      </c>
      <c r="E7" s="44" t="s">
        <v>7144</v>
      </c>
      <c r="F7" s="44" t="s">
        <v>7145</v>
      </c>
      <c r="G7" s="44" t="s">
        <v>3813</v>
      </c>
      <c r="H7" s="44" t="s">
        <v>7130</v>
      </c>
      <c r="I7" s="44"/>
      <c r="J7" s="44"/>
      <c r="K7" s="44"/>
      <c r="L7" s="44"/>
      <c r="M7" s="44"/>
      <c r="N7" s="44"/>
      <c r="O7" s="44"/>
      <c r="P7" s="44"/>
      <c r="Q7" s="44"/>
      <c r="R7" s="44"/>
      <c r="S7" s="44"/>
      <c r="T7" s="44"/>
      <c r="U7" s="44"/>
      <c r="V7" s="44"/>
      <c r="W7" s="44"/>
      <c r="X7" s="44"/>
      <c r="Y7" s="44"/>
      <c r="Z7" s="44"/>
    </row>
    <row r="8" spans="1:26" ht="28">
      <c r="A8" s="44" t="s">
        <v>7146</v>
      </c>
      <c r="B8" s="44" t="s">
        <v>7147</v>
      </c>
      <c r="C8" s="44" t="s">
        <v>7148</v>
      </c>
      <c r="D8" s="44" t="s">
        <v>7149</v>
      </c>
      <c r="E8" s="44" t="s">
        <v>7150</v>
      </c>
      <c r="F8" s="44" t="s">
        <v>7151</v>
      </c>
      <c r="G8" s="44" t="s">
        <v>7152</v>
      </c>
      <c r="H8" s="44" t="s">
        <v>7153</v>
      </c>
      <c r="I8" s="44"/>
      <c r="J8" s="44"/>
      <c r="K8" s="44"/>
      <c r="L8" s="44"/>
      <c r="M8" s="44"/>
      <c r="N8" s="44"/>
      <c r="O8" s="44"/>
      <c r="P8" s="44"/>
      <c r="Q8" s="44"/>
      <c r="R8" s="44"/>
      <c r="S8" s="44"/>
      <c r="T8" s="44"/>
      <c r="U8" s="44"/>
      <c r="V8" s="44"/>
      <c r="W8" s="44"/>
      <c r="X8" s="44"/>
      <c r="Y8" s="44"/>
      <c r="Z8" s="44"/>
    </row>
    <row r="9" spans="1:26" ht="28">
      <c r="A9" s="44" t="s">
        <v>7146</v>
      </c>
      <c r="B9" s="44" t="s">
        <v>7147</v>
      </c>
      <c r="C9" s="44" t="s">
        <v>7154</v>
      </c>
      <c r="D9" s="44" t="s">
        <v>7155</v>
      </c>
      <c r="E9" s="44" t="s">
        <v>7156</v>
      </c>
      <c r="F9" s="44" t="s">
        <v>7157</v>
      </c>
      <c r="G9" s="44" t="s">
        <v>3768</v>
      </c>
      <c r="H9" s="44" t="s">
        <v>7153</v>
      </c>
      <c r="I9" s="44"/>
      <c r="J9" s="44"/>
      <c r="K9" s="44"/>
      <c r="L9" s="44"/>
      <c r="M9" s="44"/>
      <c r="N9" s="44"/>
      <c r="O9" s="44"/>
      <c r="P9" s="44"/>
      <c r="Q9" s="44"/>
      <c r="R9" s="44"/>
      <c r="S9" s="44"/>
      <c r="T9" s="44"/>
      <c r="U9" s="44"/>
      <c r="V9" s="44"/>
      <c r="W9" s="44"/>
      <c r="X9" s="44"/>
      <c r="Y9" s="44"/>
      <c r="Z9" s="44"/>
    </row>
    <row r="10" spans="1:26" ht="28">
      <c r="A10" s="44" t="s">
        <v>7146</v>
      </c>
      <c r="B10" s="44" t="s">
        <v>7095</v>
      </c>
      <c r="C10" s="44" t="s">
        <v>7158</v>
      </c>
      <c r="D10" s="44" t="s">
        <v>7159</v>
      </c>
      <c r="E10" s="44" t="s">
        <v>7160</v>
      </c>
      <c r="F10" s="44" t="s">
        <v>7161</v>
      </c>
      <c r="G10" s="44" t="s">
        <v>3768</v>
      </c>
      <c r="H10" s="44" t="s">
        <v>7153</v>
      </c>
      <c r="I10" s="44"/>
      <c r="J10" s="44"/>
      <c r="K10" s="44"/>
      <c r="L10" s="44"/>
      <c r="M10" s="44"/>
      <c r="N10" s="44"/>
      <c r="O10" s="44"/>
      <c r="P10" s="44"/>
      <c r="Q10" s="44"/>
      <c r="R10" s="44"/>
      <c r="S10" s="44"/>
      <c r="T10" s="44"/>
      <c r="U10" s="44"/>
      <c r="V10" s="44"/>
      <c r="W10" s="44"/>
      <c r="X10" s="44"/>
      <c r="Y10" s="44"/>
      <c r="Z10" s="44"/>
    </row>
    <row r="11" spans="1:26" ht="14">
      <c r="A11" s="44" t="s">
        <v>7146</v>
      </c>
      <c r="B11" s="44" t="s">
        <v>7095</v>
      </c>
      <c r="C11" s="44" t="s">
        <v>7162</v>
      </c>
      <c r="D11" s="44" t="s">
        <v>7163</v>
      </c>
      <c r="E11" s="44" t="s">
        <v>7164</v>
      </c>
      <c r="F11" s="44" t="s">
        <v>7165</v>
      </c>
      <c r="G11" s="44" t="s">
        <v>3768</v>
      </c>
      <c r="H11" s="44" t="s">
        <v>7153</v>
      </c>
      <c r="I11" s="44"/>
      <c r="J11" s="44"/>
      <c r="K11" s="44"/>
      <c r="L11" s="44"/>
      <c r="M11" s="44"/>
      <c r="N11" s="44"/>
      <c r="O11" s="44"/>
      <c r="P11" s="44"/>
      <c r="Q11" s="44"/>
      <c r="R11" s="44"/>
      <c r="S11" s="44"/>
      <c r="T11" s="44"/>
      <c r="U11" s="44"/>
      <c r="V11" s="44"/>
      <c r="W11" s="44"/>
      <c r="X11" s="44"/>
      <c r="Y11" s="44"/>
      <c r="Z11" s="44"/>
    </row>
    <row r="12" spans="1:26" ht="28">
      <c r="A12" s="44" t="s">
        <v>7146</v>
      </c>
      <c r="B12" s="44" t="s">
        <v>7166</v>
      </c>
      <c r="C12" s="44" t="s">
        <v>7167</v>
      </c>
      <c r="D12" s="44" t="s">
        <v>7168</v>
      </c>
      <c r="E12" s="44" t="s">
        <v>7169</v>
      </c>
      <c r="F12" s="44" t="s">
        <v>7170</v>
      </c>
      <c r="G12" s="44" t="s">
        <v>3768</v>
      </c>
      <c r="H12" s="44" t="s">
        <v>7153</v>
      </c>
      <c r="I12" s="44"/>
      <c r="J12" s="44"/>
      <c r="K12" s="44"/>
      <c r="L12" s="44"/>
      <c r="M12" s="44"/>
      <c r="N12" s="44"/>
      <c r="O12" s="44"/>
      <c r="P12" s="44"/>
      <c r="Q12" s="44"/>
      <c r="R12" s="44"/>
      <c r="S12" s="44"/>
      <c r="T12" s="44"/>
      <c r="U12" s="44"/>
      <c r="V12" s="44"/>
      <c r="W12" s="44"/>
      <c r="X12" s="44"/>
      <c r="Y12" s="44"/>
      <c r="Z12" s="44"/>
    </row>
    <row r="13" spans="1:26" ht="14">
      <c r="A13" s="44" t="s">
        <v>7146</v>
      </c>
      <c r="B13" s="44" t="s">
        <v>7171</v>
      </c>
      <c r="C13" s="44" t="s">
        <v>7172</v>
      </c>
      <c r="D13" s="44" t="s">
        <v>7173</v>
      </c>
      <c r="E13" s="44" t="s">
        <v>7174</v>
      </c>
      <c r="F13" s="44" t="s">
        <v>7175</v>
      </c>
      <c r="G13" s="44" t="s">
        <v>3768</v>
      </c>
      <c r="H13" s="44" t="s">
        <v>7153</v>
      </c>
      <c r="I13" s="44"/>
      <c r="J13" s="44"/>
      <c r="K13" s="44"/>
      <c r="L13" s="44"/>
      <c r="M13" s="44"/>
      <c r="N13" s="44"/>
      <c r="O13" s="44"/>
      <c r="P13" s="44"/>
      <c r="Q13" s="44"/>
      <c r="R13" s="44"/>
      <c r="S13" s="44"/>
      <c r="T13" s="44"/>
      <c r="U13" s="44"/>
      <c r="V13" s="44"/>
      <c r="W13" s="44"/>
      <c r="X13" s="44"/>
      <c r="Y13" s="44"/>
      <c r="Z13" s="44"/>
    </row>
    <row r="14" spans="1:26" ht="28">
      <c r="A14" s="44" t="s">
        <v>7146</v>
      </c>
      <c r="B14" s="44" t="s">
        <v>7096</v>
      </c>
      <c r="C14" s="44" t="s">
        <v>7176</v>
      </c>
      <c r="D14" s="44" t="s">
        <v>7177</v>
      </c>
      <c r="E14" s="44" t="s">
        <v>7178</v>
      </c>
      <c r="F14" s="44" t="s">
        <v>7179</v>
      </c>
      <c r="G14" s="44" t="s">
        <v>3768</v>
      </c>
      <c r="H14" s="44" t="s">
        <v>7153</v>
      </c>
      <c r="I14" s="44"/>
      <c r="J14" s="44"/>
      <c r="K14" s="44"/>
      <c r="L14" s="44"/>
      <c r="M14" s="44"/>
      <c r="N14" s="44"/>
      <c r="O14" s="44"/>
      <c r="P14" s="44"/>
      <c r="Q14" s="44"/>
      <c r="R14" s="44"/>
      <c r="S14" s="44"/>
      <c r="T14" s="44"/>
      <c r="U14" s="44"/>
      <c r="V14" s="44"/>
      <c r="W14" s="44"/>
      <c r="X14" s="44"/>
      <c r="Y14" s="44"/>
      <c r="Z14" s="44"/>
    </row>
    <row r="15" spans="1:26" ht="28">
      <c r="A15" s="44" t="s">
        <v>7146</v>
      </c>
      <c r="B15" s="44" t="s">
        <v>7096</v>
      </c>
      <c r="C15" s="44" t="s">
        <v>7180</v>
      </c>
      <c r="D15" s="44" t="s">
        <v>7181</v>
      </c>
      <c r="E15" s="44" t="s">
        <v>7182</v>
      </c>
      <c r="F15" s="44" t="s">
        <v>7183</v>
      </c>
      <c r="G15" s="44" t="s">
        <v>3768</v>
      </c>
      <c r="H15" s="44" t="s">
        <v>7153</v>
      </c>
      <c r="I15" s="44"/>
      <c r="J15" s="44"/>
      <c r="K15" s="44"/>
      <c r="L15" s="44"/>
      <c r="M15" s="44"/>
      <c r="N15" s="44"/>
      <c r="O15" s="44"/>
      <c r="P15" s="44"/>
      <c r="Q15" s="44"/>
      <c r="R15" s="44"/>
      <c r="S15" s="44"/>
      <c r="T15" s="44"/>
      <c r="U15" s="44"/>
      <c r="V15" s="44"/>
      <c r="W15" s="44"/>
      <c r="X15" s="44"/>
      <c r="Y15" s="44"/>
      <c r="Z15" s="44"/>
    </row>
    <row r="16" spans="1:26" ht="28">
      <c r="A16" s="44" t="s">
        <v>7146</v>
      </c>
      <c r="B16" s="44" t="s">
        <v>7184</v>
      </c>
      <c r="C16" s="44" t="s">
        <v>7185</v>
      </c>
      <c r="D16" s="44" t="s">
        <v>7186</v>
      </c>
      <c r="E16" s="44" t="s">
        <v>7187</v>
      </c>
      <c r="F16" s="44" t="s">
        <v>7188</v>
      </c>
      <c r="G16" s="44" t="s">
        <v>3768</v>
      </c>
      <c r="H16" s="44" t="s">
        <v>7153</v>
      </c>
      <c r="I16" s="44"/>
      <c r="J16" s="44"/>
      <c r="K16" s="44"/>
      <c r="L16" s="44"/>
      <c r="M16" s="44"/>
      <c r="N16" s="44"/>
      <c r="O16" s="44"/>
      <c r="P16" s="44"/>
      <c r="Q16" s="44"/>
      <c r="R16" s="44"/>
      <c r="S16" s="44"/>
      <c r="T16" s="44"/>
      <c r="U16" s="44"/>
      <c r="V16" s="44"/>
      <c r="W16" s="44"/>
      <c r="X16" s="44"/>
      <c r="Y16" s="44"/>
      <c r="Z16" s="44"/>
    </row>
    <row r="17" spans="1:26" ht="14">
      <c r="A17" s="44" t="s">
        <v>7146</v>
      </c>
      <c r="B17" s="44" t="s">
        <v>7184</v>
      </c>
      <c r="C17" s="44" t="s">
        <v>7189</v>
      </c>
      <c r="D17" s="44" t="s">
        <v>7190</v>
      </c>
      <c r="E17" s="44" t="s">
        <v>7191</v>
      </c>
      <c r="F17" s="44" t="s">
        <v>7192</v>
      </c>
      <c r="G17" s="44" t="s">
        <v>3768</v>
      </c>
      <c r="H17" s="44" t="s">
        <v>7153</v>
      </c>
      <c r="I17" s="44"/>
      <c r="J17" s="44"/>
      <c r="K17" s="44"/>
      <c r="L17" s="44"/>
      <c r="M17" s="44"/>
      <c r="N17" s="44"/>
      <c r="O17" s="44"/>
      <c r="P17" s="44"/>
      <c r="Q17" s="44"/>
      <c r="R17" s="44"/>
      <c r="S17" s="44"/>
      <c r="T17" s="44"/>
      <c r="U17" s="44"/>
      <c r="V17" s="44"/>
      <c r="W17" s="44"/>
      <c r="X17" s="44"/>
      <c r="Y17" s="44"/>
      <c r="Z17" s="44"/>
    </row>
    <row r="18" spans="1:26" ht="28">
      <c r="A18" s="44" t="s">
        <v>7146</v>
      </c>
      <c r="B18" s="44" t="s">
        <v>7193</v>
      </c>
      <c r="C18" s="44" t="s">
        <v>7194</v>
      </c>
      <c r="D18" s="44" t="s">
        <v>7195</v>
      </c>
      <c r="E18" s="44" t="s">
        <v>7196</v>
      </c>
      <c r="F18" s="44" t="s">
        <v>7197</v>
      </c>
      <c r="G18" s="44" t="s">
        <v>3768</v>
      </c>
      <c r="H18" s="44" t="s">
        <v>7153</v>
      </c>
      <c r="I18" s="44"/>
      <c r="J18" s="44"/>
      <c r="K18" s="44"/>
      <c r="L18" s="44"/>
      <c r="M18" s="44"/>
      <c r="N18" s="44"/>
      <c r="O18" s="44"/>
      <c r="P18" s="44"/>
      <c r="Q18" s="44"/>
      <c r="R18" s="44"/>
      <c r="S18" s="44"/>
      <c r="T18" s="44"/>
      <c r="U18" s="44"/>
      <c r="V18" s="44"/>
      <c r="W18" s="44"/>
      <c r="X18" s="44"/>
      <c r="Y18" s="44"/>
      <c r="Z18" s="44"/>
    </row>
    <row r="19" spans="1:26" ht="28">
      <c r="A19" s="44" t="s">
        <v>7146</v>
      </c>
      <c r="B19" s="44" t="s">
        <v>7198</v>
      </c>
      <c r="C19" s="44" t="s">
        <v>7199</v>
      </c>
      <c r="D19" s="44" t="s">
        <v>7200</v>
      </c>
      <c r="E19" s="44" t="s">
        <v>7201</v>
      </c>
      <c r="F19" s="44" t="s">
        <v>7202</v>
      </c>
      <c r="G19" s="44" t="s">
        <v>3768</v>
      </c>
      <c r="H19" s="44" t="s">
        <v>7153</v>
      </c>
      <c r="I19" s="44"/>
      <c r="J19" s="44"/>
      <c r="K19" s="44"/>
      <c r="L19" s="44"/>
      <c r="M19" s="44"/>
      <c r="N19" s="44"/>
      <c r="O19" s="44"/>
      <c r="P19" s="44"/>
      <c r="Q19" s="44"/>
      <c r="R19" s="44"/>
      <c r="S19" s="44"/>
      <c r="T19" s="44"/>
      <c r="U19" s="44"/>
      <c r="V19" s="44"/>
      <c r="W19" s="44"/>
      <c r="X19" s="44"/>
      <c r="Y19" s="44"/>
      <c r="Z19" s="44"/>
    </row>
    <row r="20" spans="1:26" ht="14">
      <c r="A20" s="44" t="s">
        <v>7203</v>
      </c>
      <c r="B20" s="44" t="s">
        <v>7204</v>
      </c>
      <c r="C20" s="44" t="s">
        <v>7205</v>
      </c>
      <c r="D20" s="44" t="s">
        <v>7206</v>
      </c>
      <c r="E20" s="44" t="s">
        <v>7207</v>
      </c>
      <c r="F20" s="44" t="s">
        <v>7208</v>
      </c>
      <c r="G20" s="44" t="s">
        <v>3768</v>
      </c>
      <c r="H20" s="44" t="s">
        <v>7209</v>
      </c>
      <c r="I20" s="44"/>
      <c r="J20" s="44"/>
      <c r="K20" s="44"/>
      <c r="L20" s="44"/>
      <c r="M20" s="44"/>
      <c r="N20" s="44"/>
      <c r="O20" s="44"/>
      <c r="P20" s="44"/>
      <c r="Q20" s="44"/>
      <c r="R20" s="44"/>
      <c r="S20" s="44"/>
      <c r="T20" s="44"/>
      <c r="U20" s="44"/>
      <c r="V20" s="44"/>
      <c r="W20" s="44"/>
      <c r="X20" s="44"/>
      <c r="Y20" s="44"/>
      <c r="Z20" s="44"/>
    </row>
    <row r="21" spans="1:26" ht="15.75" customHeight="1">
      <c r="A21" s="44" t="s">
        <v>7203</v>
      </c>
      <c r="B21" s="44" t="s">
        <v>7210</v>
      </c>
      <c r="C21" s="44" t="s">
        <v>7211</v>
      </c>
      <c r="D21" s="44" t="s">
        <v>7212</v>
      </c>
      <c r="E21" s="44" t="s">
        <v>7213</v>
      </c>
      <c r="F21" s="44" t="s">
        <v>7214</v>
      </c>
      <c r="G21" s="44" t="s">
        <v>3768</v>
      </c>
      <c r="H21" s="44" t="s">
        <v>7215</v>
      </c>
      <c r="I21" s="44"/>
      <c r="J21" s="44"/>
      <c r="K21" s="44"/>
      <c r="L21" s="44"/>
      <c r="M21" s="44"/>
      <c r="N21" s="44"/>
      <c r="O21" s="44"/>
      <c r="P21" s="44"/>
      <c r="Q21" s="44"/>
      <c r="R21" s="44"/>
      <c r="S21" s="44"/>
      <c r="T21" s="44"/>
      <c r="U21" s="44"/>
      <c r="V21" s="44"/>
      <c r="W21" s="44"/>
      <c r="X21" s="44"/>
      <c r="Y21" s="44"/>
      <c r="Z21" s="44"/>
    </row>
    <row r="22" spans="1:26" ht="15.75" customHeight="1">
      <c r="A22" s="44" t="s">
        <v>7203</v>
      </c>
      <c r="B22" s="44" t="s">
        <v>7216</v>
      </c>
      <c r="C22" s="44" t="s">
        <v>7217</v>
      </c>
      <c r="D22" s="44" t="s">
        <v>7218</v>
      </c>
      <c r="E22" s="44" t="s">
        <v>7219</v>
      </c>
      <c r="F22" s="44" t="s">
        <v>7220</v>
      </c>
      <c r="G22" s="44" t="s">
        <v>3768</v>
      </c>
      <c r="H22" s="44" t="s">
        <v>7221</v>
      </c>
      <c r="I22" s="44"/>
      <c r="J22" s="44"/>
      <c r="K22" s="44"/>
      <c r="L22" s="44"/>
      <c r="M22" s="44"/>
      <c r="N22" s="44"/>
      <c r="O22" s="44"/>
      <c r="P22" s="44"/>
      <c r="Q22" s="44"/>
      <c r="R22" s="44"/>
      <c r="S22" s="44"/>
      <c r="T22" s="44"/>
      <c r="U22" s="44"/>
      <c r="V22" s="44"/>
      <c r="W22" s="44"/>
      <c r="X22" s="44"/>
      <c r="Y22" s="44"/>
      <c r="Z22" s="44"/>
    </row>
    <row r="23" spans="1:26" ht="15.75" customHeight="1">
      <c r="A23" s="44" t="s">
        <v>7203</v>
      </c>
      <c r="B23" s="44" t="s">
        <v>7222</v>
      </c>
      <c r="C23" s="44" t="s">
        <v>7223</v>
      </c>
      <c r="D23" s="44" t="s">
        <v>7224</v>
      </c>
      <c r="E23" s="44" t="s">
        <v>7225</v>
      </c>
      <c r="F23" s="44" t="s">
        <v>7226</v>
      </c>
      <c r="G23" s="44" t="s">
        <v>3768</v>
      </c>
      <c r="H23" s="44" t="s">
        <v>7221</v>
      </c>
      <c r="I23" s="44"/>
      <c r="J23" s="44"/>
      <c r="K23" s="44"/>
      <c r="L23" s="44"/>
      <c r="M23" s="44"/>
      <c r="N23" s="44"/>
      <c r="O23" s="44"/>
      <c r="P23" s="44"/>
      <c r="Q23" s="44"/>
      <c r="R23" s="44"/>
      <c r="S23" s="44"/>
      <c r="T23" s="44"/>
      <c r="U23" s="44"/>
      <c r="V23" s="44"/>
      <c r="W23" s="44"/>
      <c r="X23" s="44"/>
      <c r="Y23" s="44"/>
      <c r="Z23" s="44"/>
    </row>
    <row r="24" spans="1:26" ht="15.75" customHeight="1">
      <c r="A24" s="44" t="s">
        <v>7203</v>
      </c>
      <c r="B24" s="44" t="s">
        <v>7227</v>
      </c>
      <c r="C24" s="44" t="s">
        <v>7228</v>
      </c>
      <c r="D24" s="44" t="s">
        <v>7229</v>
      </c>
      <c r="E24" s="44" t="s">
        <v>7230</v>
      </c>
      <c r="F24" s="44" t="s">
        <v>7231</v>
      </c>
      <c r="G24" s="44" t="s">
        <v>3768</v>
      </c>
      <c r="H24" s="44" t="s">
        <v>7215</v>
      </c>
      <c r="I24" s="44"/>
      <c r="J24" s="44"/>
      <c r="K24" s="44"/>
      <c r="L24" s="44"/>
      <c r="M24" s="44"/>
      <c r="N24" s="44"/>
      <c r="O24" s="44"/>
      <c r="P24" s="44"/>
      <c r="Q24" s="44"/>
      <c r="R24" s="44"/>
      <c r="S24" s="44"/>
      <c r="T24" s="44"/>
      <c r="U24" s="44"/>
      <c r="V24" s="44"/>
      <c r="W24" s="44"/>
      <c r="X24" s="44"/>
      <c r="Y24" s="44"/>
      <c r="Z24" s="44"/>
    </row>
    <row r="25" spans="1:26" ht="15.75" customHeight="1">
      <c r="A25" s="44" t="s">
        <v>7203</v>
      </c>
      <c r="B25" s="44" t="s">
        <v>7113</v>
      </c>
      <c r="C25" s="44" t="s">
        <v>7232</v>
      </c>
      <c r="D25" s="44" t="s">
        <v>7233</v>
      </c>
      <c r="E25" s="44" t="s">
        <v>7234</v>
      </c>
      <c r="F25" s="44" t="s">
        <v>7235</v>
      </c>
      <c r="G25" s="44" t="s">
        <v>3768</v>
      </c>
      <c r="H25" s="44" t="s">
        <v>7221</v>
      </c>
      <c r="I25" s="44"/>
      <c r="J25" s="44"/>
      <c r="K25" s="44"/>
      <c r="L25" s="44"/>
      <c r="M25" s="44"/>
      <c r="N25" s="44"/>
      <c r="O25" s="44"/>
      <c r="P25" s="44"/>
      <c r="Q25" s="44"/>
      <c r="R25" s="44"/>
      <c r="S25" s="44"/>
      <c r="T25" s="44"/>
      <c r="U25" s="44"/>
      <c r="V25" s="44"/>
      <c r="W25" s="44"/>
      <c r="X25" s="44"/>
      <c r="Y25" s="44"/>
      <c r="Z25" s="44"/>
    </row>
    <row r="26" spans="1:26" ht="15.75" customHeight="1">
      <c r="A26" s="44" t="s">
        <v>7203</v>
      </c>
      <c r="B26" s="44" t="s">
        <v>7236</v>
      </c>
      <c r="C26" s="44" t="s">
        <v>7237</v>
      </c>
      <c r="D26" s="44" t="s">
        <v>7238</v>
      </c>
      <c r="E26" s="44" t="s">
        <v>7239</v>
      </c>
      <c r="F26" s="44" t="s">
        <v>7240</v>
      </c>
      <c r="G26" s="44" t="s">
        <v>3768</v>
      </c>
      <c r="H26" s="44" t="s">
        <v>7221</v>
      </c>
      <c r="I26" s="44"/>
      <c r="J26" s="44"/>
      <c r="K26" s="44"/>
      <c r="L26" s="44"/>
      <c r="M26" s="44"/>
      <c r="N26" s="44"/>
      <c r="O26" s="44"/>
      <c r="P26" s="44"/>
      <c r="Q26" s="44"/>
      <c r="R26" s="44"/>
      <c r="S26" s="44"/>
      <c r="T26" s="44"/>
      <c r="U26" s="44"/>
      <c r="V26" s="44"/>
      <c r="W26" s="44"/>
      <c r="X26" s="44"/>
      <c r="Y26" s="44"/>
      <c r="Z26" s="44"/>
    </row>
    <row r="27" spans="1:26" ht="15.75" customHeight="1">
      <c r="A27" s="44" t="s">
        <v>7241</v>
      </c>
      <c r="B27" s="44" t="s">
        <v>7242</v>
      </c>
      <c r="C27" s="44" t="s">
        <v>7108</v>
      </c>
      <c r="D27" s="44" t="s">
        <v>7243</v>
      </c>
      <c r="E27" s="44" t="s">
        <v>7244</v>
      </c>
      <c r="F27" s="44" t="s">
        <v>7245</v>
      </c>
      <c r="G27" s="44" t="s">
        <v>3768</v>
      </c>
      <c r="H27" s="44" t="s">
        <v>7221</v>
      </c>
      <c r="I27" s="44"/>
      <c r="J27" s="44"/>
      <c r="K27" s="44"/>
      <c r="L27" s="44"/>
      <c r="M27" s="44"/>
      <c r="N27" s="44"/>
      <c r="O27" s="44"/>
      <c r="P27" s="44"/>
      <c r="Q27" s="44"/>
      <c r="R27" s="44"/>
      <c r="S27" s="44"/>
      <c r="T27" s="44"/>
      <c r="U27" s="44"/>
      <c r="V27" s="44"/>
      <c r="W27" s="44"/>
      <c r="X27" s="44"/>
      <c r="Y27" s="44"/>
      <c r="Z27" s="44"/>
    </row>
    <row r="28" spans="1:26" ht="15.75" customHeight="1">
      <c r="A28" s="44" t="s">
        <v>7241</v>
      </c>
      <c r="B28" s="44" t="s">
        <v>7246</v>
      </c>
      <c r="C28" s="44" t="s">
        <v>7110</v>
      </c>
      <c r="D28" s="44" t="s">
        <v>7247</v>
      </c>
      <c r="E28" s="44" t="s">
        <v>7248</v>
      </c>
      <c r="F28" s="44" t="s">
        <v>7249</v>
      </c>
      <c r="G28" s="44" t="s">
        <v>3768</v>
      </c>
      <c r="H28" s="44" t="s">
        <v>7221</v>
      </c>
      <c r="I28" s="44"/>
      <c r="J28" s="44"/>
      <c r="K28" s="44"/>
      <c r="L28" s="44"/>
      <c r="M28" s="44"/>
      <c r="N28" s="44"/>
      <c r="O28" s="44"/>
      <c r="P28" s="44"/>
      <c r="Q28" s="44"/>
      <c r="R28" s="44"/>
      <c r="S28" s="44"/>
      <c r="T28" s="44"/>
      <c r="U28" s="44"/>
      <c r="V28" s="44"/>
      <c r="W28" s="44"/>
      <c r="X28" s="44"/>
      <c r="Y28" s="44"/>
      <c r="Z28" s="44"/>
    </row>
    <row r="29" spans="1:26" ht="15.75" customHeight="1">
      <c r="A29" s="44" t="s">
        <v>7241</v>
      </c>
      <c r="B29" s="44" t="s">
        <v>7250</v>
      </c>
      <c r="C29" s="44" t="s">
        <v>7251</v>
      </c>
      <c r="D29" s="44" t="s">
        <v>7252</v>
      </c>
      <c r="E29" s="44" t="s">
        <v>7253</v>
      </c>
      <c r="F29" s="44" t="s">
        <v>7254</v>
      </c>
      <c r="G29" s="44" t="s">
        <v>3768</v>
      </c>
      <c r="H29" s="44" t="s">
        <v>7221</v>
      </c>
      <c r="I29" s="44"/>
      <c r="J29" s="44"/>
      <c r="K29" s="44"/>
      <c r="L29" s="44"/>
      <c r="M29" s="44"/>
      <c r="N29" s="44"/>
      <c r="O29" s="44"/>
      <c r="P29" s="44"/>
      <c r="Q29" s="44"/>
      <c r="R29" s="44"/>
      <c r="S29" s="44"/>
      <c r="T29" s="44"/>
      <c r="U29" s="44"/>
      <c r="V29" s="44"/>
      <c r="W29" s="44"/>
      <c r="X29" s="44"/>
      <c r="Y29" s="44"/>
      <c r="Z29" s="44"/>
    </row>
    <row r="30" spans="1:26" ht="15.75" customHeight="1">
      <c r="A30" s="44" t="s">
        <v>7241</v>
      </c>
      <c r="B30" s="44" t="s">
        <v>7255</v>
      </c>
      <c r="C30" s="44" t="s">
        <v>7111</v>
      </c>
      <c r="D30" s="44" t="s">
        <v>7256</v>
      </c>
      <c r="E30" s="44" t="s">
        <v>7257</v>
      </c>
      <c r="F30" s="44" t="s">
        <v>7258</v>
      </c>
      <c r="G30" s="44" t="s">
        <v>3768</v>
      </c>
      <c r="H30" s="44" t="s">
        <v>7221</v>
      </c>
      <c r="I30" s="44"/>
      <c r="J30" s="44"/>
      <c r="K30" s="44"/>
      <c r="L30" s="44"/>
      <c r="M30" s="44"/>
      <c r="N30" s="44"/>
      <c r="O30" s="44"/>
      <c r="P30" s="44"/>
      <c r="Q30" s="44"/>
      <c r="R30" s="44"/>
      <c r="S30" s="44"/>
      <c r="T30" s="44"/>
      <c r="U30" s="44"/>
      <c r="V30" s="44"/>
      <c r="W30" s="44"/>
      <c r="X30" s="44"/>
      <c r="Y30" s="44"/>
      <c r="Z30" s="44"/>
    </row>
    <row r="31" spans="1:26" ht="15.75" customHeight="1">
      <c r="A31" s="44" t="s">
        <v>7241</v>
      </c>
      <c r="B31" s="44" t="s">
        <v>7259</v>
      </c>
      <c r="C31" s="44" t="s">
        <v>7260</v>
      </c>
      <c r="D31" s="44" t="s">
        <v>7261</v>
      </c>
      <c r="E31" s="44" t="s">
        <v>7262</v>
      </c>
      <c r="F31" s="44" t="s">
        <v>7263</v>
      </c>
      <c r="G31" s="44" t="s">
        <v>3768</v>
      </c>
      <c r="H31" s="44" t="s">
        <v>7221</v>
      </c>
      <c r="I31" s="44"/>
      <c r="J31" s="44"/>
      <c r="K31" s="44"/>
      <c r="L31" s="44"/>
      <c r="M31" s="44"/>
      <c r="N31" s="44"/>
      <c r="O31" s="44"/>
      <c r="P31" s="44"/>
      <c r="Q31" s="44"/>
      <c r="R31" s="44"/>
      <c r="S31" s="44"/>
      <c r="T31" s="44"/>
      <c r="U31" s="44"/>
      <c r="V31" s="44"/>
      <c r="W31" s="44"/>
      <c r="X31" s="44"/>
      <c r="Y31" s="44"/>
      <c r="Z31" s="44"/>
    </row>
    <row r="32" spans="1:26" ht="15.75" customHeight="1">
      <c r="A32" s="44" t="s">
        <v>7241</v>
      </c>
      <c r="B32" s="44" t="s">
        <v>7264</v>
      </c>
      <c r="C32" s="44" t="s">
        <v>7109</v>
      </c>
      <c r="D32" s="44" t="s">
        <v>7265</v>
      </c>
      <c r="E32" s="44" t="s">
        <v>7266</v>
      </c>
      <c r="F32" s="44" t="s">
        <v>7267</v>
      </c>
      <c r="G32" s="44" t="s">
        <v>3768</v>
      </c>
      <c r="H32" s="44" t="s">
        <v>7221</v>
      </c>
      <c r="I32" s="44"/>
      <c r="J32" s="44"/>
      <c r="K32" s="44"/>
      <c r="L32" s="44"/>
      <c r="M32" s="44"/>
      <c r="N32" s="44"/>
      <c r="O32" s="44"/>
      <c r="P32" s="44"/>
      <c r="Q32" s="44"/>
      <c r="R32" s="44"/>
      <c r="S32" s="44"/>
      <c r="T32" s="44"/>
      <c r="U32" s="44"/>
      <c r="V32" s="44"/>
      <c r="W32" s="44"/>
      <c r="X32" s="44"/>
      <c r="Y32" s="44"/>
      <c r="Z32" s="44"/>
    </row>
    <row r="33" spans="1:26" ht="15.75" customHeight="1">
      <c r="A33" s="44" t="s">
        <v>7268</v>
      </c>
      <c r="B33" s="44" t="s">
        <v>7269</v>
      </c>
      <c r="C33" s="44" t="s">
        <v>7270</v>
      </c>
      <c r="D33" s="44" t="s">
        <v>7271</v>
      </c>
      <c r="E33" s="44" t="s">
        <v>7272</v>
      </c>
      <c r="F33" s="44" t="s">
        <v>7273</v>
      </c>
      <c r="G33" s="44" t="s">
        <v>3768</v>
      </c>
      <c r="H33" s="44" t="s">
        <v>7274</v>
      </c>
      <c r="I33" s="44"/>
      <c r="J33" s="44"/>
      <c r="K33" s="44"/>
      <c r="L33" s="44"/>
      <c r="M33" s="44"/>
      <c r="N33" s="44"/>
      <c r="O33" s="44"/>
      <c r="P33" s="44"/>
      <c r="Q33" s="44"/>
      <c r="R33" s="44"/>
      <c r="S33" s="44"/>
      <c r="T33" s="44"/>
      <c r="U33" s="44"/>
      <c r="V33" s="44"/>
      <c r="W33" s="44"/>
      <c r="X33" s="44"/>
      <c r="Y33" s="44"/>
      <c r="Z33" s="44"/>
    </row>
    <row r="34" spans="1:26" ht="15.75" customHeight="1">
      <c r="A34" s="44" t="s">
        <v>7268</v>
      </c>
      <c r="B34" s="44" t="s">
        <v>7275</v>
      </c>
      <c r="C34" s="44" t="s">
        <v>7276</v>
      </c>
      <c r="D34" s="44" t="s">
        <v>7277</v>
      </c>
      <c r="E34" s="44" t="s">
        <v>7278</v>
      </c>
      <c r="F34" s="44" t="s">
        <v>7279</v>
      </c>
      <c r="G34" s="44" t="s">
        <v>3768</v>
      </c>
      <c r="H34" s="44" t="s">
        <v>7274</v>
      </c>
      <c r="I34" s="44"/>
      <c r="J34" s="44"/>
      <c r="K34" s="44"/>
      <c r="L34" s="44"/>
      <c r="M34" s="44"/>
      <c r="N34" s="44"/>
      <c r="O34" s="44"/>
      <c r="P34" s="44"/>
      <c r="Q34" s="44"/>
      <c r="R34" s="44"/>
      <c r="S34" s="44"/>
      <c r="T34" s="44"/>
      <c r="U34" s="44"/>
      <c r="V34" s="44"/>
      <c r="W34" s="44"/>
      <c r="X34" s="44"/>
      <c r="Y34" s="44"/>
      <c r="Z34" s="44"/>
    </row>
    <row r="35" spans="1:26" ht="15.75" customHeight="1">
      <c r="A35" s="44" t="s">
        <v>7268</v>
      </c>
      <c r="B35" s="44" t="s">
        <v>7112</v>
      </c>
      <c r="C35" s="44" t="s">
        <v>7280</v>
      </c>
      <c r="D35" s="44" t="s">
        <v>7281</v>
      </c>
      <c r="E35" s="44" t="s">
        <v>7282</v>
      </c>
      <c r="F35" s="44" t="s">
        <v>7283</v>
      </c>
      <c r="G35" s="44" t="s">
        <v>3768</v>
      </c>
      <c r="H35" s="44" t="s">
        <v>7274</v>
      </c>
      <c r="I35" s="44"/>
      <c r="J35" s="44"/>
      <c r="K35" s="44"/>
      <c r="L35" s="44"/>
      <c r="M35" s="44"/>
      <c r="N35" s="44"/>
      <c r="O35" s="44"/>
      <c r="P35" s="44"/>
      <c r="Q35" s="44"/>
      <c r="R35" s="44"/>
      <c r="S35" s="44"/>
      <c r="T35" s="44"/>
      <c r="U35" s="44"/>
      <c r="V35" s="44"/>
      <c r="W35" s="44"/>
      <c r="X35" s="44"/>
      <c r="Y35" s="44"/>
      <c r="Z35" s="44"/>
    </row>
    <row r="36" spans="1:26" ht="15.75" customHeight="1">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row>
    <row r="37" spans="1:26" ht="15.75" customHeight="1">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row>
    <row r="38" spans="1:26" ht="15.75" customHeight="1">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row>
    <row r="39" spans="1:26" ht="15.75" customHeight="1">
      <c r="A39" s="43" t="s">
        <v>7284</v>
      </c>
      <c r="B39" s="43" t="s">
        <v>7285</v>
      </c>
      <c r="C39" s="43" t="s">
        <v>7286</v>
      </c>
      <c r="D39" s="43" t="s">
        <v>4</v>
      </c>
      <c r="E39" s="43" t="s">
        <v>7287</v>
      </c>
      <c r="F39" s="43"/>
      <c r="G39" s="43"/>
      <c r="H39" s="43"/>
      <c r="I39" s="44"/>
      <c r="J39" s="44"/>
      <c r="K39" s="44"/>
      <c r="L39" s="44"/>
      <c r="M39" s="44"/>
      <c r="N39" s="44"/>
      <c r="O39" s="44"/>
      <c r="P39" s="44"/>
      <c r="Q39" s="44"/>
      <c r="R39" s="44"/>
      <c r="S39" s="44"/>
      <c r="T39" s="44"/>
      <c r="U39" s="44"/>
      <c r="V39" s="44"/>
      <c r="W39" s="44"/>
      <c r="X39" s="44"/>
      <c r="Y39" s="44"/>
      <c r="Z39" s="44"/>
    </row>
    <row r="40" spans="1:26" ht="15.75" customHeight="1">
      <c r="A40" s="44" t="s">
        <v>7288</v>
      </c>
      <c r="B40" s="44" t="s">
        <v>7289</v>
      </c>
      <c r="C40" s="44" t="s">
        <v>7290</v>
      </c>
      <c r="D40" s="44" t="s">
        <v>7291</v>
      </c>
      <c r="E40" s="44" t="s">
        <v>7292</v>
      </c>
      <c r="F40" s="44"/>
      <c r="G40" s="44"/>
      <c r="H40" s="44"/>
      <c r="I40" s="44"/>
      <c r="J40" s="44"/>
      <c r="K40" s="44"/>
      <c r="L40" s="44"/>
      <c r="M40" s="44"/>
      <c r="N40" s="44"/>
      <c r="O40" s="44"/>
      <c r="P40" s="44"/>
      <c r="Q40" s="44"/>
      <c r="R40" s="44"/>
      <c r="S40" s="44"/>
      <c r="T40" s="44"/>
      <c r="U40" s="44"/>
      <c r="V40" s="44"/>
      <c r="W40" s="44"/>
      <c r="X40" s="44"/>
      <c r="Y40" s="44"/>
      <c r="Z40" s="44"/>
    </row>
    <row r="41" spans="1:26" ht="15.75" customHeight="1">
      <c r="A41" s="44" t="s">
        <v>7293</v>
      </c>
      <c r="B41" s="44" t="s">
        <v>7294</v>
      </c>
      <c r="C41" s="44" t="s">
        <v>7295</v>
      </c>
      <c r="D41" s="44" t="s">
        <v>7296</v>
      </c>
      <c r="E41" s="44" t="s">
        <v>7297</v>
      </c>
      <c r="F41" s="44"/>
      <c r="G41" s="44"/>
      <c r="H41" s="44"/>
      <c r="I41" s="44"/>
      <c r="J41" s="44"/>
      <c r="K41" s="44"/>
      <c r="L41" s="44"/>
      <c r="M41" s="44"/>
      <c r="N41" s="44"/>
      <c r="O41" s="44"/>
      <c r="P41" s="44"/>
      <c r="Q41" s="44"/>
      <c r="R41" s="44"/>
      <c r="S41" s="44"/>
      <c r="T41" s="44"/>
      <c r="U41" s="44"/>
      <c r="V41" s="44"/>
      <c r="W41" s="44"/>
      <c r="X41" s="44"/>
      <c r="Y41" s="44"/>
      <c r="Z41" s="44"/>
    </row>
    <row r="42" spans="1:26" ht="15.75" customHeight="1">
      <c r="A42" s="44" t="s">
        <v>7298</v>
      </c>
      <c r="B42" s="44" t="s">
        <v>7299</v>
      </c>
      <c r="C42" s="44" t="s">
        <v>7300</v>
      </c>
      <c r="D42" s="44" t="s">
        <v>7301</v>
      </c>
      <c r="E42" s="44" t="s">
        <v>7302</v>
      </c>
      <c r="F42" s="44"/>
      <c r="G42" s="44"/>
      <c r="H42" s="44"/>
      <c r="I42" s="44"/>
      <c r="J42" s="44"/>
      <c r="K42" s="44"/>
      <c r="L42" s="44"/>
      <c r="M42" s="44"/>
      <c r="N42" s="44"/>
      <c r="O42" s="44"/>
      <c r="P42" s="44"/>
      <c r="Q42" s="44"/>
      <c r="R42" s="44"/>
      <c r="S42" s="44"/>
      <c r="T42" s="44"/>
      <c r="U42" s="44"/>
      <c r="V42" s="44"/>
      <c r="W42" s="44"/>
      <c r="X42" s="44"/>
      <c r="Y42" s="44"/>
      <c r="Z42" s="44"/>
    </row>
    <row r="43" spans="1:26" ht="15.75" customHeight="1">
      <c r="A43" s="44" t="s">
        <v>7303</v>
      </c>
      <c r="B43" s="44" t="s">
        <v>7304</v>
      </c>
      <c r="C43" s="44" t="s">
        <v>7305</v>
      </c>
      <c r="D43" s="44" t="s">
        <v>7306</v>
      </c>
      <c r="E43" s="44" t="s">
        <v>7307</v>
      </c>
      <c r="F43" s="44"/>
      <c r="G43" s="44"/>
      <c r="H43" s="44"/>
      <c r="I43" s="44"/>
      <c r="J43" s="44"/>
      <c r="K43" s="44"/>
      <c r="L43" s="44"/>
      <c r="M43" s="44"/>
      <c r="N43" s="44"/>
      <c r="O43" s="44"/>
      <c r="P43" s="44"/>
      <c r="Q43" s="44"/>
      <c r="R43" s="44"/>
      <c r="S43" s="44"/>
      <c r="T43" s="44"/>
      <c r="U43" s="44"/>
      <c r="V43" s="44"/>
      <c r="W43" s="44"/>
      <c r="X43" s="44"/>
      <c r="Y43" s="44"/>
      <c r="Z43" s="44"/>
    </row>
    <row r="44" spans="1:26" ht="15.75" customHeight="1">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spans="1:26" ht="15.75" customHeight="1">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spans="1:26" ht="15.75" customHeight="1">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row>
    <row r="47" spans="1:26" ht="15.75" customHeight="1">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row>
    <row r="48" spans="1:26" ht="15.75" customHeight="1">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row>
    <row r="49" spans="1:26" ht="15.75" customHeight="1">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row>
    <row r="50" spans="1:26" ht="15.75" customHeight="1">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row>
    <row r="51" spans="1:26" ht="15.75" customHeight="1">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row>
    <row r="52" spans="1:26" ht="15.75" customHeight="1">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row>
    <row r="53" spans="1:26" ht="15.75" customHeight="1">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row>
    <row r="54" spans="1:26" ht="15.75" customHeight="1">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row>
    <row r="55" spans="1:26" ht="15.75" customHeight="1">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row>
    <row r="56" spans="1:26" ht="15.75" customHeight="1">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row>
    <row r="57" spans="1:26" ht="15.75" customHeight="1">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row>
    <row r="58" spans="1:26" ht="15.75" customHeight="1">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row>
    <row r="59" spans="1:26" ht="15.75" customHeight="1">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row>
    <row r="60" spans="1:26" ht="15.75" customHeight="1">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row>
    <row r="61" spans="1:26" ht="15.75" customHeight="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spans="1:26" ht="15.75" customHeight="1">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spans="1:26" ht="15.75" customHeight="1">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spans="1:26" ht="15.75" customHeight="1">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spans="1:26" ht="15.75" customHeight="1">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spans="1:26" ht="15.75" customHeight="1">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spans="1:26" ht="15.75" customHeight="1">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spans="1:26" ht="15.75"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spans="1:26" ht="15.75"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spans="1:26" ht="15.75"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spans="1:26" ht="15.75"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spans="1:26" ht="15.75"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spans="1:26" ht="15.75"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spans="1:26" ht="15.75"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spans="1:26" ht="15.75"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spans="1:26" ht="15.75"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spans="1:26" ht="15.75"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spans="1:26" ht="15.75"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spans="1:26" ht="15.75"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spans="1:26" ht="15.75"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spans="1:26" ht="15.75"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spans="1:26" ht="15.75"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spans="1:26" ht="15.75"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spans="1:26" ht="15.75"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spans="1:26" ht="15.75"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spans="1:26" ht="15.75"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spans="1:26" ht="15.75"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spans="1:26" ht="15.75"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spans="1:26" ht="15.75"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spans="1:26" ht="15.75"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spans="1:26" ht="15.75"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spans="1:26" ht="15.75"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spans="1:26" ht="15.75"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spans="1:26" ht="15.75"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spans="1:26" ht="15.75"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spans="1:26" ht="15.75"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spans="1:26" ht="15.75"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spans="1:26" ht="15.75"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spans="1:26" ht="15.75"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spans="1:26" ht="15.75"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row r="101" spans="1:26" ht="15.75"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row>
    <row r="102" spans="1:26" ht="15.75"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row>
    <row r="103" spans="1:26" ht="15.7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spans="1:26" ht="15.7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spans="1:26" ht="15.7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spans="1:26" ht="15.7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spans="1:26" ht="15.7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spans="1:26" ht="15.7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spans="1:26" ht="15.7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spans="1:26" ht="15.7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spans="1:26" ht="15.7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spans="1:26" ht="15.7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spans="1:26" ht="15.7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spans="1:26" ht="15.7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spans="1:26" ht="15.7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spans="1:26" ht="15.7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spans="1:26" ht="15.7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spans="1:26" ht="15.7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spans="1:26" ht="15.7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spans="1:26" ht="15.7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spans="1:26" ht="15.7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spans="1:26" ht="15.7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spans="1:26" ht="15.7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spans="1:26" ht="15.7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spans="1:26" ht="15.7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spans="1:26" ht="15.7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spans="1:26" ht="15.7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spans="1:26" ht="15.7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spans="1:26" ht="15.7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spans="1:26" ht="15.7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spans="1:26" ht="15.7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spans="1:26" ht="15.7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spans="1:26" ht="15.7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spans="1:26" ht="15.7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spans="1:26" ht="15.7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spans="1:26" ht="15.7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spans="1:26" ht="15.7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spans="1:26" ht="15.7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spans="1:26" ht="15.7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spans="1:26" ht="15.7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spans="1:26" ht="15.7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spans="1:26" ht="15.7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spans="1:26" ht="15.7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spans="1:26" ht="15.7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spans="1:26" ht="15.7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spans="1:26" ht="15.7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spans="1:26" ht="15.7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spans="1:26" ht="15.7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spans="1:26" ht="15.7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spans="1:26" ht="15.7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spans="1:26" ht="15.7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spans="1:26" ht="15.7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spans="1:26" ht="15.7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spans="1:26" ht="15.7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spans="1:26" ht="15.7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spans="1:26" ht="15.7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spans="1:26" ht="15.7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spans="1:26" ht="15.7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spans="1:26" ht="15.7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spans="1:26" ht="15.7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spans="1:26" ht="15.7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spans="1:26" ht="15.7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spans="1:26" ht="15.7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spans="1:26" ht="15.7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spans="1:26" ht="15.7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spans="1:26" ht="15.7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spans="1:26" ht="15.7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spans="1:26" ht="15.7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spans="1:26" ht="15.7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spans="1:26" ht="15.7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spans="1:26" ht="15.7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spans="1:26" ht="15.7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spans="1:26" ht="15.7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spans="1:26" ht="15.7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spans="1:26" ht="15.7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spans="1:26" ht="15.7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spans="1:26" ht="15.7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spans="1:26" ht="15.7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spans="1:26" ht="15.7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spans="1:26" ht="15.7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spans="1:26" ht="15.7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spans="1:26" ht="15.7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spans="1:26" ht="15.7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spans="1:26" ht="15.7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spans="1:26" ht="15.7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spans="1:26" ht="15.7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spans="1:26" ht="15.7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spans="1:26" ht="15.7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spans="1:26" ht="15.7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spans="1:26" ht="15.7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spans="1:26" ht="15.7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spans="1:26" ht="15.7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spans="1:26" ht="15.7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spans="1:26" ht="15.7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spans="1:26" ht="15.7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spans="1:26" ht="15.7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spans="1:26" ht="15.7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spans="1:26" ht="15.7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spans="1:26" ht="15.7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spans="1:26" ht="15.7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spans="1:26" ht="15.75" customHeight="1"/>
    <row r="202" spans="1:26" ht="15.75" customHeight="1"/>
    <row r="203" spans="1:26" ht="15.75" customHeight="1"/>
    <row r="204" spans="1:26" ht="15.75" customHeight="1"/>
    <row r="205" spans="1:26" ht="15.75" customHeight="1"/>
    <row r="206" spans="1:26" ht="15.75" customHeight="1"/>
    <row r="207" spans="1:26" ht="15.75" customHeight="1"/>
    <row r="208" spans="1:26"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H1"/>
  </mergeCell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1000"/>
  <sheetViews>
    <sheetView workbookViewId="0">
      <pane xSplit="2" ySplit="3" topLeftCell="C4" activePane="bottomRight" state="frozen"/>
      <selection pane="topRight"/>
      <selection pane="bottomLeft"/>
      <selection pane="bottomRight"/>
    </sheetView>
  </sheetViews>
  <sheetFormatPr baseColWidth="10" defaultColWidth="12.6640625" defaultRowHeight="15" customHeight="1"/>
  <cols>
    <col min="1" max="1" width="12" customWidth="1"/>
    <col min="2" max="2" width="52" customWidth="1"/>
    <col min="3" max="4" width="30" customWidth="1"/>
    <col min="5" max="5" width="45" customWidth="1"/>
    <col min="6" max="7" width="42" customWidth="1"/>
    <col min="8" max="8" width="38" customWidth="1"/>
    <col min="9" max="9" width="22" customWidth="1"/>
    <col min="10" max="10" width="20" customWidth="1"/>
    <col min="11" max="11" width="18" customWidth="1"/>
    <col min="12" max="12" width="58" customWidth="1"/>
    <col min="13" max="26" width="8.6640625" customWidth="1"/>
  </cols>
  <sheetData>
    <row r="1" spans="1:26" ht="13">
      <c r="A1" s="62" t="s">
        <v>7308</v>
      </c>
      <c r="B1" s="59"/>
      <c r="C1" s="59"/>
      <c r="D1" s="59"/>
      <c r="E1" s="59"/>
      <c r="F1" s="59"/>
      <c r="G1" s="59"/>
      <c r="H1" s="59"/>
      <c r="I1" s="59"/>
      <c r="J1" s="59"/>
      <c r="K1" s="59"/>
      <c r="L1" s="59"/>
      <c r="M1" s="44"/>
      <c r="N1" s="44"/>
      <c r="O1" s="44"/>
      <c r="P1" s="44"/>
      <c r="Q1" s="44"/>
      <c r="R1" s="44"/>
      <c r="S1" s="44"/>
      <c r="T1" s="44"/>
      <c r="U1" s="44"/>
      <c r="V1" s="44"/>
      <c r="W1" s="44"/>
      <c r="X1" s="44"/>
      <c r="Y1" s="44"/>
      <c r="Z1" s="44"/>
    </row>
    <row r="2" spans="1:26" ht="13">
      <c r="A2" s="44"/>
      <c r="B2" s="44"/>
      <c r="C2" s="44"/>
      <c r="D2" s="44"/>
      <c r="E2" s="44"/>
      <c r="F2" s="44"/>
      <c r="G2" s="44"/>
      <c r="H2" s="44"/>
      <c r="I2" s="44"/>
      <c r="J2" s="44"/>
      <c r="K2" s="44"/>
      <c r="L2" s="44"/>
      <c r="M2" s="44"/>
      <c r="N2" s="44"/>
      <c r="O2" s="44"/>
      <c r="P2" s="44"/>
      <c r="Q2" s="44"/>
      <c r="R2" s="44"/>
      <c r="S2" s="44"/>
      <c r="T2" s="44"/>
      <c r="U2" s="44"/>
      <c r="V2" s="44"/>
      <c r="W2" s="44"/>
      <c r="X2" s="44"/>
      <c r="Y2" s="44"/>
      <c r="Z2" s="44"/>
    </row>
    <row r="3" spans="1:26" ht="28">
      <c r="A3" s="43" t="s">
        <v>124</v>
      </c>
      <c r="B3" s="43" t="s">
        <v>126</v>
      </c>
      <c r="C3" s="43" t="s">
        <v>7309</v>
      </c>
      <c r="D3" s="43" t="s">
        <v>7310</v>
      </c>
      <c r="E3" s="43" t="s">
        <v>7311</v>
      </c>
      <c r="F3" s="43" t="s">
        <v>7312</v>
      </c>
      <c r="G3" s="43" t="s">
        <v>7313</v>
      </c>
      <c r="H3" s="43" t="s">
        <v>7314</v>
      </c>
      <c r="I3" s="43" t="s">
        <v>4012</v>
      </c>
      <c r="J3" s="43" t="s">
        <v>4069</v>
      </c>
      <c r="K3" s="43" t="s">
        <v>7315</v>
      </c>
      <c r="L3" s="43" t="s">
        <v>7316</v>
      </c>
      <c r="M3" s="44"/>
      <c r="N3" s="44"/>
      <c r="O3" s="44"/>
      <c r="P3" s="44"/>
      <c r="Q3" s="44"/>
      <c r="R3" s="44"/>
      <c r="S3" s="44"/>
      <c r="T3" s="44"/>
      <c r="U3" s="44"/>
      <c r="V3" s="44"/>
      <c r="W3" s="44"/>
      <c r="X3" s="44"/>
      <c r="Y3" s="44"/>
      <c r="Z3" s="44"/>
    </row>
    <row r="4" spans="1:26" ht="56">
      <c r="A4" s="44" t="s">
        <v>141</v>
      </c>
      <c r="B4" s="44" t="s">
        <v>142</v>
      </c>
      <c r="C4" s="44" t="s">
        <v>7317</v>
      </c>
      <c r="D4" s="44" t="s">
        <v>7318</v>
      </c>
      <c r="E4" s="44" t="s">
        <v>7319</v>
      </c>
      <c r="F4" s="44" t="s">
        <v>7320</v>
      </c>
      <c r="G4" s="44" t="s">
        <v>7321</v>
      </c>
      <c r="H4" s="44" t="s">
        <v>5390</v>
      </c>
      <c r="I4" s="44" t="s">
        <v>4076</v>
      </c>
      <c r="J4" s="44" t="s">
        <v>4106</v>
      </c>
      <c r="K4" s="44" t="s">
        <v>4106</v>
      </c>
      <c r="L4" s="44" t="s">
        <v>7322</v>
      </c>
      <c r="M4" s="44"/>
      <c r="N4" s="44"/>
      <c r="O4" s="44"/>
      <c r="P4" s="44"/>
      <c r="Q4" s="44"/>
      <c r="R4" s="44"/>
      <c r="S4" s="44"/>
      <c r="T4" s="44"/>
      <c r="U4" s="44"/>
      <c r="V4" s="44"/>
      <c r="W4" s="44"/>
      <c r="X4" s="44"/>
      <c r="Y4" s="44"/>
      <c r="Z4" s="44"/>
    </row>
    <row r="5" spans="1:26" ht="70">
      <c r="A5" s="44" t="s">
        <v>150</v>
      </c>
      <c r="B5" s="44" t="s">
        <v>151</v>
      </c>
      <c r="C5" s="44" t="s">
        <v>7323</v>
      </c>
      <c r="D5" s="44" t="s">
        <v>7324</v>
      </c>
      <c r="E5" s="44" t="s">
        <v>7319</v>
      </c>
      <c r="F5" s="44" t="s">
        <v>7320</v>
      </c>
      <c r="G5" s="44" t="s">
        <v>7325</v>
      </c>
      <c r="H5" s="44" t="s">
        <v>7326</v>
      </c>
      <c r="I5" s="44" t="s">
        <v>4076</v>
      </c>
      <c r="J5" s="44" t="s">
        <v>4106</v>
      </c>
      <c r="K5" s="44" t="s">
        <v>4171</v>
      </c>
      <c r="L5" s="44" t="s">
        <v>7327</v>
      </c>
      <c r="M5" s="44"/>
      <c r="N5" s="44"/>
      <c r="O5" s="44"/>
      <c r="P5" s="44"/>
      <c r="Q5" s="44"/>
      <c r="R5" s="44"/>
      <c r="S5" s="44"/>
      <c r="T5" s="44"/>
      <c r="U5" s="44"/>
      <c r="V5" s="44"/>
      <c r="W5" s="44"/>
      <c r="X5" s="44"/>
      <c r="Y5" s="44"/>
      <c r="Z5" s="44"/>
    </row>
    <row r="6" spans="1:26" ht="42">
      <c r="A6" s="44" t="s">
        <v>158</v>
      </c>
      <c r="B6" s="44" t="s">
        <v>159</v>
      </c>
      <c r="C6" s="44" t="s">
        <v>7319</v>
      </c>
      <c r="D6" s="44" t="s">
        <v>7328</v>
      </c>
      <c r="E6" s="44" t="s">
        <v>4129</v>
      </c>
      <c r="F6" s="44" t="s">
        <v>7329</v>
      </c>
      <c r="G6" s="44" t="s">
        <v>4129</v>
      </c>
      <c r="H6" s="44" t="s">
        <v>5390</v>
      </c>
      <c r="I6" s="44" t="s">
        <v>4076</v>
      </c>
      <c r="J6" s="44" t="s">
        <v>4138</v>
      </c>
      <c r="K6" s="44" t="s">
        <v>4106</v>
      </c>
      <c r="L6" s="44" t="s">
        <v>7330</v>
      </c>
      <c r="M6" s="44"/>
      <c r="N6" s="44"/>
      <c r="O6" s="44"/>
      <c r="P6" s="44"/>
      <c r="Q6" s="44"/>
      <c r="R6" s="44"/>
      <c r="S6" s="44"/>
      <c r="T6" s="44"/>
      <c r="U6" s="44"/>
      <c r="V6" s="44"/>
      <c r="W6" s="44"/>
      <c r="X6" s="44"/>
      <c r="Y6" s="44"/>
      <c r="Z6" s="44"/>
    </row>
    <row r="7" spans="1:26" ht="56">
      <c r="A7" s="44" t="s">
        <v>165</v>
      </c>
      <c r="B7" s="44" t="s">
        <v>166</v>
      </c>
      <c r="C7" s="44" t="s">
        <v>5753</v>
      </c>
      <c r="D7" s="44" t="s">
        <v>7331</v>
      </c>
      <c r="E7" s="44" t="s">
        <v>7332</v>
      </c>
      <c r="F7" s="44" t="s">
        <v>7333</v>
      </c>
      <c r="G7" s="44" t="s">
        <v>7334</v>
      </c>
      <c r="H7" s="44" t="s">
        <v>7335</v>
      </c>
      <c r="I7" s="44" t="s">
        <v>4076</v>
      </c>
      <c r="J7" s="44" t="s">
        <v>4171</v>
      </c>
      <c r="K7" s="44" t="s">
        <v>4106</v>
      </c>
      <c r="L7" s="44" t="s">
        <v>7336</v>
      </c>
      <c r="M7" s="44"/>
      <c r="N7" s="44"/>
      <c r="O7" s="44"/>
      <c r="P7" s="44"/>
      <c r="Q7" s="44"/>
      <c r="R7" s="44"/>
      <c r="S7" s="44"/>
      <c r="T7" s="44"/>
      <c r="U7" s="44"/>
      <c r="V7" s="44"/>
      <c r="W7" s="44"/>
      <c r="X7" s="44"/>
      <c r="Y7" s="44"/>
      <c r="Z7" s="44"/>
    </row>
    <row r="8" spans="1:26" ht="42">
      <c r="A8" s="44" t="s">
        <v>172</v>
      </c>
      <c r="B8" s="44" t="s">
        <v>173</v>
      </c>
      <c r="C8" s="44" t="s">
        <v>5753</v>
      </c>
      <c r="D8" s="44" t="s">
        <v>7331</v>
      </c>
      <c r="E8" s="44" t="s">
        <v>7337</v>
      </c>
      <c r="F8" s="44" t="s">
        <v>7333</v>
      </c>
      <c r="G8" s="44" t="s">
        <v>7334</v>
      </c>
      <c r="H8" s="44" t="s">
        <v>5390</v>
      </c>
      <c r="I8" s="44" t="s">
        <v>4076</v>
      </c>
      <c r="J8" s="44" t="s">
        <v>4171</v>
      </c>
      <c r="K8" s="44" t="s">
        <v>4106</v>
      </c>
      <c r="L8" s="44" t="s">
        <v>7338</v>
      </c>
      <c r="M8" s="44"/>
      <c r="N8" s="44"/>
      <c r="O8" s="44"/>
      <c r="P8" s="44"/>
      <c r="Q8" s="44"/>
      <c r="R8" s="44"/>
      <c r="S8" s="44"/>
      <c r="T8" s="44"/>
      <c r="U8" s="44"/>
      <c r="V8" s="44"/>
      <c r="W8" s="44"/>
      <c r="X8" s="44"/>
      <c r="Y8" s="44"/>
      <c r="Z8" s="44"/>
    </row>
    <row r="9" spans="1:26" ht="56">
      <c r="A9" s="44" t="s">
        <v>179</v>
      </c>
      <c r="B9" s="44" t="s">
        <v>180</v>
      </c>
      <c r="C9" s="44" t="s">
        <v>7339</v>
      </c>
      <c r="D9" s="44" t="s">
        <v>7340</v>
      </c>
      <c r="E9" s="44" t="s">
        <v>7341</v>
      </c>
      <c r="F9" s="44" t="s">
        <v>7329</v>
      </c>
      <c r="G9" s="44" t="s">
        <v>7325</v>
      </c>
      <c r="H9" s="44" t="s">
        <v>7335</v>
      </c>
      <c r="I9" s="44" t="s">
        <v>4076</v>
      </c>
      <c r="J9" s="44" t="s">
        <v>4207</v>
      </c>
      <c r="K9" s="44" t="s">
        <v>4171</v>
      </c>
      <c r="L9" s="44" t="s">
        <v>7342</v>
      </c>
      <c r="M9" s="44"/>
      <c r="N9" s="44"/>
      <c r="O9" s="44"/>
      <c r="P9" s="44"/>
      <c r="Q9" s="44"/>
      <c r="R9" s="44"/>
      <c r="S9" s="44"/>
      <c r="T9" s="44"/>
      <c r="U9" s="44"/>
      <c r="V9" s="44"/>
      <c r="W9" s="44"/>
      <c r="X9" s="44"/>
      <c r="Y9" s="44"/>
      <c r="Z9" s="44"/>
    </row>
    <row r="10" spans="1:26" ht="56">
      <c r="A10" s="44" t="s">
        <v>196</v>
      </c>
      <c r="B10" s="44" t="s">
        <v>110</v>
      </c>
      <c r="C10" s="44" t="s">
        <v>5753</v>
      </c>
      <c r="D10" s="44" t="s">
        <v>7331</v>
      </c>
      <c r="E10" s="44" t="s">
        <v>7343</v>
      </c>
      <c r="F10" s="44" t="s">
        <v>7344</v>
      </c>
      <c r="G10" s="44" t="s">
        <v>7325</v>
      </c>
      <c r="H10" s="44" t="s">
        <v>7345</v>
      </c>
      <c r="I10" s="44" t="s">
        <v>4076</v>
      </c>
      <c r="J10" s="44" t="s">
        <v>4207</v>
      </c>
      <c r="K10" s="44" t="s">
        <v>4106</v>
      </c>
      <c r="L10" s="44" t="s">
        <v>7346</v>
      </c>
      <c r="M10" s="44"/>
      <c r="N10" s="44"/>
      <c r="O10" s="44"/>
      <c r="P10" s="44"/>
      <c r="Q10" s="44"/>
      <c r="R10" s="44"/>
      <c r="S10" s="44"/>
      <c r="T10" s="44"/>
      <c r="U10" s="44"/>
      <c r="V10" s="44"/>
      <c r="W10" s="44"/>
      <c r="X10" s="44"/>
      <c r="Y10" s="44"/>
      <c r="Z10" s="44"/>
    </row>
    <row r="11" spans="1:26" ht="42">
      <c r="A11" s="44" t="s">
        <v>203</v>
      </c>
      <c r="B11" s="44" t="s">
        <v>204</v>
      </c>
      <c r="C11" s="44" t="s">
        <v>7319</v>
      </c>
      <c r="D11" s="44" t="s">
        <v>7328</v>
      </c>
      <c r="E11" s="44" t="s">
        <v>4129</v>
      </c>
      <c r="F11" s="44" t="s">
        <v>7329</v>
      </c>
      <c r="G11" s="44" t="s">
        <v>4129</v>
      </c>
      <c r="H11" s="44" t="s">
        <v>5390</v>
      </c>
      <c r="I11" s="44" t="s">
        <v>4076</v>
      </c>
      <c r="J11" s="44" t="s">
        <v>4138</v>
      </c>
      <c r="K11" s="44" t="s">
        <v>4106</v>
      </c>
      <c r="L11" s="44" t="s">
        <v>7330</v>
      </c>
      <c r="M11" s="44"/>
      <c r="N11" s="44"/>
      <c r="O11" s="44"/>
      <c r="P11" s="44"/>
      <c r="Q11" s="44"/>
      <c r="R11" s="44"/>
      <c r="S11" s="44"/>
      <c r="T11" s="44"/>
      <c r="U11" s="44"/>
      <c r="V11" s="44"/>
      <c r="W11" s="44"/>
      <c r="X11" s="44"/>
      <c r="Y11" s="44"/>
      <c r="Z11" s="44"/>
    </row>
    <row r="12" spans="1:26" ht="42">
      <c r="A12" s="44" t="s">
        <v>211</v>
      </c>
      <c r="B12" s="44" t="s">
        <v>212</v>
      </c>
      <c r="C12" s="44" t="s">
        <v>7319</v>
      </c>
      <c r="D12" s="44" t="s">
        <v>7347</v>
      </c>
      <c r="E12" s="44" t="s">
        <v>4129</v>
      </c>
      <c r="F12" s="44" t="s">
        <v>7329</v>
      </c>
      <c r="G12" s="44" t="s">
        <v>7348</v>
      </c>
      <c r="H12" s="44" t="s">
        <v>7349</v>
      </c>
      <c r="I12" s="44" t="s">
        <v>4076</v>
      </c>
      <c r="J12" s="44" t="s">
        <v>4207</v>
      </c>
      <c r="K12" s="44" t="s">
        <v>4106</v>
      </c>
      <c r="L12" s="44" t="s">
        <v>7330</v>
      </c>
      <c r="M12" s="44"/>
      <c r="N12" s="44"/>
      <c r="O12" s="44"/>
      <c r="P12" s="44"/>
      <c r="Q12" s="44"/>
      <c r="R12" s="44"/>
      <c r="S12" s="44"/>
      <c r="T12" s="44"/>
      <c r="U12" s="44"/>
      <c r="V12" s="44"/>
      <c r="W12" s="44"/>
      <c r="X12" s="44"/>
      <c r="Y12" s="44"/>
      <c r="Z12" s="44"/>
    </row>
    <row r="13" spans="1:26" ht="42">
      <c r="A13" s="44" t="s">
        <v>228</v>
      </c>
      <c r="B13" s="44" t="s">
        <v>229</v>
      </c>
      <c r="C13" s="44" t="s">
        <v>7317</v>
      </c>
      <c r="D13" s="44" t="s">
        <v>7350</v>
      </c>
      <c r="E13" s="44" t="s">
        <v>4129</v>
      </c>
      <c r="F13" s="44" t="s">
        <v>7320</v>
      </c>
      <c r="G13" s="44" t="s">
        <v>7325</v>
      </c>
      <c r="H13" s="44" t="s">
        <v>4129</v>
      </c>
      <c r="I13" s="44" t="s">
        <v>4076</v>
      </c>
      <c r="J13" s="44" t="s">
        <v>4106</v>
      </c>
      <c r="K13" s="44" t="s">
        <v>4106</v>
      </c>
      <c r="L13" s="44" t="s">
        <v>7351</v>
      </c>
      <c r="M13" s="44"/>
      <c r="N13" s="44"/>
      <c r="O13" s="44"/>
      <c r="P13" s="44"/>
      <c r="Q13" s="44"/>
      <c r="R13" s="44"/>
      <c r="S13" s="44"/>
      <c r="T13" s="44"/>
      <c r="U13" s="44"/>
      <c r="V13" s="44"/>
      <c r="W13" s="44"/>
      <c r="X13" s="44"/>
      <c r="Y13" s="44"/>
      <c r="Z13" s="44"/>
    </row>
    <row r="14" spans="1:26" ht="70">
      <c r="A14" s="44" t="s">
        <v>236</v>
      </c>
      <c r="B14" s="44" t="s">
        <v>237</v>
      </c>
      <c r="C14" s="44" t="s">
        <v>7339</v>
      </c>
      <c r="D14" s="44" t="s">
        <v>7340</v>
      </c>
      <c r="E14" s="44" t="s">
        <v>7319</v>
      </c>
      <c r="F14" s="44" t="s">
        <v>7352</v>
      </c>
      <c r="G14" s="44" t="s">
        <v>7334</v>
      </c>
      <c r="H14" s="44" t="s">
        <v>7353</v>
      </c>
      <c r="I14" s="44" t="s">
        <v>4496</v>
      </c>
      <c r="J14" s="44" t="s">
        <v>4171</v>
      </c>
      <c r="K14" s="44" t="s">
        <v>4171</v>
      </c>
      <c r="L14" s="44" t="s">
        <v>7354</v>
      </c>
      <c r="M14" s="44"/>
      <c r="N14" s="44"/>
      <c r="O14" s="44"/>
      <c r="P14" s="44"/>
      <c r="Q14" s="44"/>
      <c r="R14" s="44"/>
      <c r="S14" s="44"/>
      <c r="T14" s="44"/>
      <c r="U14" s="44"/>
      <c r="V14" s="44"/>
      <c r="W14" s="44"/>
      <c r="X14" s="44"/>
      <c r="Y14" s="44"/>
      <c r="Z14" s="44"/>
    </row>
    <row r="15" spans="1:26" ht="42">
      <c r="A15" s="44" t="s">
        <v>244</v>
      </c>
      <c r="B15" s="44" t="s">
        <v>245</v>
      </c>
      <c r="C15" s="44" t="s">
        <v>7319</v>
      </c>
      <c r="D15" s="44" t="s">
        <v>7328</v>
      </c>
      <c r="E15" s="44" t="s">
        <v>4129</v>
      </c>
      <c r="F15" s="44" t="s">
        <v>7329</v>
      </c>
      <c r="G15" s="44" t="s">
        <v>7321</v>
      </c>
      <c r="H15" s="44" t="s">
        <v>7355</v>
      </c>
      <c r="I15" s="44" t="s">
        <v>4076</v>
      </c>
      <c r="J15" s="44" t="s">
        <v>4171</v>
      </c>
      <c r="K15" s="44" t="s">
        <v>4106</v>
      </c>
      <c r="L15" s="44" t="s">
        <v>7330</v>
      </c>
      <c r="M15" s="44"/>
      <c r="N15" s="44"/>
      <c r="O15" s="44"/>
      <c r="P15" s="44"/>
      <c r="Q15" s="44"/>
      <c r="R15" s="44"/>
      <c r="S15" s="44"/>
      <c r="T15" s="44"/>
      <c r="U15" s="44"/>
      <c r="V15" s="44"/>
      <c r="W15" s="44"/>
      <c r="X15" s="44"/>
      <c r="Y15" s="44"/>
      <c r="Z15" s="44"/>
    </row>
    <row r="16" spans="1:26" ht="42">
      <c r="A16" s="44" t="s">
        <v>260</v>
      </c>
      <c r="B16" s="44" t="s">
        <v>261</v>
      </c>
      <c r="C16" s="44" t="s">
        <v>5753</v>
      </c>
      <c r="D16" s="44" t="s">
        <v>7331</v>
      </c>
      <c r="E16" s="44" t="s">
        <v>7337</v>
      </c>
      <c r="F16" s="44" t="s">
        <v>7352</v>
      </c>
      <c r="G16" s="44" t="s">
        <v>7356</v>
      </c>
      <c r="H16" s="44" t="s">
        <v>5390</v>
      </c>
      <c r="I16" s="44" t="s">
        <v>4076</v>
      </c>
      <c r="J16" s="44" t="s">
        <v>4171</v>
      </c>
      <c r="K16" s="44" t="s">
        <v>4106</v>
      </c>
      <c r="L16" s="44" t="s">
        <v>7338</v>
      </c>
      <c r="M16" s="44"/>
      <c r="N16" s="44"/>
      <c r="O16" s="44"/>
      <c r="P16" s="44"/>
      <c r="Q16" s="44"/>
      <c r="R16" s="44"/>
      <c r="S16" s="44"/>
      <c r="T16" s="44"/>
      <c r="U16" s="44"/>
      <c r="V16" s="44"/>
      <c r="W16" s="44"/>
      <c r="X16" s="44"/>
      <c r="Y16" s="44"/>
      <c r="Z16" s="44"/>
    </row>
    <row r="17" spans="1:26" ht="56">
      <c r="A17" s="44" t="s">
        <v>266</v>
      </c>
      <c r="B17" s="44" t="s">
        <v>267</v>
      </c>
      <c r="C17" s="44" t="s">
        <v>7357</v>
      </c>
      <c r="D17" s="44" t="s">
        <v>7358</v>
      </c>
      <c r="E17" s="44" t="s">
        <v>7359</v>
      </c>
      <c r="F17" s="44" t="s">
        <v>7329</v>
      </c>
      <c r="G17" s="44" t="s">
        <v>7360</v>
      </c>
      <c r="H17" s="44" t="s">
        <v>5390</v>
      </c>
      <c r="I17" s="44" t="s">
        <v>4076</v>
      </c>
      <c r="J17" s="44" t="s">
        <v>4106</v>
      </c>
      <c r="K17" s="44" t="s">
        <v>4171</v>
      </c>
      <c r="L17" s="44" t="s">
        <v>7361</v>
      </c>
      <c r="M17" s="44"/>
      <c r="N17" s="44"/>
      <c r="O17" s="44"/>
      <c r="P17" s="44"/>
      <c r="Q17" s="44"/>
      <c r="R17" s="44"/>
      <c r="S17" s="44"/>
      <c r="T17" s="44"/>
      <c r="U17" s="44"/>
      <c r="V17" s="44"/>
      <c r="W17" s="44"/>
      <c r="X17" s="44"/>
      <c r="Y17" s="44"/>
      <c r="Z17" s="44"/>
    </row>
    <row r="18" spans="1:26" ht="56">
      <c r="A18" s="44" t="s">
        <v>274</v>
      </c>
      <c r="B18" s="44" t="s">
        <v>275</v>
      </c>
      <c r="C18" s="44" t="s">
        <v>7319</v>
      </c>
      <c r="D18" s="44" t="s">
        <v>7328</v>
      </c>
      <c r="E18" s="44" t="s">
        <v>4129</v>
      </c>
      <c r="F18" s="44" t="s">
        <v>7352</v>
      </c>
      <c r="G18" s="44" t="s">
        <v>7325</v>
      </c>
      <c r="H18" s="44" t="s">
        <v>7362</v>
      </c>
      <c r="I18" s="44" t="s">
        <v>4076</v>
      </c>
      <c r="J18" s="44" t="s">
        <v>4106</v>
      </c>
      <c r="K18" s="44" t="s">
        <v>4106</v>
      </c>
      <c r="L18" s="44" t="s">
        <v>7363</v>
      </c>
      <c r="M18" s="44"/>
      <c r="N18" s="44"/>
      <c r="O18" s="44"/>
      <c r="P18" s="44"/>
      <c r="Q18" s="44"/>
      <c r="R18" s="44"/>
      <c r="S18" s="44"/>
      <c r="T18" s="44"/>
      <c r="U18" s="44"/>
      <c r="V18" s="44"/>
      <c r="W18" s="44"/>
      <c r="X18" s="44"/>
      <c r="Y18" s="44"/>
      <c r="Z18" s="44"/>
    </row>
    <row r="19" spans="1:26" ht="42">
      <c r="A19" s="44" t="s">
        <v>282</v>
      </c>
      <c r="B19" s="44" t="s">
        <v>283</v>
      </c>
      <c r="C19" s="44" t="s">
        <v>7319</v>
      </c>
      <c r="D19" s="44" t="s">
        <v>7328</v>
      </c>
      <c r="E19" s="44" t="s">
        <v>7317</v>
      </c>
      <c r="F19" s="44" t="s">
        <v>7329</v>
      </c>
      <c r="G19" s="44" t="s">
        <v>7321</v>
      </c>
      <c r="H19" s="44" t="s">
        <v>7364</v>
      </c>
      <c r="I19" s="44" t="s">
        <v>4076</v>
      </c>
      <c r="J19" s="44" t="s">
        <v>4106</v>
      </c>
      <c r="K19" s="44" t="s">
        <v>4106</v>
      </c>
      <c r="L19" s="44" t="s">
        <v>7365</v>
      </c>
      <c r="M19" s="44"/>
      <c r="N19" s="44"/>
      <c r="O19" s="44"/>
      <c r="P19" s="44"/>
      <c r="Q19" s="44"/>
      <c r="R19" s="44"/>
      <c r="S19" s="44"/>
      <c r="T19" s="44"/>
      <c r="U19" s="44"/>
      <c r="V19" s="44"/>
      <c r="W19" s="44"/>
      <c r="X19" s="44"/>
      <c r="Y19" s="44"/>
      <c r="Z19" s="44"/>
    </row>
    <row r="20" spans="1:26" ht="56">
      <c r="A20" s="44" t="s">
        <v>289</v>
      </c>
      <c r="B20" s="44" t="s">
        <v>290</v>
      </c>
      <c r="C20" s="44" t="s">
        <v>5753</v>
      </c>
      <c r="D20" s="44" t="s">
        <v>7331</v>
      </c>
      <c r="E20" s="44" t="s">
        <v>7366</v>
      </c>
      <c r="F20" s="44" t="s">
        <v>7352</v>
      </c>
      <c r="G20" s="44" t="s">
        <v>7367</v>
      </c>
      <c r="H20" s="44" t="s">
        <v>7368</v>
      </c>
      <c r="I20" s="44" t="s">
        <v>4076</v>
      </c>
      <c r="J20" s="44" t="s">
        <v>4171</v>
      </c>
      <c r="K20" s="44" t="s">
        <v>4106</v>
      </c>
      <c r="L20" s="44" t="s">
        <v>7369</v>
      </c>
      <c r="M20" s="44"/>
      <c r="N20" s="44"/>
      <c r="O20" s="44"/>
      <c r="P20" s="44"/>
      <c r="Q20" s="44"/>
      <c r="R20" s="44"/>
      <c r="S20" s="44"/>
      <c r="T20" s="44"/>
      <c r="U20" s="44"/>
      <c r="V20" s="44"/>
      <c r="W20" s="44"/>
      <c r="X20" s="44"/>
      <c r="Y20" s="44"/>
      <c r="Z20" s="44"/>
    </row>
    <row r="21" spans="1:26" ht="15.75" customHeight="1">
      <c r="A21" s="44" t="s">
        <v>314</v>
      </c>
      <c r="B21" s="44" t="s">
        <v>315</v>
      </c>
      <c r="C21" s="44" t="s">
        <v>7339</v>
      </c>
      <c r="D21" s="44" t="s">
        <v>7370</v>
      </c>
      <c r="E21" s="44" t="s">
        <v>7319</v>
      </c>
      <c r="F21" s="44" t="s">
        <v>7352</v>
      </c>
      <c r="G21" s="44" t="s">
        <v>7348</v>
      </c>
      <c r="H21" s="44" t="s">
        <v>7345</v>
      </c>
      <c r="I21" s="44" t="s">
        <v>4867</v>
      </c>
      <c r="J21" s="44" t="s">
        <v>4171</v>
      </c>
      <c r="K21" s="44" t="s">
        <v>4106</v>
      </c>
      <c r="L21" s="44" t="s">
        <v>7371</v>
      </c>
      <c r="M21" s="44"/>
      <c r="N21" s="44"/>
      <c r="O21" s="44"/>
      <c r="P21" s="44"/>
      <c r="Q21" s="44"/>
      <c r="R21" s="44"/>
      <c r="S21" s="44"/>
      <c r="T21" s="44"/>
      <c r="U21" s="44"/>
      <c r="V21" s="44"/>
      <c r="W21" s="44"/>
      <c r="X21" s="44"/>
      <c r="Y21" s="44"/>
      <c r="Z21" s="44"/>
    </row>
    <row r="22" spans="1:26" ht="15.75" customHeight="1">
      <c r="A22" s="44" t="s">
        <v>345</v>
      </c>
      <c r="B22" s="44" t="s">
        <v>346</v>
      </c>
      <c r="C22" s="44" t="s">
        <v>5753</v>
      </c>
      <c r="D22" s="44" t="s">
        <v>7331</v>
      </c>
      <c r="E22" s="44" t="s">
        <v>7372</v>
      </c>
      <c r="F22" s="44" t="s">
        <v>7352</v>
      </c>
      <c r="G22" s="44" t="s">
        <v>4129</v>
      </c>
      <c r="H22" s="44" t="s">
        <v>4129</v>
      </c>
      <c r="I22" s="44" t="s">
        <v>4076</v>
      </c>
      <c r="J22" s="44" t="s">
        <v>4138</v>
      </c>
      <c r="K22" s="44" t="s">
        <v>4106</v>
      </c>
      <c r="L22" s="44" t="s">
        <v>7373</v>
      </c>
      <c r="M22" s="44"/>
      <c r="N22" s="44"/>
      <c r="O22" s="44"/>
      <c r="P22" s="44"/>
      <c r="Q22" s="44"/>
      <c r="R22" s="44"/>
      <c r="S22" s="44"/>
      <c r="T22" s="44"/>
      <c r="U22" s="44"/>
      <c r="V22" s="44"/>
      <c r="W22" s="44"/>
      <c r="X22" s="44"/>
      <c r="Y22" s="44"/>
      <c r="Z22" s="44"/>
    </row>
    <row r="23" spans="1:26" ht="15.75" customHeight="1">
      <c r="A23" s="44" t="s">
        <v>362</v>
      </c>
      <c r="B23" s="44" t="s">
        <v>363</v>
      </c>
      <c r="C23" s="44" t="s">
        <v>5753</v>
      </c>
      <c r="D23" s="44" t="s">
        <v>7331</v>
      </c>
      <c r="E23" s="44" t="s">
        <v>7337</v>
      </c>
      <c r="F23" s="44" t="s">
        <v>7374</v>
      </c>
      <c r="G23" s="44" t="s">
        <v>7375</v>
      </c>
      <c r="H23" s="44" t="inlineStr">
        <is>
          <t xml:space="preserve">ADVERSARIAL / COUNTER-FORENSIC; OTHER</t>
        </is>
      </c>
      <c r="I23" s="44" t="s">
        <v>4496</v>
      </c>
      <c r="J23" s="44" t="s">
        <v>4171</v>
      </c>
      <c r="K23" s="44" t="s">
        <v>4106</v>
      </c>
      <c r="L23" s="44" t="s">
        <v>7338</v>
      </c>
      <c r="M23" s="44"/>
      <c r="N23" s="44"/>
      <c r="O23" s="44"/>
      <c r="P23" s="44"/>
      <c r="Q23" s="44"/>
      <c r="R23" s="44"/>
      <c r="S23" s="44"/>
      <c r="T23" s="44"/>
      <c r="U23" s="44"/>
      <c r="V23" s="44"/>
      <c r="W23" s="44"/>
      <c r="X23" s="44"/>
      <c r="Y23" s="44"/>
      <c r="Z23" s="44"/>
    </row>
    <row r="24" spans="1:26" ht="15.75" customHeight="1">
      <c r="A24" s="44" t="s">
        <v>377</v>
      </c>
      <c r="B24" s="44" t="s">
        <v>378</v>
      </c>
      <c r="C24" s="44" t="s">
        <v>7376</v>
      </c>
      <c r="D24" s="44" t="s">
        <v>7377</v>
      </c>
      <c r="E24" s="44" t="s">
        <v>7319</v>
      </c>
      <c r="F24" s="44" t="s">
        <v>7329</v>
      </c>
      <c r="G24" s="44" t="s">
        <v>7325</v>
      </c>
      <c r="H24" s="44" t="s">
        <v>7335</v>
      </c>
      <c r="I24" s="44" t="s">
        <v>4076</v>
      </c>
      <c r="J24" s="44" t="s">
        <v>4207</v>
      </c>
      <c r="K24" s="44" t="s">
        <v>4106</v>
      </c>
      <c r="L24" s="44" t="s">
        <v>7378</v>
      </c>
      <c r="M24" s="44"/>
      <c r="N24" s="44"/>
      <c r="O24" s="44"/>
      <c r="P24" s="44"/>
      <c r="Q24" s="44"/>
      <c r="R24" s="44"/>
      <c r="S24" s="44"/>
      <c r="T24" s="44"/>
      <c r="U24" s="44"/>
      <c r="V24" s="44"/>
      <c r="W24" s="44"/>
      <c r="X24" s="44"/>
      <c r="Y24" s="44"/>
      <c r="Z24" s="44"/>
    </row>
    <row r="25" spans="1:26" ht="15.75" customHeight="1">
      <c r="A25" s="44" t="s">
        <v>385</v>
      </c>
      <c r="B25" s="44" t="s">
        <v>107</v>
      </c>
      <c r="C25" s="44" t="s">
        <v>7319</v>
      </c>
      <c r="D25" s="44" t="s">
        <v>7328</v>
      </c>
      <c r="E25" s="44" t="s">
        <v>7339</v>
      </c>
      <c r="F25" s="44" t="s">
        <v>7329</v>
      </c>
      <c r="G25" s="44" t="s">
        <v>7325</v>
      </c>
      <c r="H25" s="44" t="s">
        <v>7379</v>
      </c>
      <c r="I25" s="44" t="s">
        <v>4076</v>
      </c>
      <c r="J25" s="44" t="s">
        <v>4207</v>
      </c>
      <c r="K25" s="44" t="s">
        <v>4106</v>
      </c>
      <c r="L25" s="44" t="s">
        <v>7380</v>
      </c>
      <c r="M25" s="44"/>
      <c r="N25" s="44"/>
      <c r="O25" s="44"/>
      <c r="P25" s="44"/>
      <c r="Q25" s="44"/>
      <c r="R25" s="44"/>
      <c r="S25" s="44"/>
      <c r="T25" s="44"/>
      <c r="U25" s="44"/>
      <c r="V25" s="44"/>
      <c r="W25" s="44"/>
      <c r="X25" s="44"/>
      <c r="Y25" s="44"/>
      <c r="Z25" s="44"/>
    </row>
    <row r="26" spans="1:26" ht="15.75" customHeight="1">
      <c r="A26" s="44" t="s">
        <v>398</v>
      </c>
      <c r="B26" s="44" t="s">
        <v>399</v>
      </c>
      <c r="C26" s="44" t="s">
        <v>7376</v>
      </c>
      <c r="D26" s="44" t="s">
        <v>7381</v>
      </c>
      <c r="E26" s="44" t="s">
        <v>7382</v>
      </c>
      <c r="F26" s="44" t="s">
        <v>7383</v>
      </c>
      <c r="G26" s="44" t="s">
        <v>7384</v>
      </c>
      <c r="H26" s="44" t="s">
        <v>7355</v>
      </c>
      <c r="I26" s="44" t="s">
        <v>4588</v>
      </c>
      <c r="J26" s="44" t="s">
        <v>4171</v>
      </c>
      <c r="K26" s="44" t="s">
        <v>4171</v>
      </c>
      <c r="L26" s="44" t="s">
        <v>7385</v>
      </c>
      <c r="M26" s="44"/>
      <c r="N26" s="44"/>
      <c r="O26" s="44"/>
      <c r="P26" s="44"/>
      <c r="Q26" s="44"/>
      <c r="R26" s="44"/>
      <c r="S26" s="44"/>
      <c r="T26" s="44"/>
      <c r="U26" s="44"/>
      <c r="V26" s="44"/>
      <c r="W26" s="44"/>
      <c r="X26" s="44"/>
      <c r="Y26" s="44"/>
      <c r="Z26" s="44"/>
    </row>
    <row r="27" spans="1:26" ht="15.75" customHeight="1">
      <c r="A27" s="44" t="s">
        <v>405</v>
      </c>
      <c r="B27" s="44" t="s">
        <v>406</v>
      </c>
      <c r="C27" s="44" t="s">
        <v>7386</v>
      </c>
      <c r="D27" s="44" t="s">
        <v>7387</v>
      </c>
      <c r="E27" s="44" t="s">
        <v>7319</v>
      </c>
      <c r="F27" s="44" t="s">
        <v>7388</v>
      </c>
      <c r="G27" s="44" t="s">
        <v>7389</v>
      </c>
      <c r="H27" s="44" t="s">
        <v>4129</v>
      </c>
      <c r="I27" s="44" t="s">
        <v>4588</v>
      </c>
      <c r="J27" s="44" t="s">
        <v>4106</v>
      </c>
      <c r="K27" s="44" t="s">
        <v>4106</v>
      </c>
      <c r="L27" s="44" t="s">
        <v>7390</v>
      </c>
      <c r="M27" s="44"/>
      <c r="N27" s="44"/>
      <c r="O27" s="44"/>
      <c r="P27" s="44"/>
      <c r="Q27" s="44"/>
      <c r="R27" s="44"/>
      <c r="S27" s="44"/>
      <c r="T27" s="44"/>
      <c r="U27" s="44"/>
      <c r="V27" s="44"/>
      <c r="W27" s="44"/>
      <c r="X27" s="44"/>
      <c r="Y27" s="44"/>
      <c r="Z27" s="44"/>
    </row>
    <row r="28" spans="1:26" ht="15.75" customHeight="1">
      <c r="A28" s="44" t="s">
        <v>419</v>
      </c>
      <c r="B28" s="44" t="s">
        <v>420</v>
      </c>
      <c r="C28" s="44" t="s">
        <v>7317</v>
      </c>
      <c r="D28" s="44" t="s">
        <v>7318</v>
      </c>
      <c r="E28" s="44" t="s">
        <v>7319</v>
      </c>
      <c r="F28" s="44" t="s">
        <v>7320</v>
      </c>
      <c r="G28" s="44" t="s">
        <v>7321</v>
      </c>
      <c r="H28" s="44" t="s">
        <v>4129</v>
      </c>
      <c r="I28" s="44" t="s">
        <v>4076</v>
      </c>
      <c r="J28" s="44" t="s">
        <v>4171</v>
      </c>
      <c r="K28" s="44" t="s">
        <v>4106</v>
      </c>
      <c r="L28" s="44" t="s">
        <v>7322</v>
      </c>
      <c r="M28" s="44"/>
      <c r="N28" s="44"/>
      <c r="O28" s="44"/>
      <c r="P28" s="44"/>
      <c r="Q28" s="44"/>
      <c r="R28" s="44"/>
      <c r="S28" s="44"/>
      <c r="T28" s="44"/>
      <c r="U28" s="44"/>
      <c r="V28" s="44"/>
      <c r="W28" s="44"/>
      <c r="X28" s="44"/>
      <c r="Y28" s="44"/>
      <c r="Z28" s="44"/>
    </row>
    <row r="29" spans="1:26" ht="15.75" customHeight="1">
      <c r="A29" s="44" t="s">
        <v>435</v>
      </c>
      <c r="B29" s="44" t="s">
        <v>436</v>
      </c>
      <c r="C29" s="44" t="s">
        <v>7319</v>
      </c>
      <c r="D29" s="44" t="s">
        <v>7328</v>
      </c>
      <c r="E29" s="44" t="s">
        <v>4129</v>
      </c>
      <c r="F29" s="44" t="s">
        <v>7391</v>
      </c>
      <c r="G29" s="44" t="s">
        <v>4129</v>
      </c>
      <c r="H29" s="44" t="s">
        <v>4129</v>
      </c>
      <c r="I29" s="44" t="s">
        <v>4076</v>
      </c>
      <c r="J29" s="44" t="s">
        <v>4138</v>
      </c>
      <c r="K29" s="44" t="s">
        <v>4106</v>
      </c>
      <c r="L29" s="44" t="s">
        <v>7392</v>
      </c>
      <c r="M29" s="44"/>
      <c r="N29" s="44"/>
      <c r="O29" s="44"/>
      <c r="P29" s="44"/>
      <c r="Q29" s="44"/>
      <c r="R29" s="44"/>
      <c r="S29" s="44"/>
      <c r="T29" s="44"/>
      <c r="U29" s="44"/>
      <c r="V29" s="44"/>
      <c r="W29" s="44"/>
      <c r="X29" s="44"/>
      <c r="Y29" s="44"/>
      <c r="Z29" s="44"/>
    </row>
    <row r="30" spans="1:26" ht="15.75" customHeight="1">
      <c r="A30" s="44" t="s">
        <v>443</v>
      </c>
      <c r="B30" s="44" t="s">
        <v>444</v>
      </c>
      <c r="C30" s="44" t="s">
        <v>5753</v>
      </c>
      <c r="D30" s="44" t="s">
        <v>7331</v>
      </c>
      <c r="E30" s="44" t="s">
        <v>7393</v>
      </c>
      <c r="F30" s="44" t="s">
        <v>7394</v>
      </c>
      <c r="G30" s="44" t="s">
        <v>4129</v>
      </c>
      <c r="H30" s="44" t="s">
        <v>7362</v>
      </c>
      <c r="I30" s="44" t="s">
        <v>4076</v>
      </c>
      <c r="J30" s="44" t="s">
        <v>4138</v>
      </c>
      <c r="K30" s="44" t="s">
        <v>4171</v>
      </c>
      <c r="L30" s="44" t="s">
        <v>7395</v>
      </c>
      <c r="M30" s="44"/>
      <c r="N30" s="44"/>
      <c r="O30" s="44"/>
      <c r="P30" s="44"/>
      <c r="Q30" s="44"/>
      <c r="R30" s="44"/>
      <c r="S30" s="44"/>
      <c r="T30" s="44"/>
      <c r="U30" s="44"/>
      <c r="V30" s="44"/>
      <c r="W30" s="44"/>
      <c r="X30" s="44"/>
      <c r="Y30" s="44"/>
      <c r="Z30" s="44"/>
    </row>
    <row r="31" spans="1:26" ht="15.75" customHeight="1">
      <c r="A31" s="44" t="s">
        <v>450</v>
      </c>
      <c r="B31" s="44" t="s">
        <v>451</v>
      </c>
      <c r="C31" s="44" t="s">
        <v>7319</v>
      </c>
      <c r="D31" s="44" t="s">
        <v>7328</v>
      </c>
      <c r="E31" s="44" t="s">
        <v>7396</v>
      </c>
      <c r="F31" s="44" t="s">
        <v>7320</v>
      </c>
      <c r="G31" s="44" t="s">
        <v>7397</v>
      </c>
      <c r="H31" s="44" t="s">
        <v>4129</v>
      </c>
      <c r="I31" s="44" t="s">
        <v>4770</v>
      </c>
      <c r="J31" s="44" t="s">
        <v>4171</v>
      </c>
      <c r="K31" s="44" t="s">
        <v>4171</v>
      </c>
      <c r="L31" s="44" t="s">
        <v>7398</v>
      </c>
      <c r="M31" s="44"/>
      <c r="N31" s="44"/>
      <c r="O31" s="44"/>
      <c r="P31" s="44"/>
      <c r="Q31" s="44"/>
      <c r="R31" s="44"/>
      <c r="S31" s="44"/>
      <c r="T31" s="44"/>
      <c r="U31" s="44"/>
      <c r="V31" s="44"/>
      <c r="W31" s="44"/>
      <c r="X31" s="44"/>
      <c r="Y31" s="44"/>
      <c r="Z31" s="44"/>
    </row>
    <row r="32" spans="1:26" ht="15.75" customHeight="1">
      <c r="A32" s="44" t="s">
        <v>482</v>
      </c>
      <c r="B32" s="44" t="s">
        <v>483</v>
      </c>
      <c r="C32" s="44" t="s">
        <v>7319</v>
      </c>
      <c r="D32" s="44" t="s">
        <v>7328</v>
      </c>
      <c r="E32" s="44" t="s">
        <v>7399</v>
      </c>
      <c r="F32" s="44" t="s">
        <v>7329</v>
      </c>
      <c r="G32" s="44" t="s">
        <v>4129</v>
      </c>
      <c r="H32" s="44" t="s">
        <v>5390</v>
      </c>
      <c r="I32" s="44" t="s">
        <v>4588</v>
      </c>
      <c r="J32" s="44" t="s">
        <v>4138</v>
      </c>
      <c r="K32" s="44" t="s">
        <v>4171</v>
      </c>
      <c r="L32" s="44" t="s">
        <v>7400</v>
      </c>
      <c r="M32" s="44"/>
      <c r="N32" s="44"/>
      <c r="O32" s="44"/>
      <c r="P32" s="44"/>
      <c r="Q32" s="44"/>
      <c r="R32" s="44"/>
      <c r="S32" s="44"/>
      <c r="T32" s="44"/>
      <c r="U32" s="44"/>
      <c r="V32" s="44"/>
      <c r="W32" s="44"/>
      <c r="X32" s="44"/>
      <c r="Y32" s="44"/>
      <c r="Z32" s="44"/>
    </row>
    <row r="33" spans="1:26" ht="15.75" customHeight="1">
      <c r="A33" s="44" t="s">
        <v>490</v>
      </c>
      <c r="B33" s="44" t="s">
        <v>491</v>
      </c>
      <c r="C33" s="44" t="s">
        <v>7376</v>
      </c>
      <c r="D33" s="44" t="s">
        <v>7377</v>
      </c>
      <c r="E33" s="44" t="s">
        <v>7393</v>
      </c>
      <c r="F33" s="44" t="s">
        <v>7401</v>
      </c>
      <c r="G33" s="44" t="s">
        <v>7402</v>
      </c>
      <c r="H33" s="44" t="s">
        <v>5390</v>
      </c>
      <c r="I33" s="44" t="s">
        <v>4076</v>
      </c>
      <c r="J33" s="44" t="s">
        <v>4106</v>
      </c>
      <c r="K33" s="44" t="s">
        <v>4171</v>
      </c>
      <c r="L33" s="44" t="s">
        <v>7403</v>
      </c>
      <c r="M33" s="44"/>
      <c r="N33" s="44"/>
      <c r="O33" s="44"/>
      <c r="P33" s="44"/>
      <c r="Q33" s="44"/>
      <c r="R33" s="44"/>
      <c r="S33" s="44"/>
      <c r="T33" s="44"/>
      <c r="U33" s="44"/>
      <c r="V33" s="44"/>
      <c r="W33" s="44"/>
      <c r="X33" s="44"/>
      <c r="Y33" s="44"/>
      <c r="Z33" s="44"/>
    </row>
    <row r="34" spans="1:26" ht="15.75" customHeight="1">
      <c r="A34" s="44" t="s">
        <v>498</v>
      </c>
      <c r="B34" s="44" t="s">
        <v>499</v>
      </c>
      <c r="C34" s="44" t="s">
        <v>7339</v>
      </c>
      <c r="D34" s="44" t="s">
        <v>7340</v>
      </c>
      <c r="E34" s="44" t="s">
        <v>7319</v>
      </c>
      <c r="F34" s="44" t="s">
        <v>7401</v>
      </c>
      <c r="G34" s="44" t="s">
        <v>7402</v>
      </c>
      <c r="H34" s="44" t="s">
        <v>4129</v>
      </c>
      <c r="I34" s="44" t="s">
        <v>4076</v>
      </c>
      <c r="J34" s="44" t="s">
        <v>4106</v>
      </c>
      <c r="K34" s="44" t="s">
        <v>4106</v>
      </c>
      <c r="L34" s="44" t="s">
        <v>7404</v>
      </c>
      <c r="M34" s="44"/>
      <c r="N34" s="44"/>
      <c r="O34" s="44"/>
      <c r="P34" s="44"/>
      <c r="Q34" s="44"/>
      <c r="R34" s="44"/>
      <c r="S34" s="44"/>
      <c r="T34" s="44"/>
      <c r="U34" s="44"/>
      <c r="V34" s="44"/>
      <c r="W34" s="44"/>
      <c r="X34" s="44"/>
      <c r="Y34" s="44"/>
      <c r="Z34" s="44"/>
    </row>
    <row r="35" spans="1:26" ht="15.75" customHeight="1">
      <c r="A35" s="44" t="s">
        <v>531</v>
      </c>
      <c r="B35" s="44" t="s">
        <v>532</v>
      </c>
      <c r="C35" s="44" t="s">
        <v>7319</v>
      </c>
      <c r="D35" s="44" t="s">
        <v>7347</v>
      </c>
      <c r="E35" s="44" t="s">
        <v>7339</v>
      </c>
      <c r="F35" s="44" t="s">
        <v>7329</v>
      </c>
      <c r="G35" s="44" t="s">
        <v>4129</v>
      </c>
      <c r="H35" s="44" t="s">
        <v>5390</v>
      </c>
      <c r="I35" s="44" t="s">
        <v>4770</v>
      </c>
      <c r="J35" s="44" t="s">
        <v>4138</v>
      </c>
      <c r="K35" s="44" t="s">
        <v>4106</v>
      </c>
      <c r="L35" s="44" t="s">
        <v>7380</v>
      </c>
      <c r="M35" s="44"/>
      <c r="N35" s="44"/>
      <c r="O35" s="44"/>
      <c r="P35" s="44"/>
      <c r="Q35" s="44"/>
      <c r="R35" s="44"/>
      <c r="S35" s="44"/>
      <c r="T35" s="44"/>
      <c r="U35" s="44"/>
      <c r="V35" s="44"/>
      <c r="W35" s="44"/>
      <c r="X35" s="44"/>
      <c r="Y35" s="44"/>
      <c r="Z35" s="44"/>
    </row>
    <row r="36" spans="1:26" ht="15.75" customHeight="1">
      <c r="A36" s="44" t="s">
        <v>538</v>
      </c>
      <c r="B36" s="44" t="s">
        <v>539</v>
      </c>
      <c r="C36" s="44" t="s">
        <v>7386</v>
      </c>
      <c r="D36" s="44" t="s">
        <v>7387</v>
      </c>
      <c r="E36" s="44" t="s">
        <v>7319</v>
      </c>
      <c r="F36" s="44" t="s">
        <v>7383</v>
      </c>
      <c r="G36" s="44" t="s">
        <v>7405</v>
      </c>
      <c r="H36" s="44" t="s">
        <v>7349</v>
      </c>
      <c r="I36" s="44" t="s">
        <v>4588</v>
      </c>
      <c r="J36" s="44" t="s">
        <v>4106</v>
      </c>
      <c r="K36" s="44" t="s">
        <v>4106</v>
      </c>
      <c r="L36" s="44" t="s">
        <v>7406</v>
      </c>
      <c r="M36" s="44"/>
      <c r="N36" s="44"/>
      <c r="O36" s="44"/>
      <c r="P36" s="44"/>
      <c r="Q36" s="44"/>
      <c r="R36" s="44"/>
      <c r="S36" s="44"/>
      <c r="T36" s="44"/>
      <c r="U36" s="44"/>
      <c r="V36" s="44"/>
      <c r="W36" s="44"/>
      <c r="X36" s="44"/>
      <c r="Y36" s="44"/>
      <c r="Z36" s="44"/>
    </row>
    <row r="37" spans="1:26" ht="15.75" customHeight="1">
      <c r="A37" s="44" t="s">
        <v>545</v>
      </c>
      <c r="B37" s="44" t="s">
        <v>546</v>
      </c>
      <c r="C37" s="44" t="s">
        <v>7319</v>
      </c>
      <c r="D37" s="44" t="s">
        <v>7347</v>
      </c>
      <c r="E37" s="44" t="s">
        <v>7317</v>
      </c>
      <c r="F37" s="44" t="s">
        <v>7329</v>
      </c>
      <c r="G37" s="44" t="s">
        <v>4129</v>
      </c>
      <c r="H37" s="44" t="s">
        <v>5390</v>
      </c>
      <c r="I37" s="44" t="s">
        <v>4076</v>
      </c>
      <c r="J37" s="44" t="s">
        <v>4138</v>
      </c>
      <c r="K37" s="44" t="s">
        <v>4106</v>
      </c>
      <c r="L37" s="44" t="s">
        <v>7365</v>
      </c>
      <c r="M37" s="44"/>
      <c r="N37" s="44"/>
      <c r="O37" s="44"/>
      <c r="P37" s="44"/>
      <c r="Q37" s="44"/>
      <c r="R37" s="44"/>
      <c r="S37" s="44"/>
      <c r="T37" s="44"/>
      <c r="U37" s="44"/>
      <c r="V37" s="44"/>
      <c r="W37" s="44"/>
      <c r="X37" s="44"/>
      <c r="Y37" s="44"/>
      <c r="Z37" s="44"/>
    </row>
    <row r="38" spans="1:26" ht="15.75" customHeight="1">
      <c r="A38" s="44" t="s">
        <v>560</v>
      </c>
      <c r="B38" s="44" t="s">
        <v>561</v>
      </c>
      <c r="C38" s="44" t="s">
        <v>5753</v>
      </c>
      <c r="D38" s="44" t="s">
        <v>7331</v>
      </c>
      <c r="E38" s="44" t="s">
        <v>7393</v>
      </c>
      <c r="F38" s="44" t="s">
        <v>7352</v>
      </c>
      <c r="G38" s="44" t="s">
        <v>7334</v>
      </c>
      <c r="H38" s="44" t="s">
        <v>7362</v>
      </c>
      <c r="I38" s="44" t="s">
        <v>4076</v>
      </c>
      <c r="J38" s="44" t="s">
        <v>4106</v>
      </c>
      <c r="K38" s="44" t="s">
        <v>4106</v>
      </c>
      <c r="L38" s="44" t="s">
        <v>7407</v>
      </c>
      <c r="M38" s="44"/>
      <c r="N38" s="44"/>
      <c r="O38" s="44"/>
      <c r="P38" s="44"/>
      <c r="Q38" s="44"/>
      <c r="R38" s="44"/>
      <c r="S38" s="44"/>
      <c r="T38" s="44"/>
      <c r="U38" s="44"/>
      <c r="V38" s="44"/>
      <c r="W38" s="44"/>
      <c r="X38" s="44"/>
      <c r="Y38" s="44"/>
      <c r="Z38" s="44"/>
    </row>
    <row r="39" spans="1:26" ht="15.75" customHeight="1">
      <c r="A39" s="44" t="s">
        <v>567</v>
      </c>
      <c r="B39" s="44" t="s">
        <v>568</v>
      </c>
      <c r="C39" s="44" t="s">
        <v>7357</v>
      </c>
      <c r="D39" s="44" t="s">
        <v>7358</v>
      </c>
      <c r="E39" s="44" t="s">
        <v>4129</v>
      </c>
      <c r="F39" s="44" t="s">
        <v>7329</v>
      </c>
      <c r="G39" s="44" t="s">
        <v>7356</v>
      </c>
      <c r="H39" s="44" t="s">
        <v>4129</v>
      </c>
      <c r="I39" s="44" t="s">
        <v>4076</v>
      </c>
      <c r="J39" s="44" t="s">
        <v>4106</v>
      </c>
      <c r="K39" s="44" t="s">
        <v>4106</v>
      </c>
      <c r="L39" s="44" t="s">
        <v>7408</v>
      </c>
      <c r="M39" s="44"/>
      <c r="N39" s="44"/>
      <c r="O39" s="44"/>
      <c r="P39" s="44"/>
      <c r="Q39" s="44"/>
      <c r="R39" s="44"/>
      <c r="S39" s="44"/>
      <c r="T39" s="44"/>
      <c r="U39" s="44"/>
      <c r="V39" s="44"/>
      <c r="W39" s="44"/>
      <c r="X39" s="44"/>
      <c r="Y39" s="44"/>
      <c r="Z39" s="44"/>
    </row>
    <row r="40" spans="1:26" ht="15.75" customHeight="1">
      <c r="A40" s="44" t="s">
        <v>583</v>
      </c>
      <c r="B40" s="44" t="s">
        <v>584</v>
      </c>
      <c r="C40" s="44" t="s">
        <v>7317</v>
      </c>
      <c r="D40" s="44" t="s">
        <v>7318</v>
      </c>
      <c r="E40" s="44" t="s">
        <v>4129</v>
      </c>
      <c r="F40" s="44" t="s">
        <v>7409</v>
      </c>
      <c r="G40" s="44" t="s">
        <v>7325</v>
      </c>
      <c r="H40" s="44" t="s">
        <v>7364</v>
      </c>
      <c r="I40" s="44" t="s">
        <v>4076</v>
      </c>
      <c r="J40" s="44" t="s">
        <v>4207</v>
      </c>
      <c r="K40" s="44" t="s">
        <v>4106</v>
      </c>
      <c r="L40" s="44" t="s">
        <v>7410</v>
      </c>
      <c r="M40" s="44"/>
      <c r="N40" s="44"/>
      <c r="O40" s="44"/>
      <c r="P40" s="44"/>
      <c r="Q40" s="44"/>
      <c r="R40" s="44"/>
      <c r="S40" s="44"/>
      <c r="T40" s="44"/>
      <c r="U40" s="44"/>
      <c r="V40" s="44"/>
      <c r="W40" s="44"/>
      <c r="X40" s="44"/>
      <c r="Y40" s="44"/>
      <c r="Z40" s="44"/>
    </row>
    <row r="41" spans="1:26" ht="15.75" customHeight="1">
      <c r="A41" s="44" t="s">
        <v>613</v>
      </c>
      <c r="B41" s="44" t="s">
        <v>614</v>
      </c>
      <c r="C41" s="44" t="s">
        <v>5753</v>
      </c>
      <c r="D41" s="44" t="s">
        <v>7331</v>
      </c>
      <c r="E41" s="44" t="s">
        <v>7411</v>
      </c>
      <c r="F41" s="44" t="s">
        <v>7352</v>
      </c>
      <c r="G41" s="44" t="s">
        <v>7356</v>
      </c>
      <c r="H41" s="44" t="s">
        <v>7345</v>
      </c>
      <c r="I41" s="44" t="s">
        <v>4076</v>
      </c>
      <c r="J41" s="44" t="s">
        <v>4171</v>
      </c>
      <c r="K41" s="44" t="s">
        <v>4171</v>
      </c>
      <c r="L41" s="44" t="s">
        <v>7412</v>
      </c>
      <c r="M41" s="44"/>
      <c r="N41" s="44"/>
      <c r="O41" s="44"/>
      <c r="P41" s="44"/>
      <c r="Q41" s="44"/>
      <c r="R41" s="44"/>
      <c r="S41" s="44"/>
      <c r="T41" s="44"/>
      <c r="U41" s="44"/>
      <c r="V41" s="44"/>
      <c r="W41" s="44"/>
      <c r="X41" s="44"/>
      <c r="Y41" s="44"/>
      <c r="Z41" s="44"/>
    </row>
    <row r="42" spans="1:26" ht="15.75" customHeight="1">
      <c r="A42" s="44" t="s">
        <v>620</v>
      </c>
      <c r="B42" s="44" t="s">
        <v>621</v>
      </c>
      <c r="C42" s="44" t="s">
        <v>5753</v>
      </c>
      <c r="D42" s="44" t="s">
        <v>7331</v>
      </c>
      <c r="E42" s="44" t="s">
        <v>7337</v>
      </c>
      <c r="F42" s="44" t="s">
        <v>7352</v>
      </c>
      <c r="G42" s="44" t="s">
        <v>4129</v>
      </c>
      <c r="H42" s="44" t="s">
        <v>5390</v>
      </c>
      <c r="I42" s="44" t="s">
        <v>4867</v>
      </c>
      <c r="J42" s="44" t="s">
        <v>4138</v>
      </c>
      <c r="K42" s="44" t="s">
        <v>4106</v>
      </c>
      <c r="L42" s="44" t="s">
        <v>7338</v>
      </c>
      <c r="M42" s="44"/>
      <c r="N42" s="44"/>
      <c r="O42" s="44"/>
      <c r="P42" s="44"/>
      <c r="Q42" s="44"/>
      <c r="R42" s="44"/>
      <c r="S42" s="44"/>
      <c r="T42" s="44"/>
      <c r="U42" s="44"/>
      <c r="V42" s="44"/>
      <c r="W42" s="44"/>
      <c r="X42" s="44"/>
      <c r="Y42" s="44"/>
      <c r="Z42" s="44"/>
    </row>
    <row r="43" spans="1:26" ht="15.75" customHeight="1">
      <c r="A43" s="44" t="s">
        <v>627</v>
      </c>
      <c r="B43" s="44" t="s">
        <v>628</v>
      </c>
      <c r="C43" s="44" t="s">
        <v>5753</v>
      </c>
      <c r="D43" s="44" t="s">
        <v>7331</v>
      </c>
      <c r="E43" s="44" t="s">
        <v>7343</v>
      </c>
      <c r="F43" s="44" t="s">
        <v>7352</v>
      </c>
      <c r="G43" s="44" t="s">
        <v>7348</v>
      </c>
      <c r="H43" s="44" t="s">
        <v>7413</v>
      </c>
      <c r="I43" s="44" t="s">
        <v>4076</v>
      </c>
      <c r="J43" s="44" t="s">
        <v>4106</v>
      </c>
      <c r="K43" s="44" t="s">
        <v>4106</v>
      </c>
      <c r="L43" s="44" t="s">
        <v>7346</v>
      </c>
      <c r="M43" s="44"/>
      <c r="N43" s="44"/>
      <c r="O43" s="44"/>
      <c r="P43" s="44"/>
      <c r="Q43" s="44"/>
      <c r="R43" s="44"/>
      <c r="S43" s="44"/>
      <c r="T43" s="44"/>
      <c r="U43" s="44"/>
      <c r="V43" s="44"/>
      <c r="W43" s="44"/>
      <c r="X43" s="44"/>
      <c r="Y43" s="44"/>
      <c r="Z43" s="44"/>
    </row>
    <row r="44" spans="1:26" ht="15.75" customHeight="1">
      <c r="A44" s="44" t="s">
        <v>633</v>
      </c>
      <c r="B44" s="44" t="s">
        <v>634</v>
      </c>
      <c r="C44" s="44" t="s">
        <v>5753</v>
      </c>
      <c r="D44" s="44" t="s">
        <v>7331</v>
      </c>
      <c r="E44" s="44" t="s">
        <v>7414</v>
      </c>
      <c r="F44" s="44" t="s">
        <v>7394</v>
      </c>
      <c r="G44" s="44" t="s">
        <v>7334</v>
      </c>
      <c r="H44" s="44" t="s">
        <v>5390</v>
      </c>
      <c r="I44" s="44" t="s">
        <v>4770</v>
      </c>
      <c r="J44" s="44" t="s">
        <v>4171</v>
      </c>
      <c r="K44" s="44" t="s">
        <v>4106</v>
      </c>
      <c r="L44" s="44" t="s">
        <v>7415</v>
      </c>
      <c r="M44" s="44"/>
      <c r="N44" s="44"/>
      <c r="O44" s="44"/>
      <c r="P44" s="44"/>
      <c r="Q44" s="44"/>
      <c r="R44" s="44"/>
      <c r="S44" s="44"/>
      <c r="T44" s="44"/>
      <c r="U44" s="44"/>
      <c r="V44" s="44"/>
      <c r="W44" s="44"/>
      <c r="X44" s="44"/>
      <c r="Y44" s="44"/>
      <c r="Z44" s="44"/>
    </row>
    <row r="45" spans="1:26" ht="15.75" customHeight="1">
      <c r="A45" s="44" t="s">
        <v>641</v>
      </c>
      <c r="B45" s="44" t="s">
        <v>642</v>
      </c>
      <c r="C45" s="44" t="s">
        <v>7319</v>
      </c>
      <c r="D45" s="44" t="s">
        <v>7347</v>
      </c>
      <c r="E45" s="44" t="s">
        <v>7317</v>
      </c>
      <c r="F45" s="44" t="s">
        <v>7329</v>
      </c>
      <c r="G45" s="44" t="s">
        <v>4129</v>
      </c>
      <c r="H45" s="44" t="s">
        <v>7416</v>
      </c>
      <c r="I45" s="44" t="s">
        <v>4076</v>
      </c>
      <c r="J45" s="44" t="s">
        <v>4138</v>
      </c>
      <c r="K45" s="44" t="s">
        <v>4106</v>
      </c>
      <c r="L45" s="44" t="s">
        <v>7365</v>
      </c>
      <c r="M45" s="44"/>
      <c r="N45" s="44"/>
      <c r="O45" s="44"/>
      <c r="P45" s="44"/>
      <c r="Q45" s="44"/>
      <c r="R45" s="44"/>
      <c r="S45" s="44"/>
      <c r="T45" s="44"/>
      <c r="U45" s="44"/>
      <c r="V45" s="44"/>
      <c r="W45" s="44"/>
      <c r="X45" s="44"/>
      <c r="Y45" s="44"/>
      <c r="Z45" s="44"/>
    </row>
    <row r="46" spans="1:26" ht="15.75" customHeight="1">
      <c r="A46" s="44" t="s">
        <v>649</v>
      </c>
      <c r="B46" s="44" t="s">
        <v>650</v>
      </c>
      <c r="C46" s="44" t="s">
        <v>7319</v>
      </c>
      <c r="D46" s="44" t="s">
        <v>7328</v>
      </c>
      <c r="E46" s="44" t="s">
        <v>7317</v>
      </c>
      <c r="F46" s="44" t="s">
        <v>7320</v>
      </c>
      <c r="G46" s="44" t="s">
        <v>7356</v>
      </c>
      <c r="H46" s="44" t="s">
        <v>5390</v>
      </c>
      <c r="I46" s="44" t="s">
        <v>4076</v>
      </c>
      <c r="J46" s="44" t="s">
        <v>4171</v>
      </c>
      <c r="K46" s="44" t="s">
        <v>4106</v>
      </c>
      <c r="L46" s="44" t="s">
        <v>7365</v>
      </c>
      <c r="M46" s="44"/>
      <c r="N46" s="44"/>
      <c r="O46" s="44"/>
      <c r="P46" s="44"/>
      <c r="Q46" s="44"/>
      <c r="R46" s="44"/>
      <c r="S46" s="44"/>
      <c r="T46" s="44"/>
      <c r="U46" s="44"/>
      <c r="V46" s="44"/>
      <c r="W46" s="44"/>
      <c r="X46" s="44"/>
      <c r="Y46" s="44"/>
      <c r="Z46" s="44"/>
    </row>
    <row r="47" spans="1:26" ht="15.75" customHeight="1">
      <c r="A47" s="44" t="s">
        <v>663</v>
      </c>
      <c r="B47" s="44" t="s">
        <v>664</v>
      </c>
      <c r="C47" s="44" t="s">
        <v>7339</v>
      </c>
      <c r="D47" s="44" t="s">
        <v>7340</v>
      </c>
      <c r="E47" s="44" t="s">
        <v>7319</v>
      </c>
      <c r="F47" s="44" t="s">
        <v>7329</v>
      </c>
      <c r="G47" s="44" t="s">
        <v>4129</v>
      </c>
      <c r="H47" s="44" t="s">
        <v>7417</v>
      </c>
      <c r="I47" s="44" t="s">
        <v>4496</v>
      </c>
      <c r="J47" s="44" t="s">
        <v>4138</v>
      </c>
      <c r="K47" s="44" t="s">
        <v>4171</v>
      </c>
      <c r="L47" s="44" t="s">
        <v>7418</v>
      </c>
      <c r="M47" s="44"/>
      <c r="N47" s="44"/>
      <c r="O47" s="44"/>
      <c r="P47" s="44"/>
      <c r="Q47" s="44"/>
      <c r="R47" s="44"/>
      <c r="S47" s="44"/>
      <c r="T47" s="44"/>
      <c r="U47" s="44"/>
      <c r="V47" s="44"/>
      <c r="W47" s="44"/>
      <c r="X47" s="44"/>
      <c r="Y47" s="44"/>
      <c r="Z47" s="44"/>
    </row>
    <row r="48" spans="1:26" ht="15.75" customHeight="1">
      <c r="A48" s="44" t="s">
        <v>670</v>
      </c>
      <c r="B48" s="44" t="s">
        <v>671</v>
      </c>
      <c r="C48" s="44" t="s">
        <v>7376</v>
      </c>
      <c r="D48" s="44" t="s">
        <v>7377</v>
      </c>
      <c r="E48" s="44" t="s">
        <v>7359</v>
      </c>
      <c r="F48" s="44" t="s">
        <v>7329</v>
      </c>
      <c r="G48" s="44" t="s">
        <v>7348</v>
      </c>
      <c r="H48" s="44" t="s">
        <v>7364</v>
      </c>
      <c r="I48" s="44" t="s">
        <v>4076</v>
      </c>
      <c r="J48" s="44" t="s">
        <v>4106</v>
      </c>
      <c r="K48" s="44" t="s">
        <v>4171</v>
      </c>
      <c r="L48" s="44" t="s">
        <v>7419</v>
      </c>
      <c r="M48" s="44"/>
      <c r="N48" s="44"/>
      <c r="O48" s="44"/>
      <c r="P48" s="44"/>
      <c r="Q48" s="44"/>
      <c r="R48" s="44"/>
      <c r="S48" s="44"/>
      <c r="T48" s="44"/>
      <c r="U48" s="44"/>
      <c r="V48" s="44"/>
      <c r="W48" s="44"/>
      <c r="X48" s="44"/>
      <c r="Y48" s="44"/>
      <c r="Z48" s="44"/>
    </row>
    <row r="49" spans="1:26" ht="15.75" customHeight="1">
      <c r="A49" s="44" t="s">
        <v>678</v>
      </c>
      <c r="B49" s="44" t="s">
        <v>679</v>
      </c>
      <c r="C49" s="44" t="s">
        <v>7339</v>
      </c>
      <c r="D49" s="44" t="s">
        <v>7340</v>
      </c>
      <c r="E49" s="44" t="s">
        <v>7319</v>
      </c>
      <c r="F49" s="44" t="s">
        <v>7329</v>
      </c>
      <c r="G49" s="44" t="s">
        <v>4355</v>
      </c>
      <c r="H49" s="44" t="s">
        <v>7364</v>
      </c>
      <c r="I49" s="44" t="s">
        <v>4076</v>
      </c>
      <c r="J49" s="44" t="s">
        <v>4171</v>
      </c>
      <c r="K49" s="44" t="s">
        <v>4106</v>
      </c>
      <c r="L49" s="44" t="s">
        <v>7404</v>
      </c>
      <c r="M49" s="44"/>
      <c r="N49" s="44"/>
      <c r="O49" s="44"/>
      <c r="P49" s="44"/>
      <c r="Q49" s="44"/>
      <c r="R49" s="44"/>
      <c r="S49" s="44"/>
      <c r="T49" s="44"/>
      <c r="U49" s="44"/>
      <c r="V49" s="44"/>
      <c r="W49" s="44"/>
      <c r="X49" s="44"/>
      <c r="Y49" s="44"/>
      <c r="Z49" s="44"/>
    </row>
    <row r="50" spans="1:26" ht="15.75" customHeight="1">
      <c r="A50" s="44" t="s">
        <v>684</v>
      </c>
      <c r="B50" s="44" t="s">
        <v>104</v>
      </c>
      <c r="C50" s="44" t="s">
        <v>7317</v>
      </c>
      <c r="D50" s="44" t="s">
        <v>7350</v>
      </c>
      <c r="E50" s="44" t="s">
        <v>7341</v>
      </c>
      <c r="F50" s="44" t="s">
        <v>7320</v>
      </c>
      <c r="G50" s="44" t="s">
        <v>7402</v>
      </c>
      <c r="H50" s="44" t="s">
        <v>5390</v>
      </c>
      <c r="I50" s="44" t="s">
        <v>4076</v>
      </c>
      <c r="J50" s="44" t="s">
        <v>4207</v>
      </c>
      <c r="K50" s="44" t="s">
        <v>4171</v>
      </c>
      <c r="L50" s="44" t="s">
        <v>7420</v>
      </c>
      <c r="M50" s="44"/>
      <c r="N50" s="44"/>
      <c r="O50" s="44"/>
      <c r="P50" s="44"/>
      <c r="Q50" s="44"/>
      <c r="R50" s="44"/>
      <c r="S50" s="44"/>
      <c r="T50" s="44"/>
      <c r="U50" s="44"/>
      <c r="V50" s="44"/>
      <c r="W50" s="44"/>
      <c r="X50" s="44"/>
      <c r="Y50" s="44"/>
      <c r="Z50" s="44"/>
    </row>
    <row r="51" spans="1:26" ht="15.75" customHeight="1">
      <c r="A51" s="44" t="s">
        <v>690</v>
      </c>
      <c r="B51" s="44" t="s">
        <v>691</v>
      </c>
      <c r="C51" s="44" t="s">
        <v>5753</v>
      </c>
      <c r="D51" s="44" t="s">
        <v>7331</v>
      </c>
      <c r="E51" s="44" t="s">
        <v>7337</v>
      </c>
      <c r="F51" s="44" t="s">
        <v>7394</v>
      </c>
      <c r="G51" s="44" t="s">
        <v>7325</v>
      </c>
      <c r="H51" s="44" t="s">
        <v>7413</v>
      </c>
      <c r="I51" s="44" t="s">
        <v>4076</v>
      </c>
      <c r="J51" s="44" t="s">
        <v>4106</v>
      </c>
      <c r="K51" s="44" t="s">
        <v>4106</v>
      </c>
      <c r="L51" s="44" t="s">
        <v>7338</v>
      </c>
      <c r="M51" s="44"/>
      <c r="N51" s="44"/>
      <c r="O51" s="44"/>
      <c r="P51" s="44"/>
      <c r="Q51" s="44"/>
      <c r="R51" s="44"/>
      <c r="S51" s="44"/>
      <c r="T51" s="44"/>
      <c r="U51" s="44"/>
      <c r="V51" s="44"/>
      <c r="W51" s="44"/>
      <c r="X51" s="44"/>
      <c r="Y51" s="44"/>
      <c r="Z51" s="44"/>
    </row>
    <row r="52" spans="1:26" ht="15.75" customHeight="1">
      <c r="A52" s="44" t="s">
        <v>712</v>
      </c>
      <c r="B52" s="44" t="s">
        <v>3102</v>
      </c>
      <c r="C52" s="44" t="s">
        <v>7317</v>
      </c>
      <c r="D52" s="44" t="s">
        <v>7350</v>
      </c>
      <c r="E52" s="44" t="s">
        <v>7359</v>
      </c>
      <c r="F52" s="44" t="s">
        <v>7421</v>
      </c>
      <c r="G52" s="44" t="s">
        <v>7421</v>
      </c>
      <c r="H52" s="44" t="s">
        <v>5390</v>
      </c>
      <c r="I52" s="44" t="s">
        <v>4867</v>
      </c>
      <c r="J52" s="44" t="s">
        <v>4138</v>
      </c>
      <c r="K52" s="44" t="s">
        <v>4171</v>
      </c>
      <c r="L52" s="44" t="s">
        <v>7422</v>
      </c>
      <c r="M52" s="44"/>
      <c r="N52" s="44"/>
      <c r="O52" s="44"/>
      <c r="P52" s="44"/>
      <c r="Q52" s="44"/>
      <c r="R52" s="44"/>
      <c r="S52" s="44"/>
      <c r="T52" s="44"/>
      <c r="U52" s="44"/>
      <c r="V52" s="44"/>
      <c r="W52" s="44"/>
      <c r="X52" s="44"/>
      <c r="Y52" s="44"/>
      <c r="Z52" s="44"/>
    </row>
    <row r="53" spans="1:26" ht="15.75" customHeight="1">
      <c r="A53" s="44" t="s">
        <v>719</v>
      </c>
      <c r="B53" s="44" t="s">
        <v>720</v>
      </c>
      <c r="C53" s="44" t="s">
        <v>5753</v>
      </c>
      <c r="D53" s="44" t="s">
        <v>7331</v>
      </c>
      <c r="E53" s="44" t="s">
        <v>7393</v>
      </c>
      <c r="F53" s="44" t="s">
        <v>7352</v>
      </c>
      <c r="G53" s="44" t="s">
        <v>7325</v>
      </c>
      <c r="H53" s="44" t="s">
        <v>7423</v>
      </c>
      <c r="I53" s="44" t="s">
        <v>4076</v>
      </c>
      <c r="J53" s="44" t="s">
        <v>4207</v>
      </c>
      <c r="K53" s="44" t="s">
        <v>4106</v>
      </c>
      <c r="L53" s="44" t="s">
        <v>7407</v>
      </c>
      <c r="M53" s="44"/>
      <c r="N53" s="44"/>
      <c r="O53" s="44"/>
      <c r="P53" s="44"/>
      <c r="Q53" s="44"/>
      <c r="R53" s="44"/>
      <c r="S53" s="44"/>
      <c r="T53" s="44"/>
      <c r="U53" s="44"/>
      <c r="V53" s="44"/>
      <c r="W53" s="44"/>
      <c r="X53" s="44"/>
      <c r="Y53" s="44"/>
      <c r="Z53" s="44"/>
    </row>
    <row r="54" spans="1:26" ht="15.75" customHeight="1">
      <c r="A54" s="44" t="s">
        <v>726</v>
      </c>
      <c r="B54" s="44" t="s">
        <v>727</v>
      </c>
      <c r="C54" s="44" t="s">
        <v>7319</v>
      </c>
      <c r="D54" s="44" t="s">
        <v>7328</v>
      </c>
      <c r="E54" s="44" t="s">
        <v>7424</v>
      </c>
      <c r="F54" s="44" t="s">
        <v>7425</v>
      </c>
      <c r="G54" s="44" t="s">
        <v>7356</v>
      </c>
      <c r="H54" s="44" t="s">
        <v>4129</v>
      </c>
      <c r="I54" s="44" t="s">
        <v>4076</v>
      </c>
      <c r="J54" s="44" t="s">
        <v>4138</v>
      </c>
      <c r="K54" s="44" t="s">
        <v>4171</v>
      </c>
      <c r="L54" s="44" t="s">
        <v>7426</v>
      </c>
      <c r="M54" s="44"/>
      <c r="N54" s="44"/>
      <c r="O54" s="44"/>
      <c r="P54" s="44"/>
      <c r="Q54" s="44"/>
      <c r="R54" s="44"/>
      <c r="S54" s="44"/>
      <c r="T54" s="44"/>
      <c r="U54" s="44"/>
      <c r="V54" s="44"/>
      <c r="W54" s="44"/>
      <c r="X54" s="44"/>
      <c r="Y54" s="44"/>
      <c r="Z54" s="44"/>
    </row>
    <row r="55" spans="1:26" ht="15.75" customHeight="1">
      <c r="A55" s="44" t="s">
        <v>741</v>
      </c>
      <c r="B55" s="44" t="s">
        <v>742</v>
      </c>
      <c r="C55" s="44" t="s">
        <v>5753</v>
      </c>
      <c r="D55" s="44" t="s">
        <v>7331</v>
      </c>
      <c r="E55" s="44" t="s">
        <v>7359</v>
      </c>
      <c r="F55" s="44" t="s">
        <v>7352</v>
      </c>
      <c r="G55" s="44" t="s">
        <v>7348</v>
      </c>
      <c r="H55" s="44" t="s">
        <v>7335</v>
      </c>
      <c r="I55" s="44" t="s">
        <v>4076</v>
      </c>
      <c r="J55" s="44" t="s">
        <v>4171</v>
      </c>
      <c r="K55" s="44" t="s">
        <v>4106</v>
      </c>
      <c r="L55" s="44" t="s">
        <v>7427</v>
      </c>
      <c r="M55" s="44"/>
      <c r="N55" s="44"/>
      <c r="O55" s="44"/>
      <c r="P55" s="44"/>
      <c r="Q55" s="44"/>
      <c r="R55" s="44"/>
      <c r="S55" s="44"/>
      <c r="T55" s="44"/>
      <c r="U55" s="44"/>
      <c r="V55" s="44"/>
      <c r="W55" s="44"/>
      <c r="X55" s="44"/>
      <c r="Y55" s="44"/>
      <c r="Z55" s="44"/>
    </row>
    <row r="56" spans="1:26" ht="15.75" customHeight="1">
      <c r="A56" s="44" t="s">
        <v>749</v>
      </c>
      <c r="B56" s="44" t="s">
        <v>750</v>
      </c>
      <c r="C56" s="44" t="s">
        <v>7319</v>
      </c>
      <c r="D56" s="44" t="s">
        <v>7328</v>
      </c>
      <c r="E56" s="44" t="s">
        <v>4129</v>
      </c>
      <c r="F56" s="44" t="s">
        <v>7352</v>
      </c>
      <c r="G56" s="44" t="s">
        <v>4129</v>
      </c>
      <c r="H56" s="44" t="s">
        <v>4129</v>
      </c>
      <c r="I56" s="44" t="s">
        <v>4076</v>
      </c>
      <c r="J56" s="44" t="s">
        <v>4138</v>
      </c>
      <c r="K56" s="44" t="s">
        <v>4106</v>
      </c>
      <c r="L56" s="44" t="s">
        <v>7428</v>
      </c>
      <c r="M56" s="44"/>
      <c r="N56" s="44"/>
      <c r="O56" s="44"/>
      <c r="P56" s="44"/>
      <c r="Q56" s="44"/>
      <c r="R56" s="44"/>
      <c r="S56" s="44"/>
      <c r="T56" s="44"/>
      <c r="U56" s="44"/>
      <c r="V56" s="44"/>
      <c r="W56" s="44"/>
      <c r="X56" s="44"/>
      <c r="Y56" s="44"/>
      <c r="Z56" s="44"/>
    </row>
    <row r="57" spans="1:26" ht="15.75" customHeight="1">
      <c r="A57" s="44" t="s">
        <v>756</v>
      </c>
      <c r="B57" s="44" t="s">
        <v>757</v>
      </c>
      <c r="C57" s="44" t="s">
        <v>7319</v>
      </c>
      <c r="D57" s="44" t="s">
        <v>7328</v>
      </c>
      <c r="E57" s="44" t="s">
        <v>7429</v>
      </c>
      <c r="F57" s="44" t="s">
        <v>7401</v>
      </c>
      <c r="G57" s="44" t="s">
        <v>7348</v>
      </c>
      <c r="H57" s="44" t="s">
        <v>4129</v>
      </c>
      <c r="I57" s="44" t="s">
        <v>4770</v>
      </c>
      <c r="J57" s="44" t="s">
        <v>4106</v>
      </c>
      <c r="K57" s="44" t="s">
        <v>4171</v>
      </c>
      <c r="L57" s="44" t="s">
        <v>7430</v>
      </c>
      <c r="M57" s="44"/>
      <c r="N57" s="44"/>
      <c r="O57" s="44"/>
      <c r="P57" s="44"/>
      <c r="Q57" s="44"/>
      <c r="R57" s="44"/>
      <c r="S57" s="44"/>
      <c r="T57" s="44"/>
      <c r="U57" s="44"/>
      <c r="V57" s="44"/>
      <c r="W57" s="44"/>
      <c r="X57" s="44"/>
      <c r="Y57" s="44"/>
      <c r="Z57" s="44"/>
    </row>
    <row r="58" spans="1:26" ht="15.75" customHeight="1">
      <c r="A58" s="44" t="s">
        <v>764</v>
      </c>
      <c r="B58" s="44" t="s">
        <v>765</v>
      </c>
      <c r="C58" s="44" t="s">
        <v>5753</v>
      </c>
      <c r="D58" s="44" t="s">
        <v>7331</v>
      </c>
      <c r="E58" s="44" t="s">
        <v>7337</v>
      </c>
      <c r="F58" s="44" t="s">
        <v>7394</v>
      </c>
      <c r="G58" s="44" t="s">
        <v>7348</v>
      </c>
      <c r="H58" s="44" t="s">
        <v>4129</v>
      </c>
      <c r="I58" s="44" t="s">
        <v>4076</v>
      </c>
      <c r="J58" s="44" t="s">
        <v>4106</v>
      </c>
      <c r="K58" s="44" t="s">
        <v>4106</v>
      </c>
      <c r="L58" s="44" t="s">
        <v>7431</v>
      </c>
      <c r="M58" s="44"/>
      <c r="N58" s="44"/>
      <c r="O58" s="44"/>
      <c r="P58" s="44"/>
      <c r="Q58" s="44"/>
      <c r="R58" s="44"/>
      <c r="S58" s="44"/>
      <c r="T58" s="44"/>
      <c r="U58" s="44"/>
      <c r="V58" s="44"/>
      <c r="W58" s="44"/>
      <c r="X58" s="44"/>
      <c r="Y58" s="44"/>
      <c r="Z58" s="44"/>
    </row>
    <row r="59" spans="1:26" ht="15.75" customHeight="1">
      <c r="A59" s="44" t="s">
        <v>778</v>
      </c>
      <c r="B59" s="44" t="s">
        <v>779</v>
      </c>
      <c r="C59" s="44" t="s">
        <v>7319</v>
      </c>
      <c r="D59" s="44" t="s">
        <v>7347</v>
      </c>
      <c r="E59" s="44" t="s">
        <v>7432</v>
      </c>
      <c r="F59" s="44" t="s">
        <v>7320</v>
      </c>
      <c r="G59" s="44" t="s">
        <v>7325</v>
      </c>
      <c r="H59" s="44" t="s">
        <v>7423</v>
      </c>
      <c r="I59" s="44" t="s">
        <v>4770</v>
      </c>
      <c r="J59" s="44" t="s">
        <v>4171</v>
      </c>
      <c r="K59" s="44" t="s">
        <v>4171</v>
      </c>
      <c r="L59" s="44" t="s">
        <v>7433</v>
      </c>
      <c r="M59" s="44"/>
      <c r="N59" s="44"/>
      <c r="O59" s="44"/>
      <c r="P59" s="44"/>
      <c r="Q59" s="44"/>
      <c r="R59" s="44"/>
      <c r="S59" s="44"/>
      <c r="T59" s="44"/>
      <c r="U59" s="44"/>
      <c r="V59" s="44"/>
      <c r="W59" s="44"/>
      <c r="X59" s="44"/>
      <c r="Y59" s="44"/>
      <c r="Z59" s="44"/>
    </row>
    <row r="60" spans="1:26" ht="15.75" customHeight="1">
      <c r="A60" s="44" t="s">
        <v>785</v>
      </c>
      <c r="B60" s="44" t="s">
        <v>786</v>
      </c>
      <c r="C60" s="44" t="s">
        <v>7317</v>
      </c>
      <c r="D60" s="44" t="s">
        <v>7350</v>
      </c>
      <c r="E60" s="44" t="s">
        <v>7319</v>
      </c>
      <c r="F60" s="44" t="s">
        <v>7320</v>
      </c>
      <c r="G60" s="44" t="s">
        <v>4129</v>
      </c>
      <c r="H60" s="44" t="s">
        <v>7434</v>
      </c>
      <c r="I60" s="44" t="s">
        <v>4770</v>
      </c>
      <c r="J60" s="44" t="s">
        <v>4138</v>
      </c>
      <c r="K60" s="44" t="s">
        <v>4106</v>
      </c>
      <c r="L60" s="44" t="s">
        <v>7322</v>
      </c>
      <c r="M60" s="44"/>
      <c r="N60" s="44"/>
      <c r="O60" s="44"/>
      <c r="P60" s="44"/>
      <c r="Q60" s="44"/>
      <c r="R60" s="44"/>
      <c r="S60" s="44"/>
      <c r="T60" s="44"/>
      <c r="U60" s="44"/>
      <c r="V60" s="44"/>
      <c r="W60" s="44"/>
      <c r="X60" s="44"/>
      <c r="Y60" s="44"/>
      <c r="Z60" s="44"/>
    </row>
    <row r="61" spans="1:26" ht="15.75" customHeight="1">
      <c r="A61" s="44" t="s">
        <v>805</v>
      </c>
      <c r="B61" s="44" t="s">
        <v>806</v>
      </c>
      <c r="C61" s="44" t="s">
        <v>5753</v>
      </c>
      <c r="D61" s="44" t="s">
        <v>7331</v>
      </c>
      <c r="E61" s="44" t="s">
        <v>7359</v>
      </c>
      <c r="F61" s="44" t="s">
        <v>7352</v>
      </c>
      <c r="G61" s="44" t="s">
        <v>7321</v>
      </c>
      <c r="H61" s="44" t="s">
        <v>4129</v>
      </c>
      <c r="I61" s="44" t="s">
        <v>4076</v>
      </c>
      <c r="J61" s="44" t="s">
        <v>4171</v>
      </c>
      <c r="K61" s="44" t="s">
        <v>4106</v>
      </c>
      <c r="L61" s="44" t="s">
        <v>7427</v>
      </c>
      <c r="M61" s="44"/>
      <c r="N61" s="44"/>
      <c r="O61" s="44"/>
      <c r="P61" s="44"/>
      <c r="Q61" s="44"/>
      <c r="R61" s="44"/>
      <c r="S61" s="44"/>
      <c r="T61" s="44"/>
      <c r="U61" s="44"/>
      <c r="V61" s="44"/>
      <c r="W61" s="44"/>
      <c r="X61" s="44"/>
      <c r="Y61" s="44"/>
      <c r="Z61" s="44"/>
    </row>
    <row r="62" spans="1:26" ht="15.75" customHeight="1">
      <c r="A62" s="44" t="s">
        <v>812</v>
      </c>
      <c r="B62" s="44" t="s">
        <v>813</v>
      </c>
      <c r="C62" s="44" t="s">
        <v>5753</v>
      </c>
      <c r="D62" s="44" t="s">
        <v>7331</v>
      </c>
      <c r="E62" s="44" t="s">
        <v>7393</v>
      </c>
      <c r="F62" s="44" t="s">
        <v>7435</v>
      </c>
      <c r="G62" s="44" t="s">
        <v>7436</v>
      </c>
      <c r="H62" s="44" t="s">
        <v>7349</v>
      </c>
      <c r="I62" s="44" t="s">
        <v>4076</v>
      </c>
      <c r="J62" s="44" t="s">
        <v>4171</v>
      </c>
      <c r="K62" s="44" t="s">
        <v>4171</v>
      </c>
      <c r="L62" s="44" t="s">
        <v>7437</v>
      </c>
      <c r="M62" s="44"/>
      <c r="N62" s="44"/>
      <c r="O62" s="44"/>
      <c r="P62" s="44"/>
      <c r="Q62" s="44"/>
      <c r="R62" s="44"/>
      <c r="S62" s="44"/>
      <c r="T62" s="44"/>
      <c r="U62" s="44"/>
      <c r="V62" s="44"/>
      <c r="W62" s="44"/>
      <c r="X62" s="44"/>
      <c r="Y62" s="44"/>
      <c r="Z62" s="44"/>
    </row>
    <row r="63" spans="1:26" ht="15.75" customHeight="1">
      <c r="A63" s="44" t="s">
        <v>819</v>
      </c>
      <c r="B63" s="44" t="s">
        <v>820</v>
      </c>
      <c r="C63" s="44" t="s">
        <v>7317</v>
      </c>
      <c r="D63" s="44" t="s">
        <v>7318</v>
      </c>
      <c r="E63" s="44" t="s">
        <v>4129</v>
      </c>
      <c r="F63" s="44" t="s">
        <v>7438</v>
      </c>
      <c r="G63" s="44" t="s">
        <v>7439</v>
      </c>
      <c r="H63" s="44" t="s">
        <v>7349</v>
      </c>
      <c r="I63" s="44" t="s">
        <v>4076</v>
      </c>
      <c r="J63" s="44" t="s">
        <v>4106</v>
      </c>
      <c r="K63" s="44" t="s">
        <v>4106</v>
      </c>
      <c r="L63" s="44" t="s">
        <v>7440</v>
      </c>
      <c r="M63" s="44"/>
      <c r="N63" s="44"/>
      <c r="O63" s="44"/>
      <c r="P63" s="44"/>
      <c r="Q63" s="44"/>
      <c r="R63" s="44"/>
      <c r="S63" s="44"/>
      <c r="T63" s="44"/>
      <c r="U63" s="44"/>
      <c r="V63" s="44"/>
      <c r="W63" s="44"/>
      <c r="X63" s="44"/>
      <c r="Y63" s="44"/>
      <c r="Z63" s="44"/>
    </row>
    <row r="64" spans="1:26" ht="15.75" customHeight="1">
      <c r="A64" s="44" t="s">
        <v>849</v>
      </c>
      <c r="B64" s="44" t="s">
        <v>850</v>
      </c>
      <c r="C64" s="44" t="s">
        <v>7386</v>
      </c>
      <c r="D64" s="44" t="s">
        <v>7387</v>
      </c>
      <c r="E64" s="44" t="s">
        <v>7337</v>
      </c>
      <c r="F64" s="44" t="s">
        <v>7374</v>
      </c>
      <c r="G64" s="44" t="s">
        <v>7052</v>
      </c>
      <c r="H64" s="44" t="s">
        <v>4129</v>
      </c>
      <c r="I64" s="44" t="s">
        <v>5390</v>
      </c>
      <c r="J64" s="44" t="s">
        <v>4138</v>
      </c>
      <c r="K64" s="44" t="s">
        <v>4171</v>
      </c>
      <c r="L64" s="44" t="s">
        <v>7441</v>
      </c>
      <c r="M64" s="44"/>
      <c r="N64" s="44"/>
      <c r="O64" s="44"/>
      <c r="P64" s="44"/>
      <c r="Q64" s="44"/>
      <c r="R64" s="44"/>
      <c r="S64" s="44"/>
      <c r="T64" s="44"/>
      <c r="U64" s="44"/>
      <c r="V64" s="44"/>
      <c r="W64" s="44"/>
      <c r="X64" s="44"/>
      <c r="Y64" s="44"/>
      <c r="Z64" s="44"/>
    </row>
    <row r="65" spans="1:26" ht="15.75" customHeight="1">
      <c r="A65" s="44" t="s">
        <v>855</v>
      </c>
      <c r="B65" s="44" t="s">
        <v>856</v>
      </c>
      <c r="C65" s="44" t="s">
        <v>5753</v>
      </c>
      <c r="D65" s="44" t="s">
        <v>7331</v>
      </c>
      <c r="E65" s="44" t="s">
        <v>7393</v>
      </c>
      <c r="F65" s="44" t="s">
        <v>7442</v>
      </c>
      <c r="G65" s="44" t="s">
        <v>7405</v>
      </c>
      <c r="H65" s="44" t="s">
        <v>7443</v>
      </c>
      <c r="I65" s="44" t="s">
        <v>4076</v>
      </c>
      <c r="J65" s="44" t="s">
        <v>4106</v>
      </c>
      <c r="K65" s="44" t="s">
        <v>4106</v>
      </c>
      <c r="L65" s="44" t="s">
        <v>7407</v>
      </c>
      <c r="M65" s="44"/>
      <c r="N65" s="44"/>
      <c r="O65" s="44"/>
      <c r="P65" s="44"/>
      <c r="Q65" s="44"/>
      <c r="R65" s="44"/>
      <c r="S65" s="44"/>
      <c r="T65" s="44"/>
      <c r="U65" s="44"/>
      <c r="V65" s="44"/>
      <c r="W65" s="44"/>
      <c r="X65" s="44"/>
      <c r="Y65" s="44"/>
      <c r="Z65" s="44"/>
    </row>
    <row r="66" spans="1:26" ht="15.75" customHeight="1">
      <c r="A66" s="44" t="s">
        <v>862</v>
      </c>
      <c r="B66" s="44" t="s">
        <v>863</v>
      </c>
      <c r="C66" s="44" t="s">
        <v>5753</v>
      </c>
      <c r="D66" s="44" t="s">
        <v>7331</v>
      </c>
      <c r="E66" s="44" t="s">
        <v>7332</v>
      </c>
      <c r="F66" s="44" t="s">
        <v>7374</v>
      </c>
      <c r="G66" s="44" t="s">
        <v>7405</v>
      </c>
      <c r="H66" s="44" t="s">
        <v>7364</v>
      </c>
      <c r="I66" s="44" t="s">
        <v>4076</v>
      </c>
      <c r="J66" s="44" t="s">
        <v>4171</v>
      </c>
      <c r="K66" s="44" t="s">
        <v>4106</v>
      </c>
      <c r="L66" s="44" t="s">
        <v>7444</v>
      </c>
      <c r="M66" s="44"/>
      <c r="N66" s="44"/>
      <c r="O66" s="44"/>
      <c r="P66" s="44"/>
      <c r="Q66" s="44"/>
      <c r="R66" s="44"/>
      <c r="S66" s="44"/>
      <c r="T66" s="44"/>
      <c r="U66" s="44"/>
      <c r="V66" s="44"/>
      <c r="W66" s="44"/>
      <c r="X66" s="44"/>
      <c r="Y66" s="44"/>
      <c r="Z66" s="44"/>
    </row>
    <row r="67" spans="1:26" ht="15.75" customHeight="1">
      <c r="A67" s="44" t="s">
        <v>869</v>
      </c>
      <c r="B67" s="44" t="s">
        <v>870</v>
      </c>
      <c r="C67" s="44" t="s">
        <v>5753</v>
      </c>
      <c r="D67" s="44" t="s">
        <v>7331</v>
      </c>
      <c r="E67" s="44" t="s">
        <v>7337</v>
      </c>
      <c r="F67" s="44" t="s">
        <v>7352</v>
      </c>
      <c r="G67" s="44" t="s">
        <v>4129</v>
      </c>
      <c r="H67" s="44" t="s">
        <v>4129</v>
      </c>
      <c r="I67" s="44" t="s">
        <v>5390</v>
      </c>
      <c r="J67" s="44" t="s">
        <v>4138</v>
      </c>
      <c r="K67" s="44" t="s">
        <v>4106</v>
      </c>
      <c r="L67" s="44" t="s">
        <v>7338</v>
      </c>
      <c r="M67" s="44"/>
      <c r="N67" s="44"/>
      <c r="O67" s="44"/>
      <c r="P67" s="44"/>
      <c r="Q67" s="44"/>
      <c r="R67" s="44"/>
      <c r="S67" s="44"/>
      <c r="T67" s="44"/>
      <c r="U67" s="44"/>
      <c r="V67" s="44"/>
      <c r="W67" s="44"/>
      <c r="X67" s="44"/>
      <c r="Y67" s="44"/>
      <c r="Z67" s="44"/>
    </row>
    <row r="68" spans="1:26" ht="15.75" customHeight="1">
      <c r="A68" s="44" t="s">
        <v>876</v>
      </c>
      <c r="B68" s="44" t="s">
        <v>5491</v>
      </c>
      <c r="C68" s="44" t="s">
        <v>5753</v>
      </c>
      <c r="D68" s="44" t="s">
        <v>7331</v>
      </c>
      <c r="E68" s="44" t="s">
        <v>7332</v>
      </c>
      <c r="F68" s="44" t="s">
        <v>7374</v>
      </c>
      <c r="G68" s="44" t="s">
        <v>7384</v>
      </c>
      <c r="H68" s="44" t="s">
        <v>4129</v>
      </c>
      <c r="I68" s="44" t="s">
        <v>4076</v>
      </c>
      <c r="J68" s="44" t="s">
        <v>4171</v>
      </c>
      <c r="K68" s="44" t="s">
        <v>4106</v>
      </c>
      <c r="L68" s="44" t="s">
        <v>7444</v>
      </c>
      <c r="M68" s="44"/>
      <c r="N68" s="44"/>
      <c r="O68" s="44"/>
      <c r="P68" s="44"/>
      <c r="Q68" s="44"/>
      <c r="R68" s="44"/>
      <c r="S68" s="44"/>
      <c r="T68" s="44"/>
      <c r="U68" s="44"/>
      <c r="V68" s="44"/>
      <c r="W68" s="44"/>
      <c r="X68" s="44"/>
      <c r="Y68" s="44"/>
      <c r="Z68" s="44"/>
    </row>
    <row r="69" spans="1:26" ht="15.75" customHeight="1">
      <c r="A69" s="44" t="s">
        <v>890</v>
      </c>
      <c r="B69" s="44" t="s">
        <v>891</v>
      </c>
      <c r="C69" s="44" t="s">
        <v>7319</v>
      </c>
      <c r="D69" s="44" t="s">
        <v>7328</v>
      </c>
      <c r="E69" s="44" t="s">
        <v>7424</v>
      </c>
      <c r="F69" s="44" t="s">
        <v>7388</v>
      </c>
      <c r="G69" s="44" t="s">
        <v>7445</v>
      </c>
      <c r="H69" s="44" t="s">
        <v>7446</v>
      </c>
      <c r="I69" s="44" t="s">
        <v>5390</v>
      </c>
      <c r="J69" s="44" t="s">
        <v>4171</v>
      </c>
      <c r="K69" s="44" t="s">
        <v>4171</v>
      </c>
      <c r="L69" s="44" t="s">
        <v>7426</v>
      </c>
      <c r="M69" s="44"/>
      <c r="N69" s="44"/>
      <c r="O69" s="44"/>
      <c r="P69" s="44"/>
      <c r="Q69" s="44"/>
      <c r="R69" s="44"/>
      <c r="S69" s="44"/>
      <c r="T69" s="44"/>
      <c r="U69" s="44"/>
      <c r="V69" s="44"/>
      <c r="W69" s="44"/>
      <c r="X69" s="44"/>
      <c r="Y69" s="44"/>
      <c r="Z69" s="44"/>
    </row>
    <row r="70" spans="1:26" ht="15.75" customHeight="1">
      <c r="A70" s="44" t="s">
        <v>913</v>
      </c>
      <c r="B70" s="44" t="s">
        <v>914</v>
      </c>
      <c r="C70" s="44" t="s">
        <v>7376</v>
      </c>
      <c r="D70" s="44" t="s">
        <v>7377</v>
      </c>
      <c r="E70" s="44" t="s">
        <v>7337</v>
      </c>
      <c r="F70" s="44" t="s">
        <v>7383</v>
      </c>
      <c r="G70" s="44" t="s">
        <v>7375</v>
      </c>
      <c r="H70" s="44" t="s">
        <v>7349</v>
      </c>
      <c r="I70" s="44" t="s">
        <v>4076</v>
      </c>
      <c r="J70" s="44" t="s">
        <v>4171</v>
      </c>
      <c r="K70" s="44" t="s">
        <v>4171</v>
      </c>
      <c r="L70" s="44" t="s">
        <v>7447</v>
      </c>
      <c r="M70" s="44"/>
      <c r="N70" s="44"/>
      <c r="O70" s="44"/>
      <c r="P70" s="44"/>
      <c r="Q70" s="44"/>
      <c r="R70" s="44"/>
      <c r="S70" s="44"/>
      <c r="T70" s="44"/>
      <c r="U70" s="44"/>
      <c r="V70" s="44"/>
      <c r="W70" s="44"/>
      <c r="X70" s="44"/>
      <c r="Y70" s="44"/>
      <c r="Z70" s="44"/>
    </row>
    <row r="71" spans="1:26" ht="15.75" customHeight="1">
      <c r="A71" s="44" t="s">
        <v>920</v>
      </c>
      <c r="B71" s="44" t="s">
        <v>921</v>
      </c>
      <c r="C71" s="44" t="s">
        <v>5753</v>
      </c>
      <c r="D71" s="44" t="s">
        <v>7331</v>
      </c>
      <c r="E71" s="44" t="s">
        <v>7359</v>
      </c>
      <c r="F71" s="44" t="s">
        <v>7352</v>
      </c>
      <c r="G71" s="44" t="s">
        <v>7356</v>
      </c>
      <c r="H71" s="44" t="s">
        <v>4129</v>
      </c>
      <c r="I71" s="44" t="s">
        <v>5585</v>
      </c>
      <c r="J71" s="44" t="s">
        <v>4138</v>
      </c>
      <c r="K71" s="44" t="s">
        <v>4106</v>
      </c>
      <c r="L71" s="44" t="s">
        <v>7427</v>
      </c>
      <c r="M71" s="44"/>
      <c r="N71" s="44"/>
      <c r="O71" s="44"/>
      <c r="P71" s="44"/>
      <c r="Q71" s="44"/>
      <c r="R71" s="44"/>
      <c r="S71" s="44"/>
      <c r="T71" s="44"/>
      <c r="U71" s="44"/>
      <c r="V71" s="44"/>
      <c r="W71" s="44"/>
      <c r="X71" s="44"/>
      <c r="Y71" s="44"/>
      <c r="Z71" s="44"/>
    </row>
    <row r="72" spans="1:26" ht="15.75" customHeight="1">
      <c r="A72" s="44" t="s">
        <v>928</v>
      </c>
      <c r="B72" s="44" t="s">
        <v>929</v>
      </c>
      <c r="C72" s="44" t="s">
        <v>7339</v>
      </c>
      <c r="D72" s="44" t="s">
        <v>7370</v>
      </c>
      <c r="E72" s="44" t="s">
        <v>7337</v>
      </c>
      <c r="F72" s="44" t="s">
        <v>7425</v>
      </c>
      <c r="G72" s="44" t="s">
        <v>7334</v>
      </c>
      <c r="H72" s="44" t="s">
        <v>7448</v>
      </c>
      <c r="I72" s="44" t="s">
        <v>4076</v>
      </c>
      <c r="J72" s="44" t="s">
        <v>4106</v>
      </c>
      <c r="K72" s="44" t="s">
        <v>4171</v>
      </c>
      <c r="L72" s="44" t="s">
        <v>7449</v>
      </c>
      <c r="M72" s="44"/>
      <c r="N72" s="44"/>
      <c r="O72" s="44"/>
      <c r="P72" s="44"/>
      <c r="Q72" s="44"/>
      <c r="R72" s="44"/>
      <c r="S72" s="44"/>
      <c r="T72" s="44"/>
      <c r="U72" s="44"/>
      <c r="V72" s="44"/>
      <c r="W72" s="44"/>
      <c r="X72" s="44"/>
      <c r="Y72" s="44"/>
      <c r="Z72" s="44"/>
    </row>
    <row r="73" spans="1:26" ht="15.75" customHeight="1">
      <c r="A73" s="44" t="s">
        <v>943</v>
      </c>
      <c r="B73" s="44" t="s">
        <v>944</v>
      </c>
      <c r="C73" s="44" t="s">
        <v>7319</v>
      </c>
      <c r="D73" s="44" t="s">
        <v>7328</v>
      </c>
      <c r="E73" s="44" t="s">
        <v>4129</v>
      </c>
      <c r="F73" s="44" t="s">
        <v>7329</v>
      </c>
      <c r="G73" s="44" t="s">
        <v>7397</v>
      </c>
      <c r="H73" s="44" t="s">
        <v>4129</v>
      </c>
      <c r="I73" s="44" t="s">
        <v>4076</v>
      </c>
      <c r="J73" s="44" t="s">
        <v>4171</v>
      </c>
      <c r="K73" s="44" t="s">
        <v>4106</v>
      </c>
      <c r="L73" s="44" t="s">
        <v>7330</v>
      </c>
      <c r="M73" s="44"/>
      <c r="N73" s="44"/>
      <c r="O73" s="44"/>
      <c r="P73" s="44"/>
      <c r="Q73" s="44"/>
      <c r="R73" s="44"/>
      <c r="S73" s="44"/>
      <c r="T73" s="44"/>
      <c r="U73" s="44"/>
      <c r="V73" s="44"/>
      <c r="W73" s="44"/>
      <c r="X73" s="44"/>
      <c r="Y73" s="44"/>
      <c r="Z73" s="44"/>
    </row>
    <row r="74" spans="1:26" ht="15.75" customHeight="1">
      <c r="A74" s="44" t="s">
        <v>950</v>
      </c>
      <c r="B74" s="44" t="s">
        <v>951</v>
      </c>
      <c r="C74" s="44" t="s">
        <v>7319</v>
      </c>
      <c r="D74" s="44" t="s">
        <v>7347</v>
      </c>
      <c r="E74" s="44" t="s">
        <v>7339</v>
      </c>
      <c r="F74" s="44" t="s">
        <v>7329</v>
      </c>
      <c r="G74" s="44" t="s">
        <v>7325</v>
      </c>
      <c r="H74" s="44" t="s">
        <v>7443</v>
      </c>
      <c r="I74" s="44" t="s">
        <v>4076</v>
      </c>
      <c r="J74" s="44" t="s">
        <v>4106</v>
      </c>
      <c r="K74" s="44" t="s">
        <v>4106</v>
      </c>
      <c r="L74" s="44" t="s">
        <v>7380</v>
      </c>
      <c r="M74" s="44"/>
      <c r="N74" s="44"/>
      <c r="O74" s="44"/>
      <c r="P74" s="44"/>
      <c r="Q74" s="44"/>
      <c r="R74" s="44"/>
      <c r="S74" s="44"/>
      <c r="T74" s="44"/>
      <c r="U74" s="44"/>
      <c r="V74" s="44"/>
      <c r="W74" s="44"/>
      <c r="X74" s="44"/>
      <c r="Y74" s="44"/>
      <c r="Z74" s="44"/>
    </row>
    <row r="75" spans="1:26" ht="15.75" customHeight="1">
      <c r="A75" s="44" t="s">
        <v>980</v>
      </c>
      <c r="B75" s="44" t="s">
        <v>981</v>
      </c>
      <c r="C75" s="44" t="s">
        <v>5753</v>
      </c>
      <c r="D75" s="44" t="s">
        <v>7331</v>
      </c>
      <c r="E75" s="44" t="s">
        <v>7450</v>
      </c>
      <c r="F75" s="44" t="s">
        <v>7394</v>
      </c>
      <c r="G75" s="44" t="s">
        <v>7325</v>
      </c>
      <c r="H75" s="44" t="s">
        <v>7451</v>
      </c>
      <c r="I75" s="44" t="s">
        <v>4076</v>
      </c>
      <c r="J75" s="44" t="s">
        <v>4106</v>
      </c>
      <c r="K75" s="44" t="s">
        <v>4106</v>
      </c>
      <c r="L75" s="44" t="s">
        <v>7452</v>
      </c>
      <c r="M75" s="44"/>
      <c r="N75" s="44"/>
      <c r="O75" s="44"/>
      <c r="P75" s="44"/>
      <c r="Q75" s="44"/>
      <c r="R75" s="44"/>
      <c r="S75" s="44"/>
      <c r="T75" s="44"/>
      <c r="U75" s="44"/>
      <c r="V75" s="44"/>
      <c r="W75" s="44"/>
      <c r="X75" s="44"/>
      <c r="Y75" s="44"/>
      <c r="Z75" s="44"/>
    </row>
    <row r="76" spans="1:26" ht="15.75" customHeight="1">
      <c r="A76" s="44" t="s">
        <v>988</v>
      </c>
      <c r="B76" s="44" t="s">
        <v>989</v>
      </c>
      <c r="C76" s="44" t="s">
        <v>7339</v>
      </c>
      <c r="D76" s="44" t="s">
        <v>7370</v>
      </c>
      <c r="E76" s="44" t="s">
        <v>7319</v>
      </c>
      <c r="F76" s="44" t="s">
        <v>7388</v>
      </c>
      <c r="G76" s="44" t="s">
        <v>7325</v>
      </c>
      <c r="H76" s="44" t="s">
        <v>7453</v>
      </c>
      <c r="I76" s="44" t="s">
        <v>4076</v>
      </c>
      <c r="J76" s="44" t="s">
        <v>4106</v>
      </c>
      <c r="K76" s="44" t="s">
        <v>4106</v>
      </c>
      <c r="L76" s="44" t="s">
        <v>7404</v>
      </c>
      <c r="M76" s="44"/>
      <c r="N76" s="44"/>
      <c r="O76" s="44"/>
      <c r="P76" s="44"/>
      <c r="Q76" s="44"/>
      <c r="R76" s="44"/>
      <c r="S76" s="44"/>
      <c r="T76" s="44"/>
      <c r="U76" s="44"/>
      <c r="V76" s="44"/>
      <c r="W76" s="44"/>
      <c r="X76" s="44"/>
      <c r="Y76" s="44"/>
      <c r="Z76" s="44"/>
    </row>
    <row r="77" spans="1:26" ht="15.75" customHeight="1">
      <c r="A77" s="44" t="s">
        <v>995</v>
      </c>
      <c r="B77" s="44" t="s">
        <v>996</v>
      </c>
      <c r="C77" s="44" t="s">
        <v>7319</v>
      </c>
      <c r="D77" s="44" t="s">
        <v>7328</v>
      </c>
      <c r="E77" s="44" t="s">
        <v>7339</v>
      </c>
      <c r="F77" s="44" t="s">
        <v>7425</v>
      </c>
      <c r="G77" s="44" t="s">
        <v>7334</v>
      </c>
      <c r="H77" s="44" t="s">
        <v>7454</v>
      </c>
      <c r="I77" s="44" t="s">
        <v>4076</v>
      </c>
      <c r="J77" s="44" t="s">
        <v>4171</v>
      </c>
      <c r="K77" s="44" t="s">
        <v>4171</v>
      </c>
      <c r="L77" s="44" t="s">
        <v>7455</v>
      </c>
      <c r="M77" s="44"/>
      <c r="N77" s="44"/>
      <c r="O77" s="44"/>
      <c r="P77" s="44"/>
      <c r="Q77" s="44"/>
      <c r="R77" s="44"/>
      <c r="S77" s="44"/>
      <c r="T77" s="44"/>
      <c r="U77" s="44"/>
      <c r="V77" s="44"/>
      <c r="W77" s="44"/>
      <c r="X77" s="44"/>
      <c r="Y77" s="44"/>
      <c r="Z77" s="44"/>
    </row>
    <row r="78" spans="1:26" ht="15.75" customHeight="1">
      <c r="A78" s="44" t="s">
        <v>1017</v>
      </c>
      <c r="B78" s="44" t="s">
        <v>1018</v>
      </c>
      <c r="C78" s="44" t="s">
        <v>7319</v>
      </c>
      <c r="D78" s="44" t="s">
        <v>7347</v>
      </c>
      <c r="E78" s="44" t="s">
        <v>4129</v>
      </c>
      <c r="F78" s="44" t="s">
        <v>7329</v>
      </c>
      <c r="G78" s="44" t="s">
        <v>7348</v>
      </c>
      <c r="H78" s="44" t="s">
        <v>4129</v>
      </c>
      <c r="I78" s="44" t="s">
        <v>4076</v>
      </c>
      <c r="J78" s="44" t="s">
        <v>4106</v>
      </c>
      <c r="K78" s="44" t="s">
        <v>4106</v>
      </c>
      <c r="L78" s="44" t="s">
        <v>7456</v>
      </c>
      <c r="M78" s="44"/>
      <c r="N78" s="44"/>
      <c r="O78" s="44"/>
      <c r="P78" s="44"/>
      <c r="Q78" s="44"/>
      <c r="R78" s="44"/>
      <c r="S78" s="44"/>
      <c r="T78" s="44"/>
      <c r="U78" s="44"/>
      <c r="V78" s="44"/>
      <c r="W78" s="44"/>
      <c r="X78" s="44"/>
      <c r="Y78" s="44"/>
      <c r="Z78" s="44"/>
    </row>
    <row r="79" spans="1:26" ht="15.75" customHeight="1">
      <c r="A79" s="44" t="s">
        <v>1032</v>
      </c>
      <c r="B79" s="44" t="s">
        <v>1033</v>
      </c>
      <c r="C79" s="44" t="s">
        <v>5753</v>
      </c>
      <c r="D79" s="44" t="s">
        <v>7331</v>
      </c>
      <c r="E79" s="44" t="s">
        <v>7393</v>
      </c>
      <c r="F79" s="44" t="s">
        <v>7352</v>
      </c>
      <c r="G79" s="44" t="s">
        <v>7348</v>
      </c>
      <c r="H79" s="44" t="s">
        <v>4129</v>
      </c>
      <c r="I79" s="44" t="s">
        <v>4770</v>
      </c>
      <c r="J79" s="44" t="s">
        <v>4171</v>
      </c>
      <c r="K79" s="44" t="s">
        <v>4106</v>
      </c>
      <c r="L79" s="44" t="s">
        <v>7407</v>
      </c>
      <c r="M79" s="44"/>
      <c r="N79" s="44"/>
      <c r="O79" s="44"/>
      <c r="P79" s="44"/>
      <c r="Q79" s="44"/>
      <c r="R79" s="44"/>
      <c r="S79" s="44"/>
      <c r="T79" s="44"/>
      <c r="U79" s="44"/>
      <c r="V79" s="44"/>
      <c r="W79" s="44"/>
      <c r="X79" s="44"/>
      <c r="Y79" s="44"/>
      <c r="Z79" s="44"/>
    </row>
    <row r="80" spans="1:26" ht="15.75" customHeight="1">
      <c r="A80" s="44" t="s">
        <v>1040</v>
      </c>
      <c r="B80" s="44" t="s">
        <v>1041</v>
      </c>
      <c r="C80" s="44" t="s">
        <v>5753</v>
      </c>
      <c r="D80" s="44" t="s">
        <v>7331</v>
      </c>
      <c r="E80" s="44" t="s">
        <v>7393</v>
      </c>
      <c r="F80" s="44" t="s">
        <v>7352</v>
      </c>
      <c r="G80" s="44" t="s">
        <v>7325</v>
      </c>
      <c r="H80" s="44" t="s">
        <v>4129</v>
      </c>
      <c r="I80" s="44" t="s">
        <v>4076</v>
      </c>
      <c r="J80" s="44" t="s">
        <v>4106</v>
      </c>
      <c r="K80" s="44" t="s">
        <v>4106</v>
      </c>
      <c r="L80" s="44" t="s">
        <v>7407</v>
      </c>
      <c r="M80" s="44"/>
      <c r="N80" s="44"/>
      <c r="O80" s="44"/>
      <c r="P80" s="44"/>
      <c r="Q80" s="44"/>
      <c r="R80" s="44"/>
      <c r="S80" s="44"/>
      <c r="T80" s="44"/>
      <c r="U80" s="44"/>
      <c r="V80" s="44"/>
      <c r="W80" s="44"/>
      <c r="X80" s="44"/>
      <c r="Y80" s="44"/>
      <c r="Z80" s="44"/>
    </row>
    <row r="81" spans="1:26" ht="15.75" customHeight="1">
      <c r="A81" s="44" t="s">
        <v>1047</v>
      </c>
      <c r="B81" s="44" t="s">
        <v>1048</v>
      </c>
      <c r="C81" s="44" t="s">
        <v>5753</v>
      </c>
      <c r="D81" s="44" t="s">
        <v>7331</v>
      </c>
      <c r="E81" s="44" t="s">
        <v>7337</v>
      </c>
      <c r="F81" s="44" t="s">
        <v>7352</v>
      </c>
      <c r="G81" s="44" t="s">
        <v>4129</v>
      </c>
      <c r="H81" s="44" t="s">
        <v>4129</v>
      </c>
      <c r="I81" s="44" t="s">
        <v>4076</v>
      </c>
      <c r="J81" s="44" t="s">
        <v>4138</v>
      </c>
      <c r="K81" s="44" t="s">
        <v>4106</v>
      </c>
      <c r="L81" s="44" t="s">
        <v>7338</v>
      </c>
      <c r="M81" s="44"/>
      <c r="N81" s="44"/>
      <c r="O81" s="44"/>
      <c r="P81" s="44"/>
      <c r="Q81" s="44"/>
      <c r="R81" s="44"/>
      <c r="S81" s="44"/>
      <c r="T81" s="44"/>
      <c r="U81" s="44"/>
      <c r="V81" s="44"/>
      <c r="W81" s="44"/>
      <c r="X81" s="44"/>
      <c r="Y81" s="44"/>
      <c r="Z81" s="44"/>
    </row>
    <row r="82" spans="1:26" ht="15.75" customHeight="1">
      <c r="A82" s="44" t="s">
        <v>1076</v>
      </c>
      <c r="B82" s="44" t="s">
        <v>1077</v>
      </c>
      <c r="C82" s="44" t="s">
        <v>7339</v>
      </c>
      <c r="D82" s="44" t="s">
        <v>7340</v>
      </c>
      <c r="E82" s="44" t="s">
        <v>7319</v>
      </c>
      <c r="F82" s="44" t="s">
        <v>7383</v>
      </c>
      <c r="G82" s="44" t="s">
        <v>7384</v>
      </c>
      <c r="H82" s="44" t="s">
        <v>7457</v>
      </c>
      <c r="I82" s="44" t="s">
        <v>4076</v>
      </c>
      <c r="J82" s="44" t="s">
        <v>4171</v>
      </c>
      <c r="K82" s="44" t="s">
        <v>4106</v>
      </c>
      <c r="L82" s="44" t="s">
        <v>7404</v>
      </c>
      <c r="M82" s="44"/>
      <c r="N82" s="44"/>
      <c r="O82" s="44"/>
      <c r="P82" s="44"/>
      <c r="Q82" s="44"/>
      <c r="R82" s="44"/>
      <c r="S82" s="44"/>
      <c r="T82" s="44"/>
      <c r="U82" s="44"/>
      <c r="V82" s="44"/>
      <c r="W82" s="44"/>
      <c r="X82" s="44"/>
      <c r="Y82" s="44"/>
      <c r="Z82" s="44"/>
    </row>
    <row r="83" spans="1:26" ht="15.75" customHeight="1">
      <c r="A83" s="44" t="s">
        <v>1091</v>
      </c>
      <c r="B83" s="44" t="s">
        <v>1092</v>
      </c>
      <c r="C83" s="44" t="s">
        <v>5753</v>
      </c>
      <c r="D83" s="44" t="s">
        <v>7331</v>
      </c>
      <c r="E83" s="44" t="s">
        <v>7337</v>
      </c>
      <c r="F83" s="44" t="s">
        <v>7394</v>
      </c>
      <c r="G83" s="44" t="s">
        <v>7325</v>
      </c>
      <c r="H83" s="44" t="s">
        <v>4129</v>
      </c>
      <c r="I83" s="44" t="s">
        <v>4076</v>
      </c>
      <c r="J83" s="44" t="s">
        <v>4207</v>
      </c>
      <c r="K83" s="44" t="s">
        <v>4106</v>
      </c>
      <c r="L83" s="44" t="s">
        <v>7338</v>
      </c>
      <c r="M83" s="44"/>
      <c r="N83" s="44"/>
      <c r="O83" s="44"/>
      <c r="P83" s="44"/>
      <c r="Q83" s="44"/>
      <c r="R83" s="44"/>
      <c r="S83" s="44"/>
      <c r="T83" s="44"/>
      <c r="U83" s="44"/>
      <c r="V83" s="44"/>
      <c r="W83" s="44"/>
      <c r="X83" s="44"/>
      <c r="Y83" s="44"/>
      <c r="Z83" s="44"/>
    </row>
    <row r="84" spans="1:26" ht="15.75" customHeight="1">
      <c r="A84" s="44" t="s">
        <v>1111</v>
      </c>
      <c r="B84" s="44" t="s">
        <v>1112</v>
      </c>
      <c r="C84" s="44" t="s">
        <v>5753</v>
      </c>
      <c r="D84" s="44" t="s">
        <v>7331</v>
      </c>
      <c r="E84" s="44" t="s">
        <v>7458</v>
      </c>
      <c r="F84" s="44" t="s">
        <v>7459</v>
      </c>
      <c r="G84" s="44" t="s">
        <v>4129</v>
      </c>
      <c r="H84" s="44" t="s">
        <v>5390</v>
      </c>
      <c r="I84" s="44" t="s">
        <v>4076</v>
      </c>
      <c r="J84" s="44" t="s">
        <v>4138</v>
      </c>
      <c r="K84" s="44" t="s">
        <v>4106</v>
      </c>
      <c r="L84" s="44" t="s">
        <v>7460</v>
      </c>
      <c r="M84" s="44"/>
      <c r="N84" s="44"/>
      <c r="O84" s="44"/>
      <c r="P84" s="44"/>
      <c r="Q84" s="44"/>
      <c r="R84" s="44"/>
      <c r="S84" s="44"/>
      <c r="T84" s="44"/>
      <c r="U84" s="44"/>
      <c r="V84" s="44"/>
      <c r="W84" s="44"/>
      <c r="X84" s="44"/>
      <c r="Y84" s="44"/>
      <c r="Z84" s="44"/>
    </row>
    <row r="85" spans="1:26" ht="15.75" customHeight="1">
      <c r="A85" s="44" t="s">
        <v>1126</v>
      </c>
      <c r="B85" s="44" t="s">
        <v>1127</v>
      </c>
      <c r="C85" s="44" t="s">
        <v>5753</v>
      </c>
      <c r="D85" s="44" t="s">
        <v>7331</v>
      </c>
      <c r="E85" s="44" t="s">
        <v>7393</v>
      </c>
      <c r="F85" s="44" t="s">
        <v>7394</v>
      </c>
      <c r="G85" s="44" t="s">
        <v>7325</v>
      </c>
      <c r="H85" s="44" t="s">
        <v>7364</v>
      </c>
      <c r="I85" s="44" t="s">
        <v>4867</v>
      </c>
      <c r="J85" s="44" t="s">
        <v>4106</v>
      </c>
      <c r="K85" s="44" t="s">
        <v>4106</v>
      </c>
      <c r="L85" s="44" t="s">
        <v>7407</v>
      </c>
      <c r="M85" s="44"/>
      <c r="N85" s="44"/>
      <c r="O85" s="44"/>
      <c r="P85" s="44"/>
      <c r="Q85" s="44"/>
      <c r="R85" s="44"/>
      <c r="S85" s="44"/>
      <c r="T85" s="44"/>
      <c r="U85" s="44"/>
      <c r="V85" s="44"/>
      <c r="W85" s="44"/>
      <c r="X85" s="44"/>
      <c r="Y85" s="44"/>
      <c r="Z85" s="44"/>
    </row>
    <row r="86" spans="1:26" ht="15.75" customHeight="1">
      <c r="A86" s="44" t="s">
        <v>1140</v>
      </c>
      <c r="B86" s="44" t="s">
        <v>1141</v>
      </c>
      <c r="C86" s="44" t="s">
        <v>7376</v>
      </c>
      <c r="D86" s="44" t="s">
        <v>7381</v>
      </c>
      <c r="E86" s="44" t="s">
        <v>7319</v>
      </c>
      <c r="F86" s="44" t="s">
        <v>7329</v>
      </c>
      <c r="G86" s="44" t="s">
        <v>7325</v>
      </c>
      <c r="H86" s="44" t="s">
        <v>4129</v>
      </c>
      <c r="I86" s="44" t="s">
        <v>4076</v>
      </c>
      <c r="J86" s="44" t="s">
        <v>4171</v>
      </c>
      <c r="K86" s="44" t="s">
        <v>4106</v>
      </c>
      <c r="L86" s="44" t="s">
        <v>7461</v>
      </c>
      <c r="M86" s="44"/>
      <c r="N86" s="44"/>
      <c r="O86" s="44"/>
      <c r="P86" s="44"/>
      <c r="Q86" s="44"/>
      <c r="R86" s="44"/>
      <c r="S86" s="44"/>
      <c r="T86" s="44"/>
      <c r="U86" s="44"/>
      <c r="V86" s="44"/>
      <c r="W86" s="44"/>
      <c r="X86" s="44"/>
      <c r="Y86" s="44"/>
      <c r="Z86" s="44"/>
    </row>
    <row r="87" spans="1:26" ht="15.75" customHeight="1">
      <c r="A87" s="44" t="s">
        <v>1148</v>
      </c>
      <c r="B87" s="44" t="s">
        <v>1149</v>
      </c>
      <c r="C87" s="44" t="s">
        <v>5753</v>
      </c>
      <c r="D87" s="44" t="s">
        <v>7331</v>
      </c>
      <c r="E87" s="44" t="s">
        <v>7337</v>
      </c>
      <c r="F87" s="44" t="s">
        <v>7352</v>
      </c>
      <c r="G87" s="44" t="s">
        <v>4129</v>
      </c>
      <c r="H87" s="44" t="s">
        <v>7462</v>
      </c>
      <c r="I87" s="44" t="s">
        <v>4076</v>
      </c>
      <c r="J87" s="44" t="s">
        <v>4138</v>
      </c>
      <c r="K87" s="44" t="s">
        <v>4106</v>
      </c>
      <c r="L87" s="44" t="s">
        <v>7338</v>
      </c>
      <c r="M87" s="44"/>
      <c r="N87" s="44"/>
      <c r="O87" s="44"/>
      <c r="P87" s="44"/>
      <c r="Q87" s="44"/>
      <c r="R87" s="44"/>
      <c r="S87" s="44"/>
      <c r="T87" s="44"/>
      <c r="U87" s="44"/>
      <c r="V87" s="44"/>
      <c r="W87" s="44"/>
      <c r="X87" s="44"/>
      <c r="Y87" s="44"/>
      <c r="Z87" s="44"/>
    </row>
    <row r="88" spans="1:26" ht="15.75" customHeight="1">
      <c r="A88" s="44" t="s">
        <v>1207</v>
      </c>
      <c r="B88" s="44" t="s">
        <v>1208</v>
      </c>
      <c r="C88" s="44" t="s">
        <v>7317</v>
      </c>
      <c r="D88" s="44" t="s">
        <v>7350</v>
      </c>
      <c r="E88" s="44" t="s">
        <v>4129</v>
      </c>
      <c r="F88" s="44" t="s">
        <v>7463</v>
      </c>
      <c r="G88" s="44" t="s">
        <v>7325</v>
      </c>
      <c r="H88" s="44" t="s">
        <v>7464</v>
      </c>
      <c r="I88" s="44" t="s">
        <v>4076</v>
      </c>
      <c r="J88" s="44" t="s">
        <v>4207</v>
      </c>
      <c r="K88" s="44" t="s">
        <v>4106</v>
      </c>
      <c r="L88" s="44" t="s">
        <v>7465</v>
      </c>
      <c r="M88" s="44"/>
      <c r="N88" s="44"/>
      <c r="O88" s="44"/>
      <c r="P88" s="44"/>
      <c r="Q88" s="44"/>
      <c r="R88" s="44"/>
      <c r="S88" s="44"/>
      <c r="T88" s="44"/>
      <c r="U88" s="44"/>
      <c r="V88" s="44"/>
      <c r="W88" s="44"/>
      <c r="X88" s="44"/>
      <c r="Y88" s="44"/>
      <c r="Z88" s="44"/>
    </row>
    <row r="89" spans="1:26" ht="15.75" customHeight="1">
      <c r="A89" s="44" t="s">
        <v>1230</v>
      </c>
      <c r="B89" s="44" t="s">
        <v>1231</v>
      </c>
      <c r="C89" s="44" t="s">
        <v>7319</v>
      </c>
      <c r="D89" s="44" t="s">
        <v>7328</v>
      </c>
      <c r="E89" s="44" t="s">
        <v>4129</v>
      </c>
      <c r="F89" s="44" t="s">
        <v>7329</v>
      </c>
      <c r="G89" s="44" t="s">
        <v>7325</v>
      </c>
      <c r="H89" s="44" t="inlineStr">
        <is>
          <t xml:space="preserve">JPEG; BLUR; RESIZE; NOISE</t>
        </is>
      </c>
      <c r="I89" s="44" t="s">
        <v>4076</v>
      </c>
      <c r="J89" s="44" t="s">
        <v>4106</v>
      </c>
      <c r="K89" s="44" t="s">
        <v>4106</v>
      </c>
      <c r="L89" s="44" t="s">
        <v>7330</v>
      </c>
      <c r="M89" s="44"/>
      <c r="N89" s="44"/>
      <c r="O89" s="44"/>
      <c r="P89" s="44"/>
      <c r="Q89" s="44"/>
      <c r="R89" s="44"/>
      <c r="S89" s="44"/>
      <c r="T89" s="44"/>
      <c r="U89" s="44"/>
      <c r="V89" s="44"/>
      <c r="W89" s="44"/>
      <c r="X89" s="44"/>
      <c r="Y89" s="44"/>
      <c r="Z89" s="44"/>
    </row>
    <row r="90" spans="1:26" ht="15.75" customHeight="1">
      <c r="A90" s="44" t="s">
        <v>1236</v>
      </c>
      <c r="B90" s="44" t="s">
        <v>1237</v>
      </c>
      <c r="C90" s="44" t="s">
        <v>5753</v>
      </c>
      <c r="D90" s="44" t="s">
        <v>7331</v>
      </c>
      <c r="E90" s="44" t="s">
        <v>7458</v>
      </c>
      <c r="F90" s="44" t="s">
        <v>7352</v>
      </c>
      <c r="G90" s="44" t="s">
        <v>7325</v>
      </c>
      <c r="H90" s="44" t="s">
        <v>5390</v>
      </c>
      <c r="I90" s="44" t="s">
        <v>4076</v>
      </c>
      <c r="J90" s="44" t="s">
        <v>4106</v>
      </c>
      <c r="K90" s="44" t="s">
        <v>4106</v>
      </c>
      <c r="L90" s="44" t="s">
        <v>7460</v>
      </c>
      <c r="M90" s="44"/>
      <c r="N90" s="44"/>
      <c r="O90" s="44"/>
      <c r="P90" s="44"/>
      <c r="Q90" s="44"/>
      <c r="R90" s="44"/>
      <c r="S90" s="44"/>
      <c r="T90" s="44"/>
      <c r="U90" s="44"/>
      <c r="V90" s="44"/>
      <c r="W90" s="44"/>
      <c r="X90" s="44"/>
      <c r="Y90" s="44"/>
      <c r="Z90" s="44"/>
    </row>
    <row r="91" spans="1:26" ht="15.75" customHeight="1">
      <c r="A91" s="44" t="s">
        <v>1267</v>
      </c>
      <c r="B91" s="44" t="s">
        <v>1268</v>
      </c>
      <c r="C91" s="44" t="s">
        <v>7319</v>
      </c>
      <c r="D91" s="44" t="s">
        <v>7347</v>
      </c>
      <c r="E91" s="44" t="s">
        <v>4129</v>
      </c>
      <c r="F91" s="44" t="s">
        <v>7329</v>
      </c>
      <c r="G91" s="44" t="s">
        <v>7367</v>
      </c>
      <c r="H91" s="44" t="s">
        <v>4129</v>
      </c>
      <c r="I91" s="44" t="s">
        <v>4076</v>
      </c>
      <c r="J91" s="44" t="s">
        <v>4171</v>
      </c>
      <c r="K91" s="44" t="s">
        <v>4106</v>
      </c>
      <c r="L91" s="44" t="s">
        <v>7330</v>
      </c>
      <c r="M91" s="44"/>
      <c r="N91" s="44"/>
      <c r="O91" s="44"/>
      <c r="P91" s="44"/>
      <c r="Q91" s="44"/>
      <c r="R91" s="44"/>
      <c r="S91" s="44"/>
      <c r="T91" s="44"/>
      <c r="U91" s="44"/>
      <c r="V91" s="44"/>
      <c r="W91" s="44"/>
      <c r="X91" s="44"/>
      <c r="Y91" s="44"/>
      <c r="Z91" s="44"/>
    </row>
    <row r="92" spans="1:26" ht="15.75" customHeight="1">
      <c r="A92" s="44" t="s">
        <v>1281</v>
      </c>
      <c r="B92" s="44" t="s">
        <v>1282</v>
      </c>
      <c r="C92" s="44" t="s">
        <v>5753</v>
      </c>
      <c r="D92" s="44" t="s">
        <v>7331</v>
      </c>
      <c r="E92" s="44" t="s">
        <v>7337</v>
      </c>
      <c r="F92" s="44" t="s">
        <v>7394</v>
      </c>
      <c r="G92" s="44" t="s">
        <v>7466</v>
      </c>
      <c r="H92" s="44" t="s">
        <v>5390</v>
      </c>
      <c r="I92" s="44" t="s">
        <v>4076</v>
      </c>
      <c r="J92" s="44" t="s">
        <v>4171</v>
      </c>
      <c r="K92" s="44" t="s">
        <v>4106</v>
      </c>
      <c r="L92" s="44" t="s">
        <v>7338</v>
      </c>
      <c r="M92" s="44"/>
      <c r="N92" s="44"/>
      <c r="O92" s="44"/>
      <c r="P92" s="44"/>
      <c r="Q92" s="44"/>
      <c r="R92" s="44"/>
      <c r="S92" s="44"/>
      <c r="T92" s="44"/>
      <c r="U92" s="44"/>
      <c r="V92" s="44"/>
      <c r="W92" s="44"/>
      <c r="X92" s="44"/>
      <c r="Y92" s="44"/>
      <c r="Z92" s="44"/>
    </row>
    <row r="93" spans="1:26" ht="15.75" customHeight="1">
      <c r="A93" s="44" t="s">
        <v>1289</v>
      </c>
      <c r="B93" s="44" t="s">
        <v>1290</v>
      </c>
      <c r="C93" s="44" t="s">
        <v>7319</v>
      </c>
      <c r="D93" s="44" t="s">
        <v>7328</v>
      </c>
      <c r="E93" s="44" t="s">
        <v>7467</v>
      </c>
      <c r="F93" s="44" t="s">
        <v>7391</v>
      </c>
      <c r="G93" s="44" t="s">
        <v>7348</v>
      </c>
      <c r="H93" s="44" t="s">
        <v>7362</v>
      </c>
      <c r="I93" s="44" t="s">
        <v>4076</v>
      </c>
      <c r="J93" s="44" t="s">
        <v>4138</v>
      </c>
      <c r="K93" s="44" t="s">
        <v>4171</v>
      </c>
      <c r="L93" s="44" t="s">
        <v>7468</v>
      </c>
      <c r="M93" s="44"/>
      <c r="N93" s="44"/>
      <c r="O93" s="44"/>
      <c r="P93" s="44"/>
      <c r="Q93" s="44"/>
      <c r="R93" s="44"/>
      <c r="S93" s="44"/>
      <c r="T93" s="44"/>
      <c r="U93" s="44"/>
      <c r="V93" s="44"/>
      <c r="W93" s="44"/>
      <c r="X93" s="44"/>
      <c r="Y93" s="44"/>
      <c r="Z93" s="44"/>
    </row>
    <row r="94" spans="1:26" ht="15.75" customHeight="1">
      <c r="A94" s="44" t="s">
        <v>1819</v>
      </c>
      <c r="B94" s="44" t="s">
        <v>1820</v>
      </c>
      <c r="C94" s="44" t="s">
        <v>7319</v>
      </c>
      <c r="D94" s="44" t="s">
        <v>7328</v>
      </c>
      <c r="E94" s="44" t="s">
        <v>7429</v>
      </c>
      <c r="F94" s="44" t="s">
        <v>7388</v>
      </c>
      <c r="G94" s="44" t="s">
        <v>7375</v>
      </c>
      <c r="H94" s="44" t="s">
        <v>7355</v>
      </c>
      <c r="I94" s="44" t="s">
        <v>4588</v>
      </c>
      <c r="J94" s="44" t="s">
        <v>4106</v>
      </c>
      <c r="K94" s="44" t="s">
        <v>4171</v>
      </c>
      <c r="L94" s="44" t="s">
        <v>7430</v>
      </c>
      <c r="M94" s="44"/>
      <c r="N94" s="44"/>
      <c r="O94" s="44"/>
      <c r="P94" s="44"/>
      <c r="Q94" s="44"/>
      <c r="R94" s="44"/>
      <c r="S94" s="44"/>
      <c r="T94" s="44"/>
      <c r="U94" s="44"/>
      <c r="V94" s="44"/>
      <c r="W94" s="44"/>
      <c r="X94" s="44"/>
      <c r="Y94" s="44"/>
      <c r="Z94" s="44"/>
    </row>
    <row r="95" spans="1:26" ht="15.75" customHeight="1">
      <c r="A95" s="44" t="s">
        <v>1923</v>
      </c>
      <c r="B95" s="44" t="s">
        <v>1924</v>
      </c>
      <c r="C95" s="44" t="s">
        <v>5753</v>
      </c>
      <c r="D95" s="44" t="s">
        <v>7331</v>
      </c>
      <c r="E95" s="44" t="s">
        <v>7343</v>
      </c>
      <c r="F95" s="44" t="s">
        <v>7344</v>
      </c>
      <c r="G95" s="44" t="s">
        <v>7325</v>
      </c>
      <c r="H95" s="44" t="inlineStr">
        <is>
          <t xml:space="preserve">JPEG; RESIZE; OTHER</t>
        </is>
      </c>
      <c r="I95" s="44" t="s">
        <v>5390</v>
      </c>
      <c r="J95" s="44" t="s">
        <v>4106</v>
      </c>
      <c r="K95" s="44" t="s">
        <v>4106</v>
      </c>
      <c r="L95" s="44" t="s">
        <v>7346</v>
      </c>
      <c r="M95" s="44"/>
      <c r="N95" s="44"/>
      <c r="O95" s="44"/>
      <c r="P95" s="44"/>
      <c r="Q95" s="44"/>
      <c r="R95" s="44"/>
      <c r="S95" s="44"/>
      <c r="T95" s="44"/>
      <c r="U95" s="44"/>
      <c r="V95" s="44"/>
      <c r="W95" s="44"/>
      <c r="X95" s="44"/>
      <c r="Y95" s="44"/>
      <c r="Z95" s="44"/>
    </row>
    <row r="96" spans="1:26" ht="15.75" customHeight="1">
      <c r="A96" s="44" t="s">
        <v>2047</v>
      </c>
      <c r="B96" s="44" t="s">
        <v>2048</v>
      </c>
      <c r="C96" s="44" t="s">
        <v>7319</v>
      </c>
      <c r="D96" s="44" t="s">
        <v>7328</v>
      </c>
      <c r="E96" s="44" t="s">
        <v>7469</v>
      </c>
      <c r="F96" s="44" t="s">
        <v>7383</v>
      </c>
      <c r="G96" s="44" t="s">
        <v>7375</v>
      </c>
      <c r="H96" s="44" t="s">
        <v>7448</v>
      </c>
      <c r="I96" s="44" t="s">
        <v>5390</v>
      </c>
      <c r="J96" s="44" t="s">
        <v>4171</v>
      </c>
      <c r="K96" s="44" t="s">
        <v>4171</v>
      </c>
      <c r="L96" s="44" t="s">
        <v>7470</v>
      </c>
      <c r="M96" s="44"/>
      <c r="N96" s="44"/>
      <c r="O96" s="44"/>
      <c r="P96" s="44"/>
      <c r="Q96" s="44"/>
      <c r="R96" s="44"/>
      <c r="S96" s="44"/>
      <c r="T96" s="44"/>
      <c r="U96" s="44"/>
      <c r="V96" s="44"/>
      <c r="W96" s="44"/>
      <c r="X96" s="44"/>
      <c r="Y96" s="44"/>
      <c r="Z96" s="44"/>
    </row>
    <row r="97" spans="1:26" ht="15.75" customHeight="1">
      <c r="A97" s="44" t="s">
        <v>2162</v>
      </c>
      <c r="B97" s="44" t="s">
        <v>2163</v>
      </c>
      <c r="C97" s="44" t="s">
        <v>5753</v>
      </c>
      <c r="D97" s="44" t="s">
        <v>7331</v>
      </c>
      <c r="E97" s="44" t="s">
        <v>7471</v>
      </c>
      <c r="F97" s="44" t="s">
        <v>7352</v>
      </c>
      <c r="G97" s="44" t="s">
        <v>7348</v>
      </c>
      <c r="H97" s="44" t="s">
        <v>5390</v>
      </c>
      <c r="I97" s="44" t="s">
        <v>5390</v>
      </c>
      <c r="J97" s="44" t="s">
        <v>4171</v>
      </c>
      <c r="K97" s="44" t="s">
        <v>4106</v>
      </c>
      <c r="L97" s="44" t="s">
        <v>7472</v>
      </c>
      <c r="M97" s="44"/>
      <c r="N97" s="44"/>
      <c r="O97" s="44"/>
      <c r="P97" s="44"/>
      <c r="Q97" s="44"/>
      <c r="R97" s="44"/>
      <c r="S97" s="44"/>
      <c r="T97" s="44"/>
      <c r="U97" s="44"/>
      <c r="V97" s="44"/>
      <c r="W97" s="44"/>
      <c r="X97" s="44"/>
      <c r="Y97" s="44"/>
      <c r="Z97" s="44"/>
    </row>
    <row r="98" spans="1:26" ht="15.75" customHeight="1">
      <c r="A98" s="44" t="s">
        <v>2353</v>
      </c>
      <c r="B98" s="44" t="s">
        <v>2354</v>
      </c>
      <c r="C98" s="44" t="s">
        <v>5753</v>
      </c>
      <c r="D98" s="44" t="s">
        <v>7331</v>
      </c>
      <c r="E98" s="44" t="s">
        <v>7337</v>
      </c>
      <c r="F98" s="44" t="s">
        <v>7394</v>
      </c>
      <c r="G98" s="44" t="s">
        <v>7325</v>
      </c>
      <c r="H98" s="44" t="s">
        <v>7473</v>
      </c>
      <c r="I98" s="44" t="s">
        <v>4076</v>
      </c>
      <c r="J98" s="44" t="s">
        <v>4207</v>
      </c>
      <c r="K98" s="44" t="s">
        <v>4106</v>
      </c>
      <c r="L98" s="44" t="s">
        <v>7474</v>
      </c>
      <c r="M98" s="44"/>
      <c r="N98" s="44"/>
      <c r="O98" s="44"/>
      <c r="P98" s="44"/>
      <c r="Q98" s="44"/>
      <c r="R98" s="44"/>
      <c r="S98" s="44"/>
      <c r="T98" s="44"/>
      <c r="U98" s="44"/>
      <c r="V98" s="44"/>
      <c r="W98" s="44"/>
      <c r="X98" s="44"/>
      <c r="Y98" s="44"/>
      <c r="Z98" s="44"/>
    </row>
    <row r="99" spans="1:26" ht="15.75" customHeight="1">
      <c r="A99" s="44" t="s">
        <v>2405</v>
      </c>
      <c r="B99" s="44" t="s">
        <v>2406</v>
      </c>
      <c r="C99" s="44" t="s">
        <v>7319</v>
      </c>
      <c r="D99" s="44" t="s">
        <v>7347</v>
      </c>
      <c r="E99" s="44" t="s">
        <v>7475</v>
      </c>
      <c r="F99" s="44" t="s">
        <v>7352</v>
      </c>
      <c r="G99" s="44" t="s">
        <v>7356</v>
      </c>
      <c r="H99" s="44" t="s">
        <v>5390</v>
      </c>
      <c r="I99" s="44" t="s">
        <v>5390</v>
      </c>
      <c r="J99" s="44" t="s">
        <v>4171</v>
      </c>
      <c r="K99" s="44" t="s">
        <v>4171</v>
      </c>
      <c r="L99" s="44" t="s">
        <v>7476</v>
      </c>
      <c r="M99" s="44"/>
      <c r="N99" s="44"/>
      <c r="O99" s="44"/>
      <c r="P99" s="44"/>
      <c r="Q99" s="44"/>
      <c r="R99" s="44"/>
      <c r="S99" s="44"/>
      <c r="T99" s="44"/>
      <c r="U99" s="44"/>
      <c r="V99" s="44"/>
      <c r="W99" s="44"/>
      <c r="X99" s="44"/>
      <c r="Y99" s="44"/>
      <c r="Z99" s="44"/>
    </row>
    <row r="100" spans="1:26" ht="15.75" customHeight="1">
      <c r="A100" s="44" t="s">
        <v>2491</v>
      </c>
      <c r="B100" s="44" t="s">
        <v>2492</v>
      </c>
      <c r="C100" s="44" t="s">
        <v>7319</v>
      </c>
      <c r="D100" s="44" t="s">
        <v>7328</v>
      </c>
      <c r="E100" s="44" t="s">
        <v>7386</v>
      </c>
      <c r="F100" s="44" t="s">
        <v>7344</v>
      </c>
      <c r="G100" s="44" t="s">
        <v>7356</v>
      </c>
      <c r="H100" s="44" t="s">
        <v>7448</v>
      </c>
      <c r="I100" s="44" t="s">
        <v>4867</v>
      </c>
      <c r="J100" s="44" t="s">
        <v>4171</v>
      </c>
      <c r="K100" s="44" t="s">
        <v>4106</v>
      </c>
      <c r="L100" s="44" t="s">
        <v>7477</v>
      </c>
      <c r="M100" s="44"/>
      <c r="N100" s="44"/>
      <c r="O100" s="44"/>
      <c r="P100" s="44"/>
      <c r="Q100" s="44"/>
      <c r="R100" s="44"/>
      <c r="S100" s="44"/>
      <c r="T100" s="44"/>
      <c r="U100" s="44"/>
      <c r="V100" s="44"/>
      <c r="W100" s="44"/>
      <c r="X100" s="44"/>
      <c r="Y100" s="44"/>
      <c r="Z100" s="44"/>
    </row>
    <row r="101" spans="1:26" ht="15.75" customHeight="1">
      <c r="A101" s="44" t="s">
        <v>2520</v>
      </c>
      <c r="B101" s="44" t="s">
        <v>2521</v>
      </c>
      <c r="C101" s="44" t="s">
        <v>7317</v>
      </c>
      <c r="D101" s="44" t="s">
        <v>7350</v>
      </c>
      <c r="E101" s="44" t="s">
        <v>7319</v>
      </c>
      <c r="F101" s="44" t="s">
        <v>7478</v>
      </c>
      <c r="G101" s="44" t="s">
        <v>7375</v>
      </c>
      <c r="H101" s="44" t="s">
        <v>7423</v>
      </c>
      <c r="I101" s="44" t="s">
        <v>5390</v>
      </c>
      <c r="J101" s="44" t="s">
        <v>4106</v>
      </c>
      <c r="K101" s="44" t="s">
        <v>4106</v>
      </c>
      <c r="L101" s="44" t="s">
        <v>7322</v>
      </c>
      <c r="M101" s="44"/>
      <c r="N101" s="44"/>
      <c r="O101" s="44"/>
      <c r="P101" s="44"/>
      <c r="Q101" s="44"/>
      <c r="R101" s="44"/>
      <c r="S101" s="44"/>
      <c r="T101" s="44"/>
      <c r="U101" s="44"/>
      <c r="V101" s="44"/>
      <c r="W101" s="44"/>
      <c r="X101" s="44"/>
      <c r="Y101" s="44"/>
      <c r="Z101" s="44"/>
    </row>
    <row r="102" spans="1:26" ht="15.75" customHeight="1">
      <c r="A102" s="44" t="s">
        <v>2665</v>
      </c>
      <c r="B102" s="44" t="s">
        <v>2666</v>
      </c>
      <c r="C102" s="44" t="s">
        <v>7339</v>
      </c>
      <c r="D102" s="44" t="s">
        <v>7370</v>
      </c>
      <c r="E102" s="44" t="s">
        <v>7323</v>
      </c>
      <c r="F102" s="44" t="s">
        <v>7383</v>
      </c>
      <c r="G102" s="44" t="s">
        <v>7375</v>
      </c>
      <c r="H102" s="44" t="s">
        <v>7417</v>
      </c>
      <c r="I102" s="44" t="s">
        <v>5390</v>
      </c>
      <c r="J102" s="44" t="s">
        <v>4106</v>
      </c>
      <c r="K102" s="44" t="s">
        <v>4106</v>
      </c>
      <c r="L102" s="44" t="s">
        <v>7479</v>
      </c>
      <c r="M102" s="44"/>
      <c r="N102" s="44"/>
      <c r="O102" s="44"/>
      <c r="P102" s="44"/>
      <c r="Q102" s="44"/>
      <c r="R102" s="44"/>
      <c r="S102" s="44"/>
      <c r="T102" s="44"/>
      <c r="U102" s="44"/>
      <c r="V102" s="44"/>
      <c r="W102" s="44"/>
      <c r="X102" s="44"/>
      <c r="Y102" s="44"/>
      <c r="Z102" s="44"/>
    </row>
    <row r="103" spans="1:26" ht="15.7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spans="1:26" ht="15.7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spans="1:26" ht="15.7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spans="1:26" ht="15.7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spans="1:26" ht="15.7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spans="1:26" ht="15.7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spans="1:26" ht="15.7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spans="1:26" ht="15.7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spans="1:26" ht="15.7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spans="1:26" ht="15.7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spans="1:26" ht="15.7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spans="1:26" ht="15.7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spans="1:26" ht="15.7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spans="1:26" ht="15.7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spans="1:26" ht="15.7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spans="1:26" ht="15.7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spans="1:26" ht="15.7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spans="1:26" ht="15.7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spans="1:26" ht="15.7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spans="1:26" ht="15.7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spans="1:26" ht="15.7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spans="1:26" ht="15.7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spans="1:26" ht="15.7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spans="1:26" ht="15.7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spans="1:26" ht="15.7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spans="1:26" ht="15.7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spans="1:26" ht="15.7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spans="1:26" ht="15.7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spans="1:26" ht="15.7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spans="1:26" ht="15.7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spans="1:26" ht="15.7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spans="1:26" ht="15.7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spans="1:26" ht="15.7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spans="1:26" ht="15.7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spans="1:26" ht="15.7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spans="1:26" ht="15.7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spans="1:26" ht="15.7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spans="1:26" ht="15.7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spans="1:26" ht="15.7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spans="1:26" ht="15.7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spans="1:26" ht="15.7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spans="1:26" ht="15.7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spans="1:26" ht="15.7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spans="1:26" ht="15.7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spans="1:26" ht="15.7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spans="1:26" ht="15.7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spans="1:26" ht="15.7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spans="1:26" ht="15.7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spans="1:26" ht="15.7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spans="1:26" ht="15.7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spans="1:26" ht="15.7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spans="1:26" ht="15.7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spans="1:26" ht="15.7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spans="1:26" ht="15.7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spans="1:26" ht="15.7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spans="1:26" ht="15.7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spans="1:26" ht="15.7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spans="1:26" ht="15.7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spans="1:26" ht="15.7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spans="1:26" ht="15.7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spans="1:26" ht="15.7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spans="1:26" ht="15.7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spans="1:26" ht="15.7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spans="1:26" ht="15.7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spans="1:26" ht="15.7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spans="1:26" ht="15.7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spans="1:26" ht="15.7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spans="1:26" ht="15.7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spans="1:26" ht="15.7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spans="1:26" ht="15.7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spans="1:26" ht="15.7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spans="1:26" ht="15.7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spans="1:26" ht="15.7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spans="1:26" ht="15.7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spans="1:26" ht="15.7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spans="1:26" ht="15.7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spans="1:26" ht="15.7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spans="1:26" ht="15.7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spans="1:26" ht="15.7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spans="1:26" ht="15.7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spans="1:26" ht="15.7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spans="1:26" ht="15.7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spans="1:26" ht="15.7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spans="1:26" ht="15.7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spans="1:26" ht="15.7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spans="1:26" ht="15.7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spans="1:26" ht="15.7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spans="1:26" ht="15.7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spans="1:26" ht="15.7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spans="1:26" ht="15.7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spans="1:26" ht="15.7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spans="1:26" ht="15.7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spans="1:26" ht="15.7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spans="1:26" ht="15.7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spans="1:26" ht="15.7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spans="1:26" ht="15.7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spans="1:26" ht="15.7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spans="1:26" ht="15.7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spans="1:26" ht="15.75" customHeight="1"/>
    <row r="202" spans="1:26" ht="15.75" customHeight="1"/>
    <row r="203" spans="1:26" ht="15.75" customHeight="1"/>
    <row r="204" spans="1:26" ht="15.75" customHeight="1"/>
    <row r="205" spans="1:26" ht="15.75" customHeight="1"/>
    <row r="206" spans="1:26" ht="15.75" customHeight="1"/>
    <row r="207" spans="1:26" ht="15.75" customHeight="1"/>
    <row r="208" spans="1:26"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L1"/>
  </mergeCells>
  <conditionalFormatting sqref="K4:K102">
    <cfRule type="expression" dxfId="5" priority="1">
      <formula>K4="HIGH"</formula>
    </cfRule>
    <cfRule type="expression" dxfId="4" priority="2">
      <formula>K4="MODERATE"</formula>
    </cfRule>
    <cfRule type="expression" dxfId="3" priority="3">
      <formula>K4="NEEDS REVIEW"</formula>
    </cfRule>
  </conditionalFormatting>
  <dataValidations count="4">
    <dataValidation type="list" allowBlank="1" showErrorMessage="1" errorTitle="Controlled vocabulary" error="Use a value from the protocol's controlled vocabulary." sqref="C4:C400" xr:uid="{00000000-0002-0000-1B00-000000000000}">
      <formula1>"SPATIAL / VISUAL ARTIFACT,FREQUENCY / SPECTRAL,NOISE / RESIDUAL FORENSIC,SOURCE / FINGERPRINT FORENSIC,SEMANTIC / FOUNDATION-MODEL,RECONSTRUCTION / INVERSION,GEOMETRY / PHYSICAL CUES,HYBRID / MULTI-CUE"</formula1>
    </dataValidation>
    <dataValidation type="list" allowBlank="1" showErrorMessage="1" errorTitle="Controlled vocabulary" error="Use a value from the protocol's controlled vocabulary." sqref="I4:I400" xr:uid="{00000000-0002-0000-1B00-000001000000}">
      <formula1>"DETECTION,ATTRIBUTION,LOCALIZATION,DETECTION+ATTRIBUTION,DETECTION+LOCALIZATION,BENCHMARK,ROBUSTNESS,OTHER"</formula1>
    </dataValidation>
    <dataValidation type="list" allowBlank="1" showErrorMessage="1" errorTitle="Controlled vocabulary" error="Use a value from the protocol's controlled vocabulary." sqref="J4:J400" xr:uid="{00000000-0002-0000-1B00-000002000000}">
      <formula1>"VERY HIGH,HIGH,MODERATE,LOW"</formula1>
    </dataValidation>
    <dataValidation type="list" allowBlank="1" showErrorMessage="1" errorTitle="Controlled vocabulary" error="Use a value from the protocol's controlled vocabulary." sqref="K4:K400" xr:uid="{00000000-0002-0000-1B00-000003000000}">
      <formula1>"PENDING,HIGH,MODERATE,LOW,NEEDS REVIEW"</formula1>
    </dataValidation>
  </dataValidation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320"/>
  <sheetViews>
    <sheetView workbookViewId="0"/>
  </sheetViews>
  <sheetFormatPr baseColWidth="10" defaultColWidth="8.83203125" defaultRowHeight="13"/>
  <cols>
    <col min="1" max="1" width="46" customWidth="1"/>
    <col min="2" max="4" width="14" customWidth="1"/>
    <col min="5" max="5" width="50" customWidth="1"/>
    <col min="6" max="10" width="14" customWidth="1"/>
  </cols>
  <sheetData>
    <row r="1" spans="1:5" ht="17">
      <c r="A1" s="54" t="s">
        <v>7480</v>
      </c>
    </row>
    <row r="2" spans="1:5">
      <c r="A2" t="s">
        <v>7481</v>
      </c>
    </row>
    <row r="3" spans="1:5">
      <c r="A3" s="55" t="s">
        <v>7482</v>
      </c>
      <c r="B3" s="55" t="s">
        <v>7483</v>
      </c>
      <c r="C3" s="55" t="s">
        <v>7484</v>
      </c>
      <c r="D3" s="55" t="s">
        <v>7094</v>
      </c>
      <c r="E3" s="55" t="s">
        <v>7485</v>
      </c>
    </row>
    <row r="4" spans="1:5">
      <c r="A4" t="s">
        <v>7486</v>
      </c>
      <c r="B4">
        <f>COUNTIF('06_Full_Text_Screening'!$J:$J,"INCLUDE")</f>
        <v>99</v>
      </c>
      <c r="C4">
        <f>COUNTA('10_Analysis_Ready'!$A$4:$A$400)</f>
        <v>99</v>
      </c>
      <c r="D4" t="str">
        <f t="shared" ref="D4:D15" si="0">IF(B4=C4,"PASS","FAIL")</f>
        <v>PASS</v>
      </c>
      <c r="E4" t="s">
        <v>7487</v>
      </c>
    </row>
    <row r="5" spans="1:5">
      <c r="A5" t="s">
        <v>7488</v>
      </c>
      <c r="B5">
        <f>COUNTA('28_Taxonomy_Coding'!$A$4:$A$400)</f>
        <v>99</v>
      </c>
      <c r="C5">
        <f>COUNTA('10_Analysis_Ready'!$A$4:$A$400)</f>
        <v>99</v>
      </c>
      <c r="D5" t="str">
        <f t="shared" si="0"/>
        <v>PASS</v>
      </c>
      <c r="E5" t="s">
        <v>7489</v>
      </c>
    </row>
    <row r="6" spans="1:5">
      <c r="A6" t="s">
        <v>7490</v>
      </c>
      <c r="B6">
        <f>SUMPRODUCT(('10_Analysis_Ready'!$A$4:$A$400&lt;&gt;"")*(COUNTIF('10_Analysis_Ready'!$A$4:$A$400,'10_Analysis_Ready'!$A$4:$A$400)&gt;1))</f>
        <v>0</v>
      </c>
      <c r="C6">
        <v>0</v>
      </c>
      <c r="D6" t="str">
        <f t="shared" si="0"/>
        <v>PASS</v>
      </c>
      <c r="E6" t="s">
        <v>7491</v>
      </c>
    </row>
    <row r="7" spans="1:5">
      <c r="A7" t="s">
        <v>7492</v>
      </c>
      <c r="B7">
        <f>SUMPRODUCT(('06_Full_Text_Screening'!$A$2:$A$400&lt;&gt;"")*(COUNTIF('06_Full_Text_Screening'!$A$2:$A$400,'06_Full_Text_Screening'!$A$2:$A$400)&gt;1))</f>
        <v>0</v>
      </c>
      <c r="C7">
        <v>0</v>
      </c>
      <c r="D7" t="str">
        <f t="shared" si="0"/>
        <v>PASS</v>
      </c>
      <c r="E7" t="s">
        <v>7491</v>
      </c>
    </row>
    <row r="8" spans="1:5">
      <c r="A8" t="s">
        <v>7493</v>
      </c>
      <c r="B8">
        <f>COUNTIF('06_Full_Text_Screening'!$A:$A,"R0*")</f>
        <v>145</v>
      </c>
      <c r="C8">
        <f>COUNTIF('05_Title_Abstract_Screening'!$G:$G,"INCLUDE")</f>
        <v>145</v>
      </c>
      <c r="D8" t="str">
        <f t="shared" si="0"/>
        <v>PASS</v>
      </c>
      <c r="E8" t="s">
        <v>7494</v>
      </c>
    </row>
    <row r="9" spans="1:5">
      <c r="A9" t="s">
        <v>7495</v>
      </c>
      <c r="B9">
        <f>COUNTIFS('06_Full_Text_Screening'!$J:$J,"EXCLUDE",'06_Full_Text_Screening'!$K:$K,"")</f>
        <v>0</v>
      </c>
      <c r="C9">
        <v>0</v>
      </c>
      <c r="D9" t="str">
        <f t="shared" si="0"/>
        <v>PASS</v>
      </c>
      <c r="E9" t="s">
        <v>7496</v>
      </c>
    </row>
    <row r="10" spans="1:5">
      <c r="A10" t="s">
        <v>7497</v>
      </c>
      <c r="B10">
        <f>COUNTIFS('06_Full_Text_Screening'!$J:$J,"INCLUDE",'06_Full_Text_Screening'!$F:$F,"&lt;&gt;RETRIEVED")</f>
        <v>0</v>
      </c>
      <c r="C10">
        <v>0</v>
      </c>
      <c r="D10" t="str">
        <f t="shared" si="0"/>
        <v>PASS</v>
      </c>
      <c r="E10" t="s">
        <v>7498</v>
      </c>
    </row>
    <row r="11" spans="1:5">
      <c r="A11" t="s">
        <v>7499</v>
      </c>
      <c r="B11">
        <f>COUNTIFS('06_Full_Text_Screening'!$F:$F,"RETRIEVED",'06_Full_Text_Screening'!$J:$J,"")</f>
        <v>0</v>
      </c>
      <c r="C11">
        <v>0</v>
      </c>
      <c r="D11" t="str">
        <f t="shared" si="0"/>
        <v>PASS</v>
      </c>
      <c r="E11" t="s">
        <v>7500</v>
      </c>
    </row>
    <row r="12" spans="1:5">
      <c r="A12" t="s">
        <v>7501</v>
      </c>
      <c r="B12">
        <f>COUNTIF('06_Full_Text_Screening'!$F:$F,"Not retrieved")+COUNTIF('06_Full_Text_Screening'!$F:$F,"RETRIEVED")</f>
        <v>145</v>
      </c>
      <c r="C12">
        <f>COUNTIF('06_Full_Text_Screening'!$A:$A,"R0*")</f>
        <v>145</v>
      </c>
      <c r="D12" t="str">
        <f t="shared" si="0"/>
        <v>PASS</v>
      </c>
      <c r="E12" t="s">
        <v>7502</v>
      </c>
    </row>
    <row r="13" spans="1:5">
      <c r="A13" t="s">
        <v>7503</v>
      </c>
      <c r="B13">
        <f>COUNTIF('06_Full_Text_Screening'!$J:$J,"INCLUDE")+COUNTIF('06_Full_Text_Screening'!$J:$J,"EXCLUDE")</f>
        <v>106</v>
      </c>
      <c r="C13">
        <f>COUNTIF('06_Full_Text_Screening'!$F:$F,"RETRIEVED")</f>
        <v>106</v>
      </c>
      <c r="D13" t="str">
        <f t="shared" si="0"/>
        <v>PASS</v>
      </c>
      <c r="E13" t="s">
        <v>7502</v>
      </c>
    </row>
    <row r="14" spans="1:5">
      <c r="A14" t="s">
        <v>7504</v>
      </c>
      <c r="B14">
        <f>SUM($C$21:$J$320)</f>
        <v>0</v>
      </c>
      <c r="C14">
        <v>0</v>
      </c>
      <c r="D14" t="str">
        <f t="shared" si="0"/>
        <v>PASS</v>
      </c>
      <c r="E14" t="s">
        <v>7505</v>
      </c>
    </row>
    <row r="15" spans="1:5">
      <c r="A15" t="s">
        <v>7506</v>
      </c>
      <c r="B15">
        <f>SUMPRODUCT(('05_Title_Abstract_Screening'!$G$2:$G$400="EXCLUDE")*ISERROR(SEARCH("EC",'05_Title_Abstract_Screening'!$H$2:$H$400)))</f>
        <v>0</v>
      </c>
      <c r="C15">
        <v>0</v>
      </c>
      <c r="D15" t="str">
        <f t="shared" si="0"/>
        <v>PASS</v>
      </c>
      <c r="E15" t="s">
        <v>7507</v>
      </c>
    </row>
    <row r="20" spans="1:10" ht="42">
      <c r="A20" s="56" t="s">
        <v>7508</v>
      </c>
      <c r="B20" s="56" t="s">
        <v>7509</v>
      </c>
      <c r="C20" s="56" t="s">
        <v>7510</v>
      </c>
      <c r="D20" s="56" t="s">
        <v>7511</v>
      </c>
      <c r="E20" s="56" t="s">
        <v>7512</v>
      </c>
      <c r="F20" s="56" t="s">
        <v>7513</v>
      </c>
      <c r="G20" s="56" t="s">
        <v>7514</v>
      </c>
      <c r="H20" s="56" t="s">
        <v>7515</v>
      </c>
      <c r="I20" s="56" t="s">
        <v>7516</v>
      </c>
      <c r="J20" s="56" t="s">
        <v>7517</v>
      </c>
    </row>
    <row r="21" spans="1:10">
      <c r="A21">
        <v>4</v>
      </c>
      <c r="B21" t="str">
        <f>IF('10_Analysis_Ready'!$A$4="","",'10_Analysis_Ready'!$A$4)</f>
        <v>R0001</v>
      </c>
      <c r="C21">
        <f>IF('10_Analysis_Ready'!$A$4="",0,IF(AND('28_Taxonomy_Coding'!$A$4='10_Analysis_Ready'!$A$4,'14_Generalization_Map'!$A$4='10_Analysis_Ready'!$A$4),0,1))</f>
        <v>0</v>
      </c>
      <c r="D21">
        <f>IF('10_Analysis_Ready'!$A$4="",0,IF(COUNTIFS('06_Full_Text_Screening'!$A:$A,'10_Analysis_Ready'!$A$4,'06_Full_Text_Screening'!$J:$J,"INCLUDE")=1,0,1))</f>
        <v>0</v>
      </c>
      <c r="E21">
        <f>IF('10_Analysis_Ready'!$A$4="",0,IF(OR(AND(((OR('10_Analysis_Ready'!$AG$4="YES",'10_Analysis_Ready'!$AH$4="YES"))*1+('10_Analysis_Ready'!$AI$4="YES")+('10_Analysis_Ready'!$AJ$4="YES")+('10_Analysis_Ready'!$AK$4="YES")+('10_Analysis_Ready'!$AL$4="YES"))=0,'10_Analysis_Ready'!$AF$4&lt;&gt;"NONE"),AND(((OR('10_Analysis_Ready'!$AG$4="YES",'10_Analysis_Ready'!$AH$4="YES"))*1+('10_Analysis_Ready'!$AI$4="YES")+('10_Analysis_Ready'!$AJ$4="YES")+('10_Analysis_Ready'!$AK$4="YES")+('10_Analysis_Ready'!$AL$4="YES"))=1,OR('10_Analysis_Ready'!$AF$4="NONE",'10_Analysis_Ready'!$AF$4="MULTIPLE")),AND(((OR('10_Analysis_Ready'!$AG$4="YES",'10_Analysis_Ready'!$AH$4="YES"))*1+('10_Analysis_Ready'!$AI$4="YES")+('10_Analysis_Ready'!$AJ$4="YES")+('10_Analysis_Ready'!$AK$4="YES")+('10_Analysis_Ready'!$AL$4="YES"))&gt;=2,'10_Analysis_Ready'!$AF$4&lt;&gt;"MULTIPLE")),1,0))</f>
        <v>0</v>
      </c>
      <c r="F21">
        <f>IF('10_Analysis_Ready'!$A$4="",0,IF(AND('10_Analysis_Ready'!$AO$4="NO",COUNTIF('10_Analysis_Ready'!$AP$4:$AU$4,"YES")&gt;0),1,0))</f>
        <v>0</v>
      </c>
      <c r="G21">
        <f>IF('10_Analysis_Ready'!$A$4="",0,IF(OR(AND('10_Analysis_Ready'!$Y$4="GAN",'10_Analysis_Ready'!$AA$4="YES"),AND('10_Analysis_Ready'!$Y$4="DIFFUSION",'10_Analysis_Ready'!$Z$4="YES"),AND('10_Analysis_Ready'!$Y$4="GAN+DIFFUSION",OR('10_Analysis_Ready'!$Z$4&lt;&gt;"YES",'10_Analysis_Ready'!$AA$4&lt;&gt;"YES"))),1,0))</f>
        <v>0</v>
      </c>
      <c r="H21">
        <f>IF('10_Analysis_Ready'!$A$4="",0,IF(OR(AND('10_Analysis_Ready'!$BJ$4="NO",OR('10_Analysis_Ready'!$BK$4="HIGH",'10_Analysis_Ready'!$BK$4="VERY HIGH")),AND(((OR('10_Analysis_Ready'!$AG$4="YES",'10_Analysis_Ready'!$AH$4="YES"))*1+('10_Analysis_Ready'!$AI$4="YES")+('10_Analysis_Ready'!$AJ$4="YES")+('10_Analysis_Ready'!$AK$4="YES")+('10_Analysis_Ready'!$AL$4="YES"))=0,'10_Analysis_Ready'!$BJ$4="YES")),1,0))</f>
        <v>0</v>
      </c>
      <c r="I21">
        <f>IF('10_Analysis_Ready'!$A$4="",0,IF(AND(((OR('10_Analysis_Ready'!$AG$4="YES",'10_Analysis_Ready'!$AH$4="YES"))*1+('10_Analysis_Ready'!$AI$4="YES")+('10_Analysis_Ready'!$AJ$4="YES")+('10_Analysis_Ready'!$AK$4="YES")+('10_Analysis_Ready'!$AL$4="YES"))=0,'10_Analysis_Ready'!$AM$4&lt;&gt;"N/A"),1,0))</f>
        <v>0</v>
      </c>
      <c r="J21">
        <f>IF('10_Analysis_Ready'!$A$4="",0,IF(('28_Taxonomy_Coding'!$G$4="NONE")&lt;&gt;(((OR('10_Analysis_Ready'!$AG$4="YES",'10_Analysis_Ready'!$AH$4="YES"))*1+('10_Analysis_Ready'!$AI$4="YES")+('10_Analysis_Ready'!$AJ$4="YES")+('10_Analysis_Ready'!$AK$4="YES")+('10_Analysis_Ready'!$AL$4="YES"))=0),1,0))</f>
        <v>0</v>
      </c>
    </row>
    <row r="22" spans="1:10">
      <c r="A22">
        <v>5</v>
      </c>
      <c r="B22" t="str">
        <f>IF('10_Analysis_Ready'!$A$5="","",'10_Analysis_Ready'!$A$5)</f>
        <v>R0002</v>
      </c>
      <c r="C22">
        <f>IF('10_Analysis_Ready'!$A$5="",0,IF(AND('28_Taxonomy_Coding'!$A$5='10_Analysis_Ready'!$A$5,'14_Generalization_Map'!$A$5='10_Analysis_Ready'!$A$5),0,1))</f>
        <v>0</v>
      </c>
      <c r="D22">
        <f>IF('10_Analysis_Ready'!$A$5="",0,IF(COUNTIFS('06_Full_Text_Screening'!$A:$A,'10_Analysis_Ready'!$A$5,'06_Full_Text_Screening'!$J:$J,"INCLUDE")=1,0,1))</f>
        <v>0</v>
      </c>
      <c r="E22">
        <f>IF('10_Analysis_Ready'!$A$5="",0,IF(OR(AND(((OR('10_Analysis_Ready'!$AG$5="YES",'10_Analysis_Ready'!$AH$5="YES"))*1+('10_Analysis_Ready'!$AI$5="YES")+('10_Analysis_Ready'!$AJ$5="YES")+('10_Analysis_Ready'!$AK$5="YES")+('10_Analysis_Ready'!$AL$5="YES"))=0,'10_Analysis_Ready'!$AF$5&lt;&gt;"NONE"),AND(((OR('10_Analysis_Ready'!$AG$5="YES",'10_Analysis_Ready'!$AH$5="YES"))*1+('10_Analysis_Ready'!$AI$5="YES")+('10_Analysis_Ready'!$AJ$5="YES")+('10_Analysis_Ready'!$AK$5="YES")+('10_Analysis_Ready'!$AL$5="YES"))=1,OR('10_Analysis_Ready'!$AF$5="NONE",'10_Analysis_Ready'!$AF$5="MULTIPLE")),AND(((OR('10_Analysis_Ready'!$AG$5="YES",'10_Analysis_Ready'!$AH$5="YES"))*1+('10_Analysis_Ready'!$AI$5="YES")+('10_Analysis_Ready'!$AJ$5="YES")+('10_Analysis_Ready'!$AK$5="YES")+('10_Analysis_Ready'!$AL$5="YES"))&gt;=2,'10_Analysis_Ready'!$AF$5&lt;&gt;"MULTIPLE")),1,0))</f>
        <v>0</v>
      </c>
      <c r="F22">
        <f>IF('10_Analysis_Ready'!$A$5="",0,IF(AND('10_Analysis_Ready'!$AO$5="NO",COUNTIF('10_Analysis_Ready'!$AP$5:$AU$5,"YES")&gt;0),1,0))</f>
        <v>0</v>
      </c>
      <c r="G22">
        <f>IF('10_Analysis_Ready'!$A$5="",0,IF(OR(AND('10_Analysis_Ready'!$Y$5="GAN",'10_Analysis_Ready'!$AA$5="YES"),AND('10_Analysis_Ready'!$Y$5="DIFFUSION",'10_Analysis_Ready'!$Z$5="YES"),AND('10_Analysis_Ready'!$Y$5="GAN+DIFFUSION",OR('10_Analysis_Ready'!$Z$5&lt;&gt;"YES",'10_Analysis_Ready'!$AA$5&lt;&gt;"YES"))),1,0))</f>
        <v>0</v>
      </c>
      <c r="H22">
        <f>IF('10_Analysis_Ready'!$A$5="",0,IF(OR(AND('10_Analysis_Ready'!$BJ$5="NO",OR('10_Analysis_Ready'!$BK$5="HIGH",'10_Analysis_Ready'!$BK$5="VERY HIGH")),AND(((OR('10_Analysis_Ready'!$AG$5="YES",'10_Analysis_Ready'!$AH$5="YES"))*1+('10_Analysis_Ready'!$AI$5="YES")+('10_Analysis_Ready'!$AJ$5="YES")+('10_Analysis_Ready'!$AK$5="YES")+('10_Analysis_Ready'!$AL$5="YES"))=0,'10_Analysis_Ready'!$BJ$5="YES")),1,0))</f>
        <v>0</v>
      </c>
      <c r="I22">
        <f>IF('10_Analysis_Ready'!$A$5="",0,IF(AND(((OR('10_Analysis_Ready'!$AG$5="YES",'10_Analysis_Ready'!$AH$5="YES"))*1+('10_Analysis_Ready'!$AI$5="YES")+('10_Analysis_Ready'!$AJ$5="YES")+('10_Analysis_Ready'!$AK$5="YES")+('10_Analysis_Ready'!$AL$5="YES"))=0,'10_Analysis_Ready'!$AM$5&lt;&gt;"N/A"),1,0))</f>
        <v>0</v>
      </c>
      <c r="J22">
        <f>IF('10_Analysis_Ready'!$A$5="",0,IF(('28_Taxonomy_Coding'!$G$5="NONE")&lt;&gt;(((OR('10_Analysis_Ready'!$AG$5="YES",'10_Analysis_Ready'!$AH$5="YES"))*1+('10_Analysis_Ready'!$AI$5="YES")+('10_Analysis_Ready'!$AJ$5="YES")+('10_Analysis_Ready'!$AK$5="YES")+('10_Analysis_Ready'!$AL$5="YES"))=0),1,0))</f>
        <v>0</v>
      </c>
    </row>
    <row r="23" spans="1:10">
      <c r="A23">
        <v>6</v>
      </c>
      <c r="B23" t="str">
        <f>IF('10_Analysis_Ready'!$A$6="","",'10_Analysis_Ready'!$A$6)</f>
        <v>R0003</v>
      </c>
      <c r="C23">
        <f>IF('10_Analysis_Ready'!$A$6="",0,IF(AND('28_Taxonomy_Coding'!$A$6='10_Analysis_Ready'!$A$6,'14_Generalization_Map'!$A$6='10_Analysis_Ready'!$A$6),0,1))</f>
        <v>0</v>
      </c>
      <c r="D23">
        <f>IF('10_Analysis_Ready'!$A$6="",0,IF(COUNTIFS('06_Full_Text_Screening'!$A:$A,'10_Analysis_Ready'!$A$6,'06_Full_Text_Screening'!$J:$J,"INCLUDE")=1,0,1))</f>
        <v>0</v>
      </c>
      <c r="E23">
        <f>IF('10_Analysis_Ready'!$A$6="",0,IF(OR(AND(((OR('10_Analysis_Ready'!$AG$6="YES",'10_Analysis_Ready'!$AH$6="YES"))*1+('10_Analysis_Ready'!$AI$6="YES")+('10_Analysis_Ready'!$AJ$6="YES")+('10_Analysis_Ready'!$AK$6="YES")+('10_Analysis_Ready'!$AL$6="YES"))=0,'10_Analysis_Ready'!$AF$6&lt;&gt;"NONE"),AND(((OR('10_Analysis_Ready'!$AG$6="YES",'10_Analysis_Ready'!$AH$6="YES"))*1+('10_Analysis_Ready'!$AI$6="YES")+('10_Analysis_Ready'!$AJ$6="YES")+('10_Analysis_Ready'!$AK$6="YES")+('10_Analysis_Ready'!$AL$6="YES"))=1,OR('10_Analysis_Ready'!$AF$6="NONE",'10_Analysis_Ready'!$AF$6="MULTIPLE")),AND(((OR('10_Analysis_Ready'!$AG$6="YES",'10_Analysis_Ready'!$AH$6="YES"))*1+('10_Analysis_Ready'!$AI$6="YES")+('10_Analysis_Ready'!$AJ$6="YES")+('10_Analysis_Ready'!$AK$6="YES")+('10_Analysis_Ready'!$AL$6="YES"))&gt;=2,'10_Analysis_Ready'!$AF$6&lt;&gt;"MULTIPLE")),1,0))</f>
        <v>0</v>
      </c>
      <c r="F23">
        <f>IF('10_Analysis_Ready'!$A$6="",0,IF(AND('10_Analysis_Ready'!$AO$6="NO",COUNTIF('10_Analysis_Ready'!$AP$6:$AU$6,"YES")&gt;0),1,0))</f>
        <v>0</v>
      </c>
      <c r="G23">
        <f>IF('10_Analysis_Ready'!$A$6="",0,IF(OR(AND('10_Analysis_Ready'!$Y$6="GAN",'10_Analysis_Ready'!$AA$6="YES"),AND('10_Analysis_Ready'!$Y$6="DIFFUSION",'10_Analysis_Ready'!$Z$6="YES"),AND('10_Analysis_Ready'!$Y$6="GAN+DIFFUSION",OR('10_Analysis_Ready'!$Z$6&lt;&gt;"YES",'10_Analysis_Ready'!$AA$6&lt;&gt;"YES"))),1,0))</f>
        <v>0</v>
      </c>
      <c r="H23">
        <f>IF('10_Analysis_Ready'!$A$6="",0,IF(OR(AND('10_Analysis_Ready'!$BJ$6="NO",OR('10_Analysis_Ready'!$BK$6="HIGH",'10_Analysis_Ready'!$BK$6="VERY HIGH")),AND(((OR('10_Analysis_Ready'!$AG$6="YES",'10_Analysis_Ready'!$AH$6="YES"))*1+('10_Analysis_Ready'!$AI$6="YES")+('10_Analysis_Ready'!$AJ$6="YES")+('10_Analysis_Ready'!$AK$6="YES")+('10_Analysis_Ready'!$AL$6="YES"))=0,'10_Analysis_Ready'!$BJ$6="YES")),1,0))</f>
        <v>0</v>
      </c>
      <c r="I23">
        <f>IF('10_Analysis_Ready'!$A$6="",0,IF(AND(((OR('10_Analysis_Ready'!$AG$6="YES",'10_Analysis_Ready'!$AH$6="YES"))*1+('10_Analysis_Ready'!$AI$6="YES")+('10_Analysis_Ready'!$AJ$6="YES")+('10_Analysis_Ready'!$AK$6="YES")+('10_Analysis_Ready'!$AL$6="YES"))=0,'10_Analysis_Ready'!$AM$6&lt;&gt;"N/A"),1,0))</f>
        <v>0</v>
      </c>
      <c r="J23">
        <f>IF('10_Analysis_Ready'!$A$6="",0,IF(('28_Taxonomy_Coding'!$G$6="NONE")&lt;&gt;(((OR('10_Analysis_Ready'!$AG$6="YES",'10_Analysis_Ready'!$AH$6="YES"))*1+('10_Analysis_Ready'!$AI$6="YES")+('10_Analysis_Ready'!$AJ$6="YES")+('10_Analysis_Ready'!$AK$6="YES")+('10_Analysis_Ready'!$AL$6="YES"))=0),1,0))</f>
        <v>0</v>
      </c>
    </row>
    <row r="24" spans="1:10">
      <c r="A24">
        <v>7</v>
      </c>
      <c r="B24" t="str">
        <f>IF('10_Analysis_Ready'!$A$7="","",'10_Analysis_Ready'!$A$7)</f>
        <v>R0004</v>
      </c>
      <c r="C24">
        <f>IF('10_Analysis_Ready'!$A$7="",0,IF(AND('28_Taxonomy_Coding'!$A$7='10_Analysis_Ready'!$A$7,'14_Generalization_Map'!$A$7='10_Analysis_Ready'!$A$7),0,1))</f>
        <v>0</v>
      </c>
      <c r="D24">
        <f>IF('10_Analysis_Ready'!$A$7="",0,IF(COUNTIFS('06_Full_Text_Screening'!$A:$A,'10_Analysis_Ready'!$A$7,'06_Full_Text_Screening'!$J:$J,"INCLUDE")=1,0,1))</f>
        <v>0</v>
      </c>
      <c r="E24">
        <f>IF('10_Analysis_Ready'!$A$7="",0,IF(OR(AND(((OR('10_Analysis_Ready'!$AG$7="YES",'10_Analysis_Ready'!$AH$7="YES"))*1+('10_Analysis_Ready'!$AI$7="YES")+('10_Analysis_Ready'!$AJ$7="YES")+('10_Analysis_Ready'!$AK$7="YES")+('10_Analysis_Ready'!$AL$7="YES"))=0,'10_Analysis_Ready'!$AF$7&lt;&gt;"NONE"),AND(((OR('10_Analysis_Ready'!$AG$7="YES",'10_Analysis_Ready'!$AH$7="YES"))*1+('10_Analysis_Ready'!$AI$7="YES")+('10_Analysis_Ready'!$AJ$7="YES")+('10_Analysis_Ready'!$AK$7="YES")+('10_Analysis_Ready'!$AL$7="YES"))=1,OR('10_Analysis_Ready'!$AF$7="NONE",'10_Analysis_Ready'!$AF$7="MULTIPLE")),AND(((OR('10_Analysis_Ready'!$AG$7="YES",'10_Analysis_Ready'!$AH$7="YES"))*1+('10_Analysis_Ready'!$AI$7="YES")+('10_Analysis_Ready'!$AJ$7="YES")+('10_Analysis_Ready'!$AK$7="YES")+('10_Analysis_Ready'!$AL$7="YES"))&gt;=2,'10_Analysis_Ready'!$AF$7&lt;&gt;"MULTIPLE")),1,0))</f>
        <v>0</v>
      </c>
      <c r="F24">
        <f>IF('10_Analysis_Ready'!$A$7="",0,IF(AND('10_Analysis_Ready'!$AO$7="NO",COUNTIF('10_Analysis_Ready'!$AP$7:$AU$7,"YES")&gt;0),1,0))</f>
        <v>0</v>
      </c>
      <c r="G24">
        <f>IF('10_Analysis_Ready'!$A$7="",0,IF(OR(AND('10_Analysis_Ready'!$Y$7="GAN",'10_Analysis_Ready'!$AA$7="YES"),AND('10_Analysis_Ready'!$Y$7="DIFFUSION",'10_Analysis_Ready'!$Z$7="YES"),AND('10_Analysis_Ready'!$Y$7="GAN+DIFFUSION",OR('10_Analysis_Ready'!$Z$7&lt;&gt;"YES",'10_Analysis_Ready'!$AA$7&lt;&gt;"YES"))),1,0))</f>
        <v>0</v>
      </c>
      <c r="H24">
        <f>IF('10_Analysis_Ready'!$A$7="",0,IF(OR(AND('10_Analysis_Ready'!$BJ$7="NO",OR('10_Analysis_Ready'!$BK$7="HIGH",'10_Analysis_Ready'!$BK$7="VERY HIGH")),AND(((OR('10_Analysis_Ready'!$AG$7="YES",'10_Analysis_Ready'!$AH$7="YES"))*1+('10_Analysis_Ready'!$AI$7="YES")+('10_Analysis_Ready'!$AJ$7="YES")+('10_Analysis_Ready'!$AK$7="YES")+('10_Analysis_Ready'!$AL$7="YES"))=0,'10_Analysis_Ready'!$BJ$7="YES")),1,0))</f>
        <v>0</v>
      </c>
      <c r="I24">
        <f>IF('10_Analysis_Ready'!$A$7="",0,IF(AND(((OR('10_Analysis_Ready'!$AG$7="YES",'10_Analysis_Ready'!$AH$7="YES"))*1+('10_Analysis_Ready'!$AI$7="YES")+('10_Analysis_Ready'!$AJ$7="YES")+('10_Analysis_Ready'!$AK$7="YES")+('10_Analysis_Ready'!$AL$7="YES"))=0,'10_Analysis_Ready'!$AM$7&lt;&gt;"N/A"),1,0))</f>
        <v>0</v>
      </c>
      <c r="J24">
        <f>IF('10_Analysis_Ready'!$A$7="",0,IF(('28_Taxonomy_Coding'!$G$7="NONE")&lt;&gt;(((OR('10_Analysis_Ready'!$AG$7="YES",'10_Analysis_Ready'!$AH$7="YES"))*1+('10_Analysis_Ready'!$AI$7="YES")+('10_Analysis_Ready'!$AJ$7="YES")+('10_Analysis_Ready'!$AK$7="YES")+('10_Analysis_Ready'!$AL$7="YES"))=0),1,0))</f>
        <v>0</v>
      </c>
    </row>
    <row r="25" spans="1:10">
      <c r="A25">
        <v>8</v>
      </c>
      <c r="B25" t="str">
        <f>IF('10_Analysis_Ready'!$A$8="","",'10_Analysis_Ready'!$A$8)</f>
        <v>R0005</v>
      </c>
      <c r="C25">
        <f>IF('10_Analysis_Ready'!$A$8="",0,IF(AND('28_Taxonomy_Coding'!$A$8='10_Analysis_Ready'!$A$8,'14_Generalization_Map'!$A$8='10_Analysis_Ready'!$A$8),0,1))</f>
        <v>0</v>
      </c>
      <c r="D25">
        <f>IF('10_Analysis_Ready'!$A$8="",0,IF(COUNTIFS('06_Full_Text_Screening'!$A:$A,'10_Analysis_Ready'!$A$8,'06_Full_Text_Screening'!$J:$J,"INCLUDE")=1,0,1))</f>
        <v>0</v>
      </c>
      <c r="E25">
        <f>IF('10_Analysis_Ready'!$A$8="",0,IF(OR(AND(((OR('10_Analysis_Ready'!$AG$8="YES",'10_Analysis_Ready'!$AH$8="YES"))*1+('10_Analysis_Ready'!$AI$8="YES")+('10_Analysis_Ready'!$AJ$8="YES")+('10_Analysis_Ready'!$AK$8="YES")+('10_Analysis_Ready'!$AL$8="YES"))=0,'10_Analysis_Ready'!$AF$8&lt;&gt;"NONE"),AND(((OR('10_Analysis_Ready'!$AG$8="YES",'10_Analysis_Ready'!$AH$8="YES"))*1+('10_Analysis_Ready'!$AI$8="YES")+('10_Analysis_Ready'!$AJ$8="YES")+('10_Analysis_Ready'!$AK$8="YES")+('10_Analysis_Ready'!$AL$8="YES"))=1,OR('10_Analysis_Ready'!$AF$8="NONE",'10_Analysis_Ready'!$AF$8="MULTIPLE")),AND(((OR('10_Analysis_Ready'!$AG$8="YES",'10_Analysis_Ready'!$AH$8="YES"))*1+('10_Analysis_Ready'!$AI$8="YES")+('10_Analysis_Ready'!$AJ$8="YES")+('10_Analysis_Ready'!$AK$8="YES")+('10_Analysis_Ready'!$AL$8="YES"))&gt;=2,'10_Analysis_Ready'!$AF$8&lt;&gt;"MULTIPLE")),1,0))</f>
        <v>0</v>
      </c>
      <c r="F25">
        <f>IF('10_Analysis_Ready'!$A$8="",0,IF(AND('10_Analysis_Ready'!$AO$8="NO",COUNTIF('10_Analysis_Ready'!$AP$8:$AU$8,"YES")&gt;0),1,0))</f>
        <v>0</v>
      </c>
      <c r="G25">
        <f>IF('10_Analysis_Ready'!$A$8="",0,IF(OR(AND('10_Analysis_Ready'!$Y$8="GAN",'10_Analysis_Ready'!$AA$8="YES"),AND('10_Analysis_Ready'!$Y$8="DIFFUSION",'10_Analysis_Ready'!$Z$8="YES"),AND('10_Analysis_Ready'!$Y$8="GAN+DIFFUSION",OR('10_Analysis_Ready'!$Z$8&lt;&gt;"YES",'10_Analysis_Ready'!$AA$8&lt;&gt;"YES"))),1,0))</f>
        <v>0</v>
      </c>
      <c r="H25">
        <f>IF('10_Analysis_Ready'!$A$8="",0,IF(OR(AND('10_Analysis_Ready'!$BJ$8="NO",OR('10_Analysis_Ready'!$BK$8="HIGH",'10_Analysis_Ready'!$BK$8="VERY HIGH")),AND(((OR('10_Analysis_Ready'!$AG$8="YES",'10_Analysis_Ready'!$AH$8="YES"))*1+('10_Analysis_Ready'!$AI$8="YES")+('10_Analysis_Ready'!$AJ$8="YES")+('10_Analysis_Ready'!$AK$8="YES")+('10_Analysis_Ready'!$AL$8="YES"))=0,'10_Analysis_Ready'!$BJ$8="YES")),1,0))</f>
        <v>0</v>
      </c>
      <c r="I25">
        <f>IF('10_Analysis_Ready'!$A$8="",0,IF(AND(((OR('10_Analysis_Ready'!$AG$8="YES",'10_Analysis_Ready'!$AH$8="YES"))*1+('10_Analysis_Ready'!$AI$8="YES")+('10_Analysis_Ready'!$AJ$8="YES")+('10_Analysis_Ready'!$AK$8="YES")+('10_Analysis_Ready'!$AL$8="YES"))=0,'10_Analysis_Ready'!$AM$8&lt;&gt;"N/A"),1,0))</f>
        <v>0</v>
      </c>
      <c r="J25">
        <f>IF('10_Analysis_Ready'!$A$8="",0,IF(('28_Taxonomy_Coding'!$G$8="NONE")&lt;&gt;(((OR('10_Analysis_Ready'!$AG$8="YES",'10_Analysis_Ready'!$AH$8="YES"))*1+('10_Analysis_Ready'!$AI$8="YES")+('10_Analysis_Ready'!$AJ$8="YES")+('10_Analysis_Ready'!$AK$8="YES")+('10_Analysis_Ready'!$AL$8="YES"))=0),1,0))</f>
        <v>0</v>
      </c>
    </row>
    <row r="26" spans="1:10">
      <c r="A26">
        <v>9</v>
      </c>
      <c r="B26" t="str">
        <f>IF('10_Analysis_Ready'!$A$9="","",'10_Analysis_Ready'!$A$9)</f>
        <v>R0006</v>
      </c>
      <c r="C26">
        <f>IF('10_Analysis_Ready'!$A$9="",0,IF(AND('28_Taxonomy_Coding'!$A$9='10_Analysis_Ready'!$A$9,'14_Generalization_Map'!$A$9='10_Analysis_Ready'!$A$9),0,1))</f>
        <v>0</v>
      </c>
      <c r="D26">
        <f>IF('10_Analysis_Ready'!$A$9="",0,IF(COUNTIFS('06_Full_Text_Screening'!$A:$A,'10_Analysis_Ready'!$A$9,'06_Full_Text_Screening'!$J:$J,"INCLUDE")=1,0,1))</f>
        <v>0</v>
      </c>
      <c r="E26">
        <f>IF('10_Analysis_Ready'!$A$9="",0,IF(OR(AND(((OR('10_Analysis_Ready'!$AG$9="YES",'10_Analysis_Ready'!$AH$9="YES"))*1+('10_Analysis_Ready'!$AI$9="YES")+('10_Analysis_Ready'!$AJ$9="YES")+('10_Analysis_Ready'!$AK$9="YES")+('10_Analysis_Ready'!$AL$9="YES"))=0,'10_Analysis_Ready'!$AF$9&lt;&gt;"NONE"),AND(((OR('10_Analysis_Ready'!$AG$9="YES",'10_Analysis_Ready'!$AH$9="YES"))*1+('10_Analysis_Ready'!$AI$9="YES")+('10_Analysis_Ready'!$AJ$9="YES")+('10_Analysis_Ready'!$AK$9="YES")+('10_Analysis_Ready'!$AL$9="YES"))=1,OR('10_Analysis_Ready'!$AF$9="NONE",'10_Analysis_Ready'!$AF$9="MULTIPLE")),AND(((OR('10_Analysis_Ready'!$AG$9="YES",'10_Analysis_Ready'!$AH$9="YES"))*1+('10_Analysis_Ready'!$AI$9="YES")+('10_Analysis_Ready'!$AJ$9="YES")+('10_Analysis_Ready'!$AK$9="YES")+('10_Analysis_Ready'!$AL$9="YES"))&gt;=2,'10_Analysis_Ready'!$AF$9&lt;&gt;"MULTIPLE")),1,0))</f>
        <v>0</v>
      </c>
      <c r="F26">
        <f>IF('10_Analysis_Ready'!$A$9="",0,IF(AND('10_Analysis_Ready'!$AO$9="NO",COUNTIF('10_Analysis_Ready'!$AP$9:$AU$9,"YES")&gt;0),1,0))</f>
        <v>0</v>
      </c>
      <c r="G26">
        <f>IF('10_Analysis_Ready'!$A$9="",0,IF(OR(AND('10_Analysis_Ready'!$Y$9="GAN",'10_Analysis_Ready'!$AA$9="YES"),AND('10_Analysis_Ready'!$Y$9="DIFFUSION",'10_Analysis_Ready'!$Z$9="YES"),AND('10_Analysis_Ready'!$Y$9="GAN+DIFFUSION",OR('10_Analysis_Ready'!$Z$9&lt;&gt;"YES",'10_Analysis_Ready'!$AA$9&lt;&gt;"YES"))),1,0))</f>
        <v>0</v>
      </c>
      <c r="H26">
        <f>IF('10_Analysis_Ready'!$A$9="",0,IF(OR(AND('10_Analysis_Ready'!$BJ$9="NO",OR('10_Analysis_Ready'!$BK$9="HIGH",'10_Analysis_Ready'!$BK$9="VERY HIGH")),AND(((OR('10_Analysis_Ready'!$AG$9="YES",'10_Analysis_Ready'!$AH$9="YES"))*1+('10_Analysis_Ready'!$AI$9="YES")+('10_Analysis_Ready'!$AJ$9="YES")+('10_Analysis_Ready'!$AK$9="YES")+('10_Analysis_Ready'!$AL$9="YES"))=0,'10_Analysis_Ready'!$BJ$9="YES")),1,0))</f>
        <v>0</v>
      </c>
      <c r="I26">
        <f>IF('10_Analysis_Ready'!$A$9="",0,IF(AND(((OR('10_Analysis_Ready'!$AG$9="YES",'10_Analysis_Ready'!$AH$9="YES"))*1+('10_Analysis_Ready'!$AI$9="YES")+('10_Analysis_Ready'!$AJ$9="YES")+('10_Analysis_Ready'!$AK$9="YES")+('10_Analysis_Ready'!$AL$9="YES"))=0,'10_Analysis_Ready'!$AM$9&lt;&gt;"N/A"),1,0))</f>
        <v>0</v>
      </c>
      <c r="J26">
        <f>IF('10_Analysis_Ready'!$A$9="",0,IF(('28_Taxonomy_Coding'!$G$9="NONE")&lt;&gt;(((OR('10_Analysis_Ready'!$AG$9="YES",'10_Analysis_Ready'!$AH$9="YES"))*1+('10_Analysis_Ready'!$AI$9="YES")+('10_Analysis_Ready'!$AJ$9="YES")+('10_Analysis_Ready'!$AK$9="YES")+('10_Analysis_Ready'!$AL$9="YES"))=0),1,0))</f>
        <v>0</v>
      </c>
    </row>
    <row r="27" spans="1:10">
      <c r="A27">
        <v>10</v>
      </c>
      <c r="B27" t="str">
        <f>IF('10_Analysis_Ready'!$A$10="","",'10_Analysis_Ready'!$A$10)</f>
        <v>R0008</v>
      </c>
      <c r="C27">
        <f>IF('10_Analysis_Ready'!$A$10="",0,IF(AND('28_Taxonomy_Coding'!$A$10='10_Analysis_Ready'!$A$10,'14_Generalization_Map'!$A$10='10_Analysis_Ready'!$A$10),0,1))</f>
        <v>0</v>
      </c>
      <c r="D27">
        <f>IF('10_Analysis_Ready'!$A$10="",0,IF(COUNTIFS('06_Full_Text_Screening'!$A:$A,'10_Analysis_Ready'!$A$10,'06_Full_Text_Screening'!$J:$J,"INCLUDE")=1,0,1))</f>
        <v>0</v>
      </c>
      <c r="E27">
        <f>IF('10_Analysis_Ready'!$A$10="",0,IF(OR(AND(((OR('10_Analysis_Ready'!$AG$10="YES",'10_Analysis_Ready'!$AH$10="YES"))*1+('10_Analysis_Ready'!$AI$10="YES")+('10_Analysis_Ready'!$AJ$10="YES")+('10_Analysis_Ready'!$AK$10="YES")+('10_Analysis_Ready'!$AL$10="YES"))=0,'10_Analysis_Ready'!$AF$10&lt;&gt;"NONE"),AND(((OR('10_Analysis_Ready'!$AG$10="YES",'10_Analysis_Ready'!$AH$10="YES"))*1+('10_Analysis_Ready'!$AI$10="YES")+('10_Analysis_Ready'!$AJ$10="YES")+('10_Analysis_Ready'!$AK$10="YES")+('10_Analysis_Ready'!$AL$10="YES"))=1,OR('10_Analysis_Ready'!$AF$10="NONE",'10_Analysis_Ready'!$AF$10="MULTIPLE")),AND(((OR('10_Analysis_Ready'!$AG$10="YES",'10_Analysis_Ready'!$AH$10="YES"))*1+('10_Analysis_Ready'!$AI$10="YES")+('10_Analysis_Ready'!$AJ$10="YES")+('10_Analysis_Ready'!$AK$10="YES")+('10_Analysis_Ready'!$AL$10="YES"))&gt;=2,'10_Analysis_Ready'!$AF$10&lt;&gt;"MULTIPLE")),1,0))</f>
        <v>0</v>
      </c>
      <c r="F27">
        <f>IF('10_Analysis_Ready'!$A$10="",0,IF(AND('10_Analysis_Ready'!$AO$10="NO",COUNTIF('10_Analysis_Ready'!$AP$10:$AU$10,"YES")&gt;0),1,0))</f>
        <v>0</v>
      </c>
      <c r="G27">
        <f>IF('10_Analysis_Ready'!$A$10="",0,IF(OR(AND('10_Analysis_Ready'!$Y$10="GAN",'10_Analysis_Ready'!$AA$10="YES"),AND('10_Analysis_Ready'!$Y$10="DIFFUSION",'10_Analysis_Ready'!$Z$10="YES"),AND('10_Analysis_Ready'!$Y$10="GAN+DIFFUSION",OR('10_Analysis_Ready'!$Z$10&lt;&gt;"YES",'10_Analysis_Ready'!$AA$10&lt;&gt;"YES"))),1,0))</f>
        <v>0</v>
      </c>
      <c r="H27">
        <f>IF('10_Analysis_Ready'!$A$10="",0,IF(OR(AND('10_Analysis_Ready'!$BJ$10="NO",OR('10_Analysis_Ready'!$BK$10="HIGH",'10_Analysis_Ready'!$BK$10="VERY HIGH")),AND(((OR('10_Analysis_Ready'!$AG$10="YES",'10_Analysis_Ready'!$AH$10="YES"))*1+('10_Analysis_Ready'!$AI$10="YES")+('10_Analysis_Ready'!$AJ$10="YES")+('10_Analysis_Ready'!$AK$10="YES")+('10_Analysis_Ready'!$AL$10="YES"))=0,'10_Analysis_Ready'!$BJ$10="YES")),1,0))</f>
        <v>0</v>
      </c>
      <c r="I27">
        <f>IF('10_Analysis_Ready'!$A$10="",0,IF(AND(((OR('10_Analysis_Ready'!$AG$10="YES",'10_Analysis_Ready'!$AH$10="YES"))*1+('10_Analysis_Ready'!$AI$10="YES")+('10_Analysis_Ready'!$AJ$10="YES")+('10_Analysis_Ready'!$AK$10="YES")+('10_Analysis_Ready'!$AL$10="YES"))=0,'10_Analysis_Ready'!$AM$10&lt;&gt;"N/A"),1,0))</f>
        <v>0</v>
      </c>
      <c r="J27">
        <f>IF('10_Analysis_Ready'!$A$10="",0,IF(('28_Taxonomy_Coding'!$G$10="NONE")&lt;&gt;(((OR('10_Analysis_Ready'!$AG$10="YES",'10_Analysis_Ready'!$AH$10="YES"))*1+('10_Analysis_Ready'!$AI$10="YES")+('10_Analysis_Ready'!$AJ$10="YES")+('10_Analysis_Ready'!$AK$10="YES")+('10_Analysis_Ready'!$AL$10="YES"))=0),1,0))</f>
        <v>0</v>
      </c>
    </row>
    <row r="28" spans="1:10">
      <c r="A28">
        <v>11</v>
      </c>
      <c r="B28" t="str">
        <f>IF('10_Analysis_Ready'!$A$11="","",'10_Analysis_Ready'!$A$11)</f>
        <v>R0009</v>
      </c>
      <c r="C28">
        <f>IF('10_Analysis_Ready'!$A$11="",0,IF(AND('28_Taxonomy_Coding'!$A$11='10_Analysis_Ready'!$A$11,'14_Generalization_Map'!$A$11='10_Analysis_Ready'!$A$11),0,1))</f>
        <v>0</v>
      </c>
      <c r="D28">
        <f>IF('10_Analysis_Ready'!$A$11="",0,IF(COUNTIFS('06_Full_Text_Screening'!$A:$A,'10_Analysis_Ready'!$A$11,'06_Full_Text_Screening'!$J:$J,"INCLUDE")=1,0,1))</f>
        <v>0</v>
      </c>
      <c r="E28">
        <f>IF('10_Analysis_Ready'!$A$11="",0,IF(OR(AND(((OR('10_Analysis_Ready'!$AG$11="YES",'10_Analysis_Ready'!$AH$11="YES"))*1+('10_Analysis_Ready'!$AI$11="YES")+('10_Analysis_Ready'!$AJ$11="YES")+('10_Analysis_Ready'!$AK$11="YES")+('10_Analysis_Ready'!$AL$11="YES"))=0,'10_Analysis_Ready'!$AF$11&lt;&gt;"NONE"),AND(((OR('10_Analysis_Ready'!$AG$11="YES",'10_Analysis_Ready'!$AH$11="YES"))*1+('10_Analysis_Ready'!$AI$11="YES")+('10_Analysis_Ready'!$AJ$11="YES")+('10_Analysis_Ready'!$AK$11="YES")+('10_Analysis_Ready'!$AL$11="YES"))=1,OR('10_Analysis_Ready'!$AF$11="NONE",'10_Analysis_Ready'!$AF$11="MULTIPLE")),AND(((OR('10_Analysis_Ready'!$AG$11="YES",'10_Analysis_Ready'!$AH$11="YES"))*1+('10_Analysis_Ready'!$AI$11="YES")+('10_Analysis_Ready'!$AJ$11="YES")+('10_Analysis_Ready'!$AK$11="YES")+('10_Analysis_Ready'!$AL$11="YES"))&gt;=2,'10_Analysis_Ready'!$AF$11&lt;&gt;"MULTIPLE")),1,0))</f>
        <v>0</v>
      </c>
      <c r="F28">
        <f>IF('10_Analysis_Ready'!$A$11="",0,IF(AND('10_Analysis_Ready'!$AO$11="NO",COUNTIF('10_Analysis_Ready'!$AP$11:$AU$11,"YES")&gt;0),1,0))</f>
        <v>0</v>
      </c>
      <c r="G28">
        <f>IF('10_Analysis_Ready'!$A$11="",0,IF(OR(AND('10_Analysis_Ready'!$Y$11="GAN",'10_Analysis_Ready'!$AA$11="YES"),AND('10_Analysis_Ready'!$Y$11="DIFFUSION",'10_Analysis_Ready'!$Z$11="YES"),AND('10_Analysis_Ready'!$Y$11="GAN+DIFFUSION",OR('10_Analysis_Ready'!$Z$11&lt;&gt;"YES",'10_Analysis_Ready'!$AA$11&lt;&gt;"YES"))),1,0))</f>
        <v>0</v>
      </c>
      <c r="H28">
        <f>IF('10_Analysis_Ready'!$A$11="",0,IF(OR(AND('10_Analysis_Ready'!$BJ$11="NO",OR('10_Analysis_Ready'!$BK$11="HIGH",'10_Analysis_Ready'!$BK$11="VERY HIGH")),AND(((OR('10_Analysis_Ready'!$AG$11="YES",'10_Analysis_Ready'!$AH$11="YES"))*1+('10_Analysis_Ready'!$AI$11="YES")+('10_Analysis_Ready'!$AJ$11="YES")+('10_Analysis_Ready'!$AK$11="YES")+('10_Analysis_Ready'!$AL$11="YES"))=0,'10_Analysis_Ready'!$BJ$11="YES")),1,0))</f>
        <v>0</v>
      </c>
      <c r="I28">
        <f>IF('10_Analysis_Ready'!$A$11="",0,IF(AND(((OR('10_Analysis_Ready'!$AG$11="YES",'10_Analysis_Ready'!$AH$11="YES"))*1+('10_Analysis_Ready'!$AI$11="YES")+('10_Analysis_Ready'!$AJ$11="YES")+('10_Analysis_Ready'!$AK$11="YES")+('10_Analysis_Ready'!$AL$11="YES"))=0,'10_Analysis_Ready'!$AM$11&lt;&gt;"N/A"),1,0))</f>
        <v>0</v>
      </c>
      <c r="J28">
        <f>IF('10_Analysis_Ready'!$A$11="",0,IF(('28_Taxonomy_Coding'!$G$11="NONE")&lt;&gt;(((OR('10_Analysis_Ready'!$AG$11="YES",'10_Analysis_Ready'!$AH$11="YES"))*1+('10_Analysis_Ready'!$AI$11="YES")+('10_Analysis_Ready'!$AJ$11="YES")+('10_Analysis_Ready'!$AK$11="YES")+('10_Analysis_Ready'!$AL$11="YES"))=0),1,0))</f>
        <v>0</v>
      </c>
    </row>
    <row r="29" spans="1:10">
      <c r="A29">
        <v>12</v>
      </c>
      <c r="B29" t="str">
        <f>IF('10_Analysis_Ready'!$A$12="","",'10_Analysis_Ready'!$A$12)</f>
        <v>R0010</v>
      </c>
      <c r="C29">
        <f>IF('10_Analysis_Ready'!$A$12="",0,IF(AND('28_Taxonomy_Coding'!$A$12='10_Analysis_Ready'!$A$12,'14_Generalization_Map'!$A$12='10_Analysis_Ready'!$A$12),0,1))</f>
        <v>0</v>
      </c>
      <c r="D29">
        <f>IF('10_Analysis_Ready'!$A$12="",0,IF(COUNTIFS('06_Full_Text_Screening'!$A:$A,'10_Analysis_Ready'!$A$12,'06_Full_Text_Screening'!$J:$J,"INCLUDE")=1,0,1))</f>
        <v>0</v>
      </c>
      <c r="E29">
        <f>IF('10_Analysis_Ready'!$A$12="",0,IF(OR(AND(((OR('10_Analysis_Ready'!$AG$12="YES",'10_Analysis_Ready'!$AH$12="YES"))*1+('10_Analysis_Ready'!$AI$12="YES")+('10_Analysis_Ready'!$AJ$12="YES")+('10_Analysis_Ready'!$AK$12="YES")+('10_Analysis_Ready'!$AL$12="YES"))=0,'10_Analysis_Ready'!$AF$12&lt;&gt;"NONE"),AND(((OR('10_Analysis_Ready'!$AG$12="YES",'10_Analysis_Ready'!$AH$12="YES"))*1+('10_Analysis_Ready'!$AI$12="YES")+('10_Analysis_Ready'!$AJ$12="YES")+('10_Analysis_Ready'!$AK$12="YES")+('10_Analysis_Ready'!$AL$12="YES"))=1,OR('10_Analysis_Ready'!$AF$12="NONE",'10_Analysis_Ready'!$AF$12="MULTIPLE")),AND(((OR('10_Analysis_Ready'!$AG$12="YES",'10_Analysis_Ready'!$AH$12="YES"))*1+('10_Analysis_Ready'!$AI$12="YES")+('10_Analysis_Ready'!$AJ$12="YES")+('10_Analysis_Ready'!$AK$12="YES")+('10_Analysis_Ready'!$AL$12="YES"))&gt;=2,'10_Analysis_Ready'!$AF$12&lt;&gt;"MULTIPLE")),1,0))</f>
        <v>0</v>
      </c>
      <c r="F29">
        <f>IF('10_Analysis_Ready'!$A$12="",0,IF(AND('10_Analysis_Ready'!$AO$12="NO",COUNTIF('10_Analysis_Ready'!$AP$12:$AU$12,"YES")&gt;0),1,0))</f>
        <v>0</v>
      </c>
      <c r="G29">
        <f>IF('10_Analysis_Ready'!$A$12="",0,IF(OR(AND('10_Analysis_Ready'!$Y$12="GAN",'10_Analysis_Ready'!$AA$12="YES"),AND('10_Analysis_Ready'!$Y$12="DIFFUSION",'10_Analysis_Ready'!$Z$12="YES"),AND('10_Analysis_Ready'!$Y$12="GAN+DIFFUSION",OR('10_Analysis_Ready'!$Z$12&lt;&gt;"YES",'10_Analysis_Ready'!$AA$12&lt;&gt;"YES"))),1,0))</f>
        <v>0</v>
      </c>
      <c r="H29">
        <f>IF('10_Analysis_Ready'!$A$12="",0,IF(OR(AND('10_Analysis_Ready'!$BJ$12="NO",OR('10_Analysis_Ready'!$BK$12="HIGH",'10_Analysis_Ready'!$BK$12="VERY HIGH")),AND(((OR('10_Analysis_Ready'!$AG$12="YES",'10_Analysis_Ready'!$AH$12="YES"))*1+('10_Analysis_Ready'!$AI$12="YES")+('10_Analysis_Ready'!$AJ$12="YES")+('10_Analysis_Ready'!$AK$12="YES")+('10_Analysis_Ready'!$AL$12="YES"))=0,'10_Analysis_Ready'!$BJ$12="YES")),1,0))</f>
        <v>0</v>
      </c>
      <c r="I29">
        <f>IF('10_Analysis_Ready'!$A$12="",0,IF(AND(((OR('10_Analysis_Ready'!$AG$12="YES",'10_Analysis_Ready'!$AH$12="YES"))*1+('10_Analysis_Ready'!$AI$12="YES")+('10_Analysis_Ready'!$AJ$12="YES")+('10_Analysis_Ready'!$AK$12="YES")+('10_Analysis_Ready'!$AL$12="YES"))=0,'10_Analysis_Ready'!$AM$12&lt;&gt;"N/A"),1,0))</f>
        <v>0</v>
      </c>
      <c r="J29">
        <f>IF('10_Analysis_Ready'!$A$12="",0,IF(('28_Taxonomy_Coding'!$G$12="NONE")&lt;&gt;(((OR('10_Analysis_Ready'!$AG$12="YES",'10_Analysis_Ready'!$AH$12="YES"))*1+('10_Analysis_Ready'!$AI$12="YES")+('10_Analysis_Ready'!$AJ$12="YES")+('10_Analysis_Ready'!$AK$12="YES")+('10_Analysis_Ready'!$AL$12="YES"))=0),1,0))</f>
        <v>0</v>
      </c>
    </row>
    <row r="30" spans="1:10">
      <c r="A30">
        <v>13</v>
      </c>
      <c r="B30" t="str">
        <f>IF('10_Analysis_Ready'!$A$13="","",'10_Analysis_Ready'!$A$13)</f>
        <v>R0012</v>
      </c>
      <c r="C30">
        <f>IF('10_Analysis_Ready'!$A$13="",0,IF(AND('28_Taxonomy_Coding'!$A$13='10_Analysis_Ready'!$A$13,'14_Generalization_Map'!$A$13='10_Analysis_Ready'!$A$13),0,1))</f>
        <v>0</v>
      </c>
      <c r="D30">
        <f>IF('10_Analysis_Ready'!$A$13="",0,IF(COUNTIFS('06_Full_Text_Screening'!$A:$A,'10_Analysis_Ready'!$A$13,'06_Full_Text_Screening'!$J:$J,"INCLUDE")=1,0,1))</f>
        <v>0</v>
      </c>
      <c r="E30">
        <f>IF('10_Analysis_Ready'!$A$13="",0,IF(OR(AND(((OR('10_Analysis_Ready'!$AG$13="YES",'10_Analysis_Ready'!$AH$13="YES"))*1+('10_Analysis_Ready'!$AI$13="YES")+('10_Analysis_Ready'!$AJ$13="YES")+('10_Analysis_Ready'!$AK$13="YES")+('10_Analysis_Ready'!$AL$13="YES"))=0,'10_Analysis_Ready'!$AF$13&lt;&gt;"NONE"),AND(((OR('10_Analysis_Ready'!$AG$13="YES",'10_Analysis_Ready'!$AH$13="YES"))*1+('10_Analysis_Ready'!$AI$13="YES")+('10_Analysis_Ready'!$AJ$13="YES")+('10_Analysis_Ready'!$AK$13="YES")+('10_Analysis_Ready'!$AL$13="YES"))=1,OR('10_Analysis_Ready'!$AF$13="NONE",'10_Analysis_Ready'!$AF$13="MULTIPLE")),AND(((OR('10_Analysis_Ready'!$AG$13="YES",'10_Analysis_Ready'!$AH$13="YES"))*1+('10_Analysis_Ready'!$AI$13="YES")+('10_Analysis_Ready'!$AJ$13="YES")+('10_Analysis_Ready'!$AK$13="YES")+('10_Analysis_Ready'!$AL$13="YES"))&gt;=2,'10_Analysis_Ready'!$AF$13&lt;&gt;"MULTIPLE")),1,0))</f>
        <v>0</v>
      </c>
      <c r="F30">
        <f>IF('10_Analysis_Ready'!$A$13="",0,IF(AND('10_Analysis_Ready'!$AO$13="NO",COUNTIF('10_Analysis_Ready'!$AP$13:$AU$13,"YES")&gt;0),1,0))</f>
        <v>0</v>
      </c>
      <c r="G30">
        <f>IF('10_Analysis_Ready'!$A$13="",0,IF(OR(AND('10_Analysis_Ready'!$Y$13="GAN",'10_Analysis_Ready'!$AA$13="YES"),AND('10_Analysis_Ready'!$Y$13="DIFFUSION",'10_Analysis_Ready'!$Z$13="YES"),AND('10_Analysis_Ready'!$Y$13="GAN+DIFFUSION",OR('10_Analysis_Ready'!$Z$13&lt;&gt;"YES",'10_Analysis_Ready'!$AA$13&lt;&gt;"YES"))),1,0))</f>
        <v>0</v>
      </c>
      <c r="H30">
        <f>IF('10_Analysis_Ready'!$A$13="",0,IF(OR(AND('10_Analysis_Ready'!$BJ$13="NO",OR('10_Analysis_Ready'!$BK$13="HIGH",'10_Analysis_Ready'!$BK$13="VERY HIGH")),AND(((OR('10_Analysis_Ready'!$AG$13="YES",'10_Analysis_Ready'!$AH$13="YES"))*1+('10_Analysis_Ready'!$AI$13="YES")+('10_Analysis_Ready'!$AJ$13="YES")+('10_Analysis_Ready'!$AK$13="YES")+('10_Analysis_Ready'!$AL$13="YES"))=0,'10_Analysis_Ready'!$BJ$13="YES")),1,0))</f>
        <v>0</v>
      </c>
      <c r="I30">
        <f>IF('10_Analysis_Ready'!$A$13="",0,IF(AND(((OR('10_Analysis_Ready'!$AG$13="YES",'10_Analysis_Ready'!$AH$13="YES"))*1+('10_Analysis_Ready'!$AI$13="YES")+('10_Analysis_Ready'!$AJ$13="YES")+('10_Analysis_Ready'!$AK$13="YES")+('10_Analysis_Ready'!$AL$13="YES"))=0,'10_Analysis_Ready'!$AM$13&lt;&gt;"N/A"),1,0))</f>
        <v>0</v>
      </c>
      <c r="J30">
        <f>IF('10_Analysis_Ready'!$A$13="",0,IF(('28_Taxonomy_Coding'!$G$13="NONE")&lt;&gt;(((OR('10_Analysis_Ready'!$AG$13="YES",'10_Analysis_Ready'!$AH$13="YES"))*1+('10_Analysis_Ready'!$AI$13="YES")+('10_Analysis_Ready'!$AJ$13="YES")+('10_Analysis_Ready'!$AK$13="YES")+('10_Analysis_Ready'!$AL$13="YES"))=0),1,0))</f>
        <v>0</v>
      </c>
    </row>
    <row r="31" spans="1:10">
      <c r="A31">
        <v>14</v>
      </c>
      <c r="B31" t="str">
        <f>IF('10_Analysis_Ready'!$A$14="","",'10_Analysis_Ready'!$A$14)</f>
        <v>R0013</v>
      </c>
      <c r="C31">
        <f>IF('10_Analysis_Ready'!$A$14="",0,IF(AND('28_Taxonomy_Coding'!$A$14='10_Analysis_Ready'!$A$14,'14_Generalization_Map'!$A$14='10_Analysis_Ready'!$A$14),0,1))</f>
        <v>0</v>
      </c>
      <c r="D31">
        <f>IF('10_Analysis_Ready'!$A$14="",0,IF(COUNTIFS('06_Full_Text_Screening'!$A:$A,'10_Analysis_Ready'!$A$14,'06_Full_Text_Screening'!$J:$J,"INCLUDE")=1,0,1))</f>
        <v>0</v>
      </c>
      <c r="E31">
        <f>IF('10_Analysis_Ready'!$A$14="",0,IF(OR(AND(((OR('10_Analysis_Ready'!$AG$14="YES",'10_Analysis_Ready'!$AH$14="YES"))*1+('10_Analysis_Ready'!$AI$14="YES")+('10_Analysis_Ready'!$AJ$14="YES")+('10_Analysis_Ready'!$AK$14="YES")+('10_Analysis_Ready'!$AL$14="YES"))=0,'10_Analysis_Ready'!$AF$14&lt;&gt;"NONE"),AND(((OR('10_Analysis_Ready'!$AG$14="YES",'10_Analysis_Ready'!$AH$14="YES"))*1+('10_Analysis_Ready'!$AI$14="YES")+('10_Analysis_Ready'!$AJ$14="YES")+('10_Analysis_Ready'!$AK$14="YES")+('10_Analysis_Ready'!$AL$14="YES"))=1,OR('10_Analysis_Ready'!$AF$14="NONE",'10_Analysis_Ready'!$AF$14="MULTIPLE")),AND(((OR('10_Analysis_Ready'!$AG$14="YES",'10_Analysis_Ready'!$AH$14="YES"))*1+('10_Analysis_Ready'!$AI$14="YES")+('10_Analysis_Ready'!$AJ$14="YES")+('10_Analysis_Ready'!$AK$14="YES")+('10_Analysis_Ready'!$AL$14="YES"))&gt;=2,'10_Analysis_Ready'!$AF$14&lt;&gt;"MULTIPLE")),1,0))</f>
        <v>0</v>
      </c>
      <c r="F31">
        <f>IF('10_Analysis_Ready'!$A$14="",0,IF(AND('10_Analysis_Ready'!$AO$14="NO",COUNTIF('10_Analysis_Ready'!$AP$14:$AU$14,"YES")&gt;0),1,0))</f>
        <v>0</v>
      </c>
      <c r="G31">
        <f>IF('10_Analysis_Ready'!$A$14="",0,IF(OR(AND('10_Analysis_Ready'!$Y$14="GAN",'10_Analysis_Ready'!$AA$14="YES"),AND('10_Analysis_Ready'!$Y$14="DIFFUSION",'10_Analysis_Ready'!$Z$14="YES"),AND('10_Analysis_Ready'!$Y$14="GAN+DIFFUSION",OR('10_Analysis_Ready'!$Z$14&lt;&gt;"YES",'10_Analysis_Ready'!$AA$14&lt;&gt;"YES"))),1,0))</f>
        <v>0</v>
      </c>
      <c r="H31">
        <f>IF('10_Analysis_Ready'!$A$14="",0,IF(OR(AND('10_Analysis_Ready'!$BJ$14="NO",OR('10_Analysis_Ready'!$BK$14="HIGH",'10_Analysis_Ready'!$BK$14="VERY HIGH")),AND(((OR('10_Analysis_Ready'!$AG$14="YES",'10_Analysis_Ready'!$AH$14="YES"))*1+('10_Analysis_Ready'!$AI$14="YES")+('10_Analysis_Ready'!$AJ$14="YES")+('10_Analysis_Ready'!$AK$14="YES")+('10_Analysis_Ready'!$AL$14="YES"))=0,'10_Analysis_Ready'!$BJ$14="YES")),1,0))</f>
        <v>0</v>
      </c>
      <c r="I31">
        <f>IF('10_Analysis_Ready'!$A$14="",0,IF(AND(((OR('10_Analysis_Ready'!$AG$14="YES",'10_Analysis_Ready'!$AH$14="YES"))*1+('10_Analysis_Ready'!$AI$14="YES")+('10_Analysis_Ready'!$AJ$14="YES")+('10_Analysis_Ready'!$AK$14="YES")+('10_Analysis_Ready'!$AL$14="YES"))=0,'10_Analysis_Ready'!$AM$14&lt;&gt;"N/A"),1,0))</f>
        <v>0</v>
      </c>
      <c r="J31">
        <f>IF('10_Analysis_Ready'!$A$14="",0,IF(('28_Taxonomy_Coding'!$G$14="NONE")&lt;&gt;(((OR('10_Analysis_Ready'!$AG$14="YES",'10_Analysis_Ready'!$AH$14="YES"))*1+('10_Analysis_Ready'!$AI$14="YES")+('10_Analysis_Ready'!$AJ$14="YES")+('10_Analysis_Ready'!$AK$14="YES")+('10_Analysis_Ready'!$AL$14="YES"))=0),1,0))</f>
        <v>0</v>
      </c>
    </row>
    <row r="32" spans="1:10">
      <c r="A32">
        <v>15</v>
      </c>
      <c r="B32" t="str">
        <f>IF('10_Analysis_Ready'!$A$15="","",'10_Analysis_Ready'!$A$15)</f>
        <v>R0014</v>
      </c>
      <c r="C32">
        <f>IF('10_Analysis_Ready'!$A$15="",0,IF(AND('28_Taxonomy_Coding'!$A$15='10_Analysis_Ready'!$A$15,'14_Generalization_Map'!$A$15='10_Analysis_Ready'!$A$15),0,1))</f>
        <v>0</v>
      </c>
      <c r="D32">
        <f>IF('10_Analysis_Ready'!$A$15="",0,IF(COUNTIFS('06_Full_Text_Screening'!$A:$A,'10_Analysis_Ready'!$A$15,'06_Full_Text_Screening'!$J:$J,"INCLUDE")=1,0,1))</f>
        <v>0</v>
      </c>
      <c r="E32">
        <f>IF('10_Analysis_Ready'!$A$15="",0,IF(OR(AND(((OR('10_Analysis_Ready'!$AG$15="YES",'10_Analysis_Ready'!$AH$15="YES"))*1+('10_Analysis_Ready'!$AI$15="YES")+('10_Analysis_Ready'!$AJ$15="YES")+('10_Analysis_Ready'!$AK$15="YES")+('10_Analysis_Ready'!$AL$15="YES"))=0,'10_Analysis_Ready'!$AF$15&lt;&gt;"NONE"),AND(((OR('10_Analysis_Ready'!$AG$15="YES",'10_Analysis_Ready'!$AH$15="YES"))*1+('10_Analysis_Ready'!$AI$15="YES")+('10_Analysis_Ready'!$AJ$15="YES")+('10_Analysis_Ready'!$AK$15="YES")+('10_Analysis_Ready'!$AL$15="YES"))=1,OR('10_Analysis_Ready'!$AF$15="NONE",'10_Analysis_Ready'!$AF$15="MULTIPLE")),AND(((OR('10_Analysis_Ready'!$AG$15="YES",'10_Analysis_Ready'!$AH$15="YES"))*1+('10_Analysis_Ready'!$AI$15="YES")+('10_Analysis_Ready'!$AJ$15="YES")+('10_Analysis_Ready'!$AK$15="YES")+('10_Analysis_Ready'!$AL$15="YES"))&gt;=2,'10_Analysis_Ready'!$AF$15&lt;&gt;"MULTIPLE")),1,0))</f>
        <v>0</v>
      </c>
      <c r="F32">
        <f>IF('10_Analysis_Ready'!$A$15="",0,IF(AND('10_Analysis_Ready'!$AO$15="NO",COUNTIF('10_Analysis_Ready'!$AP$15:$AU$15,"YES")&gt;0),1,0))</f>
        <v>0</v>
      </c>
      <c r="G32">
        <f>IF('10_Analysis_Ready'!$A$15="",0,IF(OR(AND('10_Analysis_Ready'!$Y$15="GAN",'10_Analysis_Ready'!$AA$15="YES"),AND('10_Analysis_Ready'!$Y$15="DIFFUSION",'10_Analysis_Ready'!$Z$15="YES"),AND('10_Analysis_Ready'!$Y$15="GAN+DIFFUSION",OR('10_Analysis_Ready'!$Z$15&lt;&gt;"YES",'10_Analysis_Ready'!$AA$15&lt;&gt;"YES"))),1,0))</f>
        <v>0</v>
      </c>
      <c r="H32">
        <f>IF('10_Analysis_Ready'!$A$15="",0,IF(OR(AND('10_Analysis_Ready'!$BJ$15="NO",OR('10_Analysis_Ready'!$BK$15="HIGH",'10_Analysis_Ready'!$BK$15="VERY HIGH")),AND(((OR('10_Analysis_Ready'!$AG$15="YES",'10_Analysis_Ready'!$AH$15="YES"))*1+('10_Analysis_Ready'!$AI$15="YES")+('10_Analysis_Ready'!$AJ$15="YES")+('10_Analysis_Ready'!$AK$15="YES")+('10_Analysis_Ready'!$AL$15="YES"))=0,'10_Analysis_Ready'!$BJ$15="YES")),1,0))</f>
        <v>0</v>
      </c>
      <c r="I32">
        <f>IF('10_Analysis_Ready'!$A$15="",0,IF(AND(((OR('10_Analysis_Ready'!$AG$15="YES",'10_Analysis_Ready'!$AH$15="YES"))*1+('10_Analysis_Ready'!$AI$15="YES")+('10_Analysis_Ready'!$AJ$15="YES")+('10_Analysis_Ready'!$AK$15="YES")+('10_Analysis_Ready'!$AL$15="YES"))=0,'10_Analysis_Ready'!$AM$15&lt;&gt;"N/A"),1,0))</f>
        <v>0</v>
      </c>
      <c r="J32">
        <f>IF('10_Analysis_Ready'!$A$15="",0,IF(('28_Taxonomy_Coding'!$G$15="NONE")&lt;&gt;(((OR('10_Analysis_Ready'!$AG$15="YES",'10_Analysis_Ready'!$AH$15="YES"))*1+('10_Analysis_Ready'!$AI$15="YES")+('10_Analysis_Ready'!$AJ$15="YES")+('10_Analysis_Ready'!$AK$15="YES")+('10_Analysis_Ready'!$AL$15="YES"))=0),1,0))</f>
        <v>0</v>
      </c>
    </row>
    <row r="33" spans="1:10">
      <c r="A33">
        <v>16</v>
      </c>
      <c r="B33" t="str">
        <f>IF('10_Analysis_Ready'!$A$16="","",'10_Analysis_Ready'!$A$16)</f>
        <v>R0016</v>
      </c>
      <c r="C33">
        <f>IF('10_Analysis_Ready'!$A$16="",0,IF(AND('28_Taxonomy_Coding'!$A$16='10_Analysis_Ready'!$A$16,'14_Generalization_Map'!$A$16='10_Analysis_Ready'!$A$16),0,1))</f>
        <v>0</v>
      </c>
      <c r="D33">
        <f>IF('10_Analysis_Ready'!$A$16="",0,IF(COUNTIFS('06_Full_Text_Screening'!$A:$A,'10_Analysis_Ready'!$A$16,'06_Full_Text_Screening'!$J:$J,"INCLUDE")=1,0,1))</f>
        <v>0</v>
      </c>
      <c r="E33">
        <f>IF('10_Analysis_Ready'!$A$16="",0,IF(OR(AND(((OR('10_Analysis_Ready'!$AG$16="YES",'10_Analysis_Ready'!$AH$16="YES"))*1+('10_Analysis_Ready'!$AI$16="YES")+('10_Analysis_Ready'!$AJ$16="YES")+('10_Analysis_Ready'!$AK$16="YES")+('10_Analysis_Ready'!$AL$16="YES"))=0,'10_Analysis_Ready'!$AF$16&lt;&gt;"NONE"),AND(((OR('10_Analysis_Ready'!$AG$16="YES",'10_Analysis_Ready'!$AH$16="YES"))*1+('10_Analysis_Ready'!$AI$16="YES")+('10_Analysis_Ready'!$AJ$16="YES")+('10_Analysis_Ready'!$AK$16="YES")+('10_Analysis_Ready'!$AL$16="YES"))=1,OR('10_Analysis_Ready'!$AF$16="NONE",'10_Analysis_Ready'!$AF$16="MULTIPLE")),AND(((OR('10_Analysis_Ready'!$AG$16="YES",'10_Analysis_Ready'!$AH$16="YES"))*1+('10_Analysis_Ready'!$AI$16="YES")+('10_Analysis_Ready'!$AJ$16="YES")+('10_Analysis_Ready'!$AK$16="YES")+('10_Analysis_Ready'!$AL$16="YES"))&gt;=2,'10_Analysis_Ready'!$AF$16&lt;&gt;"MULTIPLE")),1,0))</f>
        <v>0</v>
      </c>
      <c r="F33">
        <f>IF('10_Analysis_Ready'!$A$16="",0,IF(AND('10_Analysis_Ready'!$AO$16="NO",COUNTIF('10_Analysis_Ready'!$AP$16:$AU$16,"YES")&gt;0),1,0))</f>
        <v>0</v>
      </c>
      <c r="G33">
        <f>IF('10_Analysis_Ready'!$A$16="",0,IF(OR(AND('10_Analysis_Ready'!$Y$16="GAN",'10_Analysis_Ready'!$AA$16="YES"),AND('10_Analysis_Ready'!$Y$16="DIFFUSION",'10_Analysis_Ready'!$Z$16="YES"),AND('10_Analysis_Ready'!$Y$16="GAN+DIFFUSION",OR('10_Analysis_Ready'!$Z$16&lt;&gt;"YES",'10_Analysis_Ready'!$AA$16&lt;&gt;"YES"))),1,0))</f>
        <v>0</v>
      </c>
      <c r="H33">
        <f>IF('10_Analysis_Ready'!$A$16="",0,IF(OR(AND('10_Analysis_Ready'!$BJ$16="NO",OR('10_Analysis_Ready'!$BK$16="HIGH",'10_Analysis_Ready'!$BK$16="VERY HIGH")),AND(((OR('10_Analysis_Ready'!$AG$16="YES",'10_Analysis_Ready'!$AH$16="YES"))*1+('10_Analysis_Ready'!$AI$16="YES")+('10_Analysis_Ready'!$AJ$16="YES")+('10_Analysis_Ready'!$AK$16="YES")+('10_Analysis_Ready'!$AL$16="YES"))=0,'10_Analysis_Ready'!$BJ$16="YES")),1,0))</f>
        <v>0</v>
      </c>
      <c r="I33">
        <f>IF('10_Analysis_Ready'!$A$16="",0,IF(AND(((OR('10_Analysis_Ready'!$AG$16="YES",'10_Analysis_Ready'!$AH$16="YES"))*1+('10_Analysis_Ready'!$AI$16="YES")+('10_Analysis_Ready'!$AJ$16="YES")+('10_Analysis_Ready'!$AK$16="YES")+('10_Analysis_Ready'!$AL$16="YES"))=0,'10_Analysis_Ready'!$AM$16&lt;&gt;"N/A"),1,0))</f>
        <v>0</v>
      </c>
      <c r="J33">
        <f>IF('10_Analysis_Ready'!$A$16="",0,IF(('28_Taxonomy_Coding'!$G$16="NONE")&lt;&gt;(((OR('10_Analysis_Ready'!$AG$16="YES",'10_Analysis_Ready'!$AH$16="YES"))*1+('10_Analysis_Ready'!$AI$16="YES")+('10_Analysis_Ready'!$AJ$16="YES")+('10_Analysis_Ready'!$AK$16="YES")+('10_Analysis_Ready'!$AL$16="YES"))=0),1,0))</f>
        <v>0</v>
      </c>
    </row>
    <row r="34" spans="1:10">
      <c r="A34">
        <v>17</v>
      </c>
      <c r="B34" t="str">
        <f>IF('10_Analysis_Ready'!$A$17="","",'10_Analysis_Ready'!$A$17)</f>
        <v>R0017</v>
      </c>
      <c r="C34">
        <f>IF('10_Analysis_Ready'!$A$17="",0,IF(AND('28_Taxonomy_Coding'!$A$17='10_Analysis_Ready'!$A$17,'14_Generalization_Map'!$A$17='10_Analysis_Ready'!$A$17),0,1))</f>
        <v>0</v>
      </c>
      <c r="D34">
        <f>IF('10_Analysis_Ready'!$A$17="",0,IF(COUNTIFS('06_Full_Text_Screening'!$A:$A,'10_Analysis_Ready'!$A$17,'06_Full_Text_Screening'!$J:$J,"INCLUDE")=1,0,1))</f>
        <v>0</v>
      </c>
      <c r="E34">
        <f>IF('10_Analysis_Ready'!$A$17="",0,IF(OR(AND(((OR('10_Analysis_Ready'!$AG$17="YES",'10_Analysis_Ready'!$AH$17="YES"))*1+('10_Analysis_Ready'!$AI$17="YES")+('10_Analysis_Ready'!$AJ$17="YES")+('10_Analysis_Ready'!$AK$17="YES")+('10_Analysis_Ready'!$AL$17="YES"))=0,'10_Analysis_Ready'!$AF$17&lt;&gt;"NONE"),AND(((OR('10_Analysis_Ready'!$AG$17="YES",'10_Analysis_Ready'!$AH$17="YES"))*1+('10_Analysis_Ready'!$AI$17="YES")+('10_Analysis_Ready'!$AJ$17="YES")+('10_Analysis_Ready'!$AK$17="YES")+('10_Analysis_Ready'!$AL$17="YES"))=1,OR('10_Analysis_Ready'!$AF$17="NONE",'10_Analysis_Ready'!$AF$17="MULTIPLE")),AND(((OR('10_Analysis_Ready'!$AG$17="YES",'10_Analysis_Ready'!$AH$17="YES"))*1+('10_Analysis_Ready'!$AI$17="YES")+('10_Analysis_Ready'!$AJ$17="YES")+('10_Analysis_Ready'!$AK$17="YES")+('10_Analysis_Ready'!$AL$17="YES"))&gt;=2,'10_Analysis_Ready'!$AF$17&lt;&gt;"MULTIPLE")),1,0))</f>
        <v>0</v>
      </c>
      <c r="F34">
        <f>IF('10_Analysis_Ready'!$A$17="",0,IF(AND('10_Analysis_Ready'!$AO$17="NO",COUNTIF('10_Analysis_Ready'!$AP$17:$AU$17,"YES")&gt;0),1,0))</f>
        <v>0</v>
      </c>
      <c r="G34">
        <f>IF('10_Analysis_Ready'!$A$17="",0,IF(OR(AND('10_Analysis_Ready'!$Y$17="GAN",'10_Analysis_Ready'!$AA$17="YES"),AND('10_Analysis_Ready'!$Y$17="DIFFUSION",'10_Analysis_Ready'!$Z$17="YES"),AND('10_Analysis_Ready'!$Y$17="GAN+DIFFUSION",OR('10_Analysis_Ready'!$Z$17&lt;&gt;"YES",'10_Analysis_Ready'!$AA$17&lt;&gt;"YES"))),1,0))</f>
        <v>0</v>
      </c>
      <c r="H34">
        <f>IF('10_Analysis_Ready'!$A$17="",0,IF(OR(AND('10_Analysis_Ready'!$BJ$17="NO",OR('10_Analysis_Ready'!$BK$17="HIGH",'10_Analysis_Ready'!$BK$17="VERY HIGH")),AND(((OR('10_Analysis_Ready'!$AG$17="YES",'10_Analysis_Ready'!$AH$17="YES"))*1+('10_Analysis_Ready'!$AI$17="YES")+('10_Analysis_Ready'!$AJ$17="YES")+('10_Analysis_Ready'!$AK$17="YES")+('10_Analysis_Ready'!$AL$17="YES"))=0,'10_Analysis_Ready'!$BJ$17="YES")),1,0))</f>
        <v>0</v>
      </c>
      <c r="I34">
        <f>IF('10_Analysis_Ready'!$A$17="",0,IF(AND(((OR('10_Analysis_Ready'!$AG$17="YES",'10_Analysis_Ready'!$AH$17="YES"))*1+('10_Analysis_Ready'!$AI$17="YES")+('10_Analysis_Ready'!$AJ$17="YES")+('10_Analysis_Ready'!$AK$17="YES")+('10_Analysis_Ready'!$AL$17="YES"))=0,'10_Analysis_Ready'!$AM$17&lt;&gt;"N/A"),1,0))</f>
        <v>0</v>
      </c>
      <c r="J34">
        <f>IF('10_Analysis_Ready'!$A$17="",0,IF(('28_Taxonomy_Coding'!$G$17="NONE")&lt;&gt;(((OR('10_Analysis_Ready'!$AG$17="YES",'10_Analysis_Ready'!$AH$17="YES"))*1+('10_Analysis_Ready'!$AI$17="YES")+('10_Analysis_Ready'!$AJ$17="YES")+('10_Analysis_Ready'!$AK$17="YES")+('10_Analysis_Ready'!$AL$17="YES"))=0),1,0))</f>
        <v>0</v>
      </c>
    </row>
    <row r="35" spans="1:10">
      <c r="A35">
        <v>18</v>
      </c>
      <c r="B35" t="str">
        <f>IF('10_Analysis_Ready'!$A$18="","",'10_Analysis_Ready'!$A$18)</f>
        <v>R0018</v>
      </c>
      <c r="C35">
        <f>IF('10_Analysis_Ready'!$A$18="",0,IF(AND('28_Taxonomy_Coding'!$A$18='10_Analysis_Ready'!$A$18,'14_Generalization_Map'!$A$18='10_Analysis_Ready'!$A$18),0,1))</f>
        <v>0</v>
      </c>
      <c r="D35">
        <f>IF('10_Analysis_Ready'!$A$18="",0,IF(COUNTIFS('06_Full_Text_Screening'!$A:$A,'10_Analysis_Ready'!$A$18,'06_Full_Text_Screening'!$J:$J,"INCLUDE")=1,0,1))</f>
        <v>0</v>
      </c>
      <c r="E35">
        <f>IF('10_Analysis_Ready'!$A$18="",0,IF(OR(AND(((OR('10_Analysis_Ready'!$AG$18="YES",'10_Analysis_Ready'!$AH$18="YES"))*1+('10_Analysis_Ready'!$AI$18="YES")+('10_Analysis_Ready'!$AJ$18="YES")+('10_Analysis_Ready'!$AK$18="YES")+('10_Analysis_Ready'!$AL$18="YES"))=0,'10_Analysis_Ready'!$AF$18&lt;&gt;"NONE"),AND(((OR('10_Analysis_Ready'!$AG$18="YES",'10_Analysis_Ready'!$AH$18="YES"))*1+('10_Analysis_Ready'!$AI$18="YES")+('10_Analysis_Ready'!$AJ$18="YES")+('10_Analysis_Ready'!$AK$18="YES")+('10_Analysis_Ready'!$AL$18="YES"))=1,OR('10_Analysis_Ready'!$AF$18="NONE",'10_Analysis_Ready'!$AF$18="MULTIPLE")),AND(((OR('10_Analysis_Ready'!$AG$18="YES",'10_Analysis_Ready'!$AH$18="YES"))*1+('10_Analysis_Ready'!$AI$18="YES")+('10_Analysis_Ready'!$AJ$18="YES")+('10_Analysis_Ready'!$AK$18="YES")+('10_Analysis_Ready'!$AL$18="YES"))&gt;=2,'10_Analysis_Ready'!$AF$18&lt;&gt;"MULTIPLE")),1,0))</f>
        <v>0</v>
      </c>
      <c r="F35">
        <f>IF('10_Analysis_Ready'!$A$18="",0,IF(AND('10_Analysis_Ready'!$AO$18="NO",COUNTIF('10_Analysis_Ready'!$AP$18:$AU$18,"YES")&gt;0),1,0))</f>
        <v>0</v>
      </c>
      <c r="G35">
        <f>IF('10_Analysis_Ready'!$A$18="",0,IF(OR(AND('10_Analysis_Ready'!$Y$18="GAN",'10_Analysis_Ready'!$AA$18="YES"),AND('10_Analysis_Ready'!$Y$18="DIFFUSION",'10_Analysis_Ready'!$Z$18="YES"),AND('10_Analysis_Ready'!$Y$18="GAN+DIFFUSION",OR('10_Analysis_Ready'!$Z$18&lt;&gt;"YES",'10_Analysis_Ready'!$AA$18&lt;&gt;"YES"))),1,0))</f>
        <v>0</v>
      </c>
      <c r="H35">
        <f>IF('10_Analysis_Ready'!$A$18="",0,IF(OR(AND('10_Analysis_Ready'!$BJ$18="NO",OR('10_Analysis_Ready'!$BK$18="HIGH",'10_Analysis_Ready'!$BK$18="VERY HIGH")),AND(((OR('10_Analysis_Ready'!$AG$18="YES",'10_Analysis_Ready'!$AH$18="YES"))*1+('10_Analysis_Ready'!$AI$18="YES")+('10_Analysis_Ready'!$AJ$18="YES")+('10_Analysis_Ready'!$AK$18="YES")+('10_Analysis_Ready'!$AL$18="YES"))=0,'10_Analysis_Ready'!$BJ$18="YES")),1,0))</f>
        <v>0</v>
      </c>
      <c r="I35">
        <f>IF('10_Analysis_Ready'!$A$18="",0,IF(AND(((OR('10_Analysis_Ready'!$AG$18="YES",'10_Analysis_Ready'!$AH$18="YES"))*1+('10_Analysis_Ready'!$AI$18="YES")+('10_Analysis_Ready'!$AJ$18="YES")+('10_Analysis_Ready'!$AK$18="YES")+('10_Analysis_Ready'!$AL$18="YES"))=0,'10_Analysis_Ready'!$AM$18&lt;&gt;"N/A"),1,0))</f>
        <v>0</v>
      </c>
      <c r="J35">
        <f>IF('10_Analysis_Ready'!$A$18="",0,IF(('28_Taxonomy_Coding'!$G$18="NONE")&lt;&gt;(((OR('10_Analysis_Ready'!$AG$18="YES",'10_Analysis_Ready'!$AH$18="YES"))*1+('10_Analysis_Ready'!$AI$18="YES")+('10_Analysis_Ready'!$AJ$18="YES")+('10_Analysis_Ready'!$AK$18="YES")+('10_Analysis_Ready'!$AL$18="YES"))=0),1,0))</f>
        <v>0</v>
      </c>
    </row>
    <row r="36" spans="1:10">
      <c r="A36">
        <v>19</v>
      </c>
      <c r="B36" t="str">
        <f>IF('10_Analysis_Ready'!$A$19="","",'10_Analysis_Ready'!$A$19)</f>
        <v>R0019</v>
      </c>
      <c r="C36">
        <f>IF('10_Analysis_Ready'!$A$19="",0,IF(AND('28_Taxonomy_Coding'!$A$19='10_Analysis_Ready'!$A$19,'14_Generalization_Map'!$A$19='10_Analysis_Ready'!$A$19),0,1))</f>
        <v>0</v>
      </c>
      <c r="D36">
        <f>IF('10_Analysis_Ready'!$A$19="",0,IF(COUNTIFS('06_Full_Text_Screening'!$A:$A,'10_Analysis_Ready'!$A$19,'06_Full_Text_Screening'!$J:$J,"INCLUDE")=1,0,1))</f>
        <v>0</v>
      </c>
      <c r="E36">
        <f>IF('10_Analysis_Ready'!$A$19="",0,IF(OR(AND(((OR('10_Analysis_Ready'!$AG$19="YES",'10_Analysis_Ready'!$AH$19="YES"))*1+('10_Analysis_Ready'!$AI$19="YES")+('10_Analysis_Ready'!$AJ$19="YES")+('10_Analysis_Ready'!$AK$19="YES")+('10_Analysis_Ready'!$AL$19="YES"))=0,'10_Analysis_Ready'!$AF$19&lt;&gt;"NONE"),AND(((OR('10_Analysis_Ready'!$AG$19="YES",'10_Analysis_Ready'!$AH$19="YES"))*1+('10_Analysis_Ready'!$AI$19="YES")+('10_Analysis_Ready'!$AJ$19="YES")+('10_Analysis_Ready'!$AK$19="YES")+('10_Analysis_Ready'!$AL$19="YES"))=1,OR('10_Analysis_Ready'!$AF$19="NONE",'10_Analysis_Ready'!$AF$19="MULTIPLE")),AND(((OR('10_Analysis_Ready'!$AG$19="YES",'10_Analysis_Ready'!$AH$19="YES"))*1+('10_Analysis_Ready'!$AI$19="YES")+('10_Analysis_Ready'!$AJ$19="YES")+('10_Analysis_Ready'!$AK$19="YES")+('10_Analysis_Ready'!$AL$19="YES"))&gt;=2,'10_Analysis_Ready'!$AF$19&lt;&gt;"MULTIPLE")),1,0))</f>
        <v>0</v>
      </c>
      <c r="F36">
        <f>IF('10_Analysis_Ready'!$A$19="",0,IF(AND('10_Analysis_Ready'!$AO$19="NO",COUNTIF('10_Analysis_Ready'!$AP$19:$AU$19,"YES")&gt;0),1,0))</f>
        <v>0</v>
      </c>
      <c r="G36">
        <f>IF('10_Analysis_Ready'!$A$19="",0,IF(OR(AND('10_Analysis_Ready'!$Y$19="GAN",'10_Analysis_Ready'!$AA$19="YES"),AND('10_Analysis_Ready'!$Y$19="DIFFUSION",'10_Analysis_Ready'!$Z$19="YES"),AND('10_Analysis_Ready'!$Y$19="GAN+DIFFUSION",OR('10_Analysis_Ready'!$Z$19&lt;&gt;"YES",'10_Analysis_Ready'!$AA$19&lt;&gt;"YES"))),1,0))</f>
        <v>0</v>
      </c>
      <c r="H36">
        <f>IF('10_Analysis_Ready'!$A$19="",0,IF(OR(AND('10_Analysis_Ready'!$BJ$19="NO",OR('10_Analysis_Ready'!$BK$19="HIGH",'10_Analysis_Ready'!$BK$19="VERY HIGH")),AND(((OR('10_Analysis_Ready'!$AG$19="YES",'10_Analysis_Ready'!$AH$19="YES"))*1+('10_Analysis_Ready'!$AI$19="YES")+('10_Analysis_Ready'!$AJ$19="YES")+('10_Analysis_Ready'!$AK$19="YES")+('10_Analysis_Ready'!$AL$19="YES"))=0,'10_Analysis_Ready'!$BJ$19="YES")),1,0))</f>
        <v>0</v>
      </c>
      <c r="I36">
        <f>IF('10_Analysis_Ready'!$A$19="",0,IF(AND(((OR('10_Analysis_Ready'!$AG$19="YES",'10_Analysis_Ready'!$AH$19="YES"))*1+('10_Analysis_Ready'!$AI$19="YES")+('10_Analysis_Ready'!$AJ$19="YES")+('10_Analysis_Ready'!$AK$19="YES")+('10_Analysis_Ready'!$AL$19="YES"))=0,'10_Analysis_Ready'!$AM$19&lt;&gt;"N/A"),1,0))</f>
        <v>0</v>
      </c>
      <c r="J36">
        <f>IF('10_Analysis_Ready'!$A$19="",0,IF(('28_Taxonomy_Coding'!$G$19="NONE")&lt;&gt;(((OR('10_Analysis_Ready'!$AG$19="YES",'10_Analysis_Ready'!$AH$19="YES"))*1+('10_Analysis_Ready'!$AI$19="YES")+('10_Analysis_Ready'!$AJ$19="YES")+('10_Analysis_Ready'!$AK$19="YES")+('10_Analysis_Ready'!$AL$19="YES"))=0),1,0))</f>
        <v>0</v>
      </c>
    </row>
    <row r="37" spans="1:10">
      <c r="A37">
        <v>20</v>
      </c>
      <c r="B37" t="str">
        <f>IF('10_Analysis_Ready'!$A$20="","",'10_Analysis_Ready'!$A$20)</f>
        <v>R0020</v>
      </c>
      <c r="C37">
        <f>IF('10_Analysis_Ready'!$A$20="",0,IF(AND('28_Taxonomy_Coding'!$A$20='10_Analysis_Ready'!$A$20,'14_Generalization_Map'!$A$20='10_Analysis_Ready'!$A$20),0,1))</f>
        <v>0</v>
      </c>
      <c r="D37">
        <f>IF('10_Analysis_Ready'!$A$20="",0,IF(COUNTIFS('06_Full_Text_Screening'!$A:$A,'10_Analysis_Ready'!$A$20,'06_Full_Text_Screening'!$J:$J,"INCLUDE")=1,0,1))</f>
        <v>0</v>
      </c>
      <c r="E37">
        <f>IF('10_Analysis_Ready'!$A$20="",0,IF(OR(AND(((OR('10_Analysis_Ready'!$AG$20="YES",'10_Analysis_Ready'!$AH$20="YES"))*1+('10_Analysis_Ready'!$AI$20="YES")+('10_Analysis_Ready'!$AJ$20="YES")+('10_Analysis_Ready'!$AK$20="YES")+('10_Analysis_Ready'!$AL$20="YES"))=0,'10_Analysis_Ready'!$AF$20&lt;&gt;"NONE"),AND(((OR('10_Analysis_Ready'!$AG$20="YES",'10_Analysis_Ready'!$AH$20="YES"))*1+('10_Analysis_Ready'!$AI$20="YES")+('10_Analysis_Ready'!$AJ$20="YES")+('10_Analysis_Ready'!$AK$20="YES")+('10_Analysis_Ready'!$AL$20="YES"))=1,OR('10_Analysis_Ready'!$AF$20="NONE",'10_Analysis_Ready'!$AF$20="MULTIPLE")),AND(((OR('10_Analysis_Ready'!$AG$20="YES",'10_Analysis_Ready'!$AH$20="YES"))*1+('10_Analysis_Ready'!$AI$20="YES")+('10_Analysis_Ready'!$AJ$20="YES")+('10_Analysis_Ready'!$AK$20="YES")+('10_Analysis_Ready'!$AL$20="YES"))&gt;=2,'10_Analysis_Ready'!$AF$20&lt;&gt;"MULTIPLE")),1,0))</f>
        <v>0</v>
      </c>
      <c r="F37">
        <f>IF('10_Analysis_Ready'!$A$20="",0,IF(AND('10_Analysis_Ready'!$AO$20="NO",COUNTIF('10_Analysis_Ready'!$AP$20:$AU$20,"YES")&gt;0),1,0))</f>
        <v>0</v>
      </c>
      <c r="G37">
        <f>IF('10_Analysis_Ready'!$A$20="",0,IF(OR(AND('10_Analysis_Ready'!$Y$20="GAN",'10_Analysis_Ready'!$AA$20="YES"),AND('10_Analysis_Ready'!$Y$20="DIFFUSION",'10_Analysis_Ready'!$Z$20="YES"),AND('10_Analysis_Ready'!$Y$20="GAN+DIFFUSION",OR('10_Analysis_Ready'!$Z$20&lt;&gt;"YES",'10_Analysis_Ready'!$AA$20&lt;&gt;"YES"))),1,0))</f>
        <v>0</v>
      </c>
      <c r="H37">
        <f>IF('10_Analysis_Ready'!$A$20="",0,IF(OR(AND('10_Analysis_Ready'!$BJ$20="NO",OR('10_Analysis_Ready'!$BK$20="HIGH",'10_Analysis_Ready'!$BK$20="VERY HIGH")),AND(((OR('10_Analysis_Ready'!$AG$20="YES",'10_Analysis_Ready'!$AH$20="YES"))*1+('10_Analysis_Ready'!$AI$20="YES")+('10_Analysis_Ready'!$AJ$20="YES")+('10_Analysis_Ready'!$AK$20="YES")+('10_Analysis_Ready'!$AL$20="YES"))=0,'10_Analysis_Ready'!$BJ$20="YES")),1,0))</f>
        <v>0</v>
      </c>
      <c r="I37">
        <f>IF('10_Analysis_Ready'!$A$20="",0,IF(AND(((OR('10_Analysis_Ready'!$AG$20="YES",'10_Analysis_Ready'!$AH$20="YES"))*1+('10_Analysis_Ready'!$AI$20="YES")+('10_Analysis_Ready'!$AJ$20="YES")+('10_Analysis_Ready'!$AK$20="YES")+('10_Analysis_Ready'!$AL$20="YES"))=0,'10_Analysis_Ready'!$AM$20&lt;&gt;"N/A"),1,0))</f>
        <v>0</v>
      </c>
      <c r="J37">
        <f>IF('10_Analysis_Ready'!$A$20="",0,IF(('28_Taxonomy_Coding'!$G$20="NONE")&lt;&gt;(((OR('10_Analysis_Ready'!$AG$20="YES",'10_Analysis_Ready'!$AH$20="YES"))*1+('10_Analysis_Ready'!$AI$20="YES")+('10_Analysis_Ready'!$AJ$20="YES")+('10_Analysis_Ready'!$AK$20="YES")+('10_Analysis_Ready'!$AL$20="YES"))=0),1,0))</f>
        <v>0</v>
      </c>
    </row>
    <row r="38" spans="1:10">
      <c r="A38">
        <v>21</v>
      </c>
      <c r="B38" t="str">
        <f>IF('10_Analysis_Ready'!$A$21="","",'10_Analysis_Ready'!$A$21)</f>
        <v>R0023</v>
      </c>
      <c r="C38">
        <f>IF('10_Analysis_Ready'!$A$21="",0,IF(AND('28_Taxonomy_Coding'!$A$21='10_Analysis_Ready'!$A$21,'14_Generalization_Map'!$A$21='10_Analysis_Ready'!$A$21),0,1))</f>
        <v>0</v>
      </c>
      <c r="D38">
        <f>IF('10_Analysis_Ready'!$A$21="",0,IF(COUNTIFS('06_Full_Text_Screening'!$A:$A,'10_Analysis_Ready'!$A$21,'06_Full_Text_Screening'!$J:$J,"INCLUDE")=1,0,1))</f>
        <v>0</v>
      </c>
      <c r="E38">
        <f>IF('10_Analysis_Ready'!$A$21="",0,IF(OR(AND(((OR('10_Analysis_Ready'!$AG$21="YES",'10_Analysis_Ready'!$AH$21="YES"))*1+('10_Analysis_Ready'!$AI$21="YES")+('10_Analysis_Ready'!$AJ$21="YES")+('10_Analysis_Ready'!$AK$21="YES")+('10_Analysis_Ready'!$AL$21="YES"))=0,'10_Analysis_Ready'!$AF$21&lt;&gt;"NONE"),AND(((OR('10_Analysis_Ready'!$AG$21="YES",'10_Analysis_Ready'!$AH$21="YES"))*1+('10_Analysis_Ready'!$AI$21="YES")+('10_Analysis_Ready'!$AJ$21="YES")+('10_Analysis_Ready'!$AK$21="YES")+('10_Analysis_Ready'!$AL$21="YES"))=1,OR('10_Analysis_Ready'!$AF$21="NONE",'10_Analysis_Ready'!$AF$21="MULTIPLE")),AND(((OR('10_Analysis_Ready'!$AG$21="YES",'10_Analysis_Ready'!$AH$21="YES"))*1+('10_Analysis_Ready'!$AI$21="YES")+('10_Analysis_Ready'!$AJ$21="YES")+('10_Analysis_Ready'!$AK$21="YES")+('10_Analysis_Ready'!$AL$21="YES"))&gt;=2,'10_Analysis_Ready'!$AF$21&lt;&gt;"MULTIPLE")),1,0))</f>
        <v>0</v>
      </c>
      <c r="F38">
        <f>IF('10_Analysis_Ready'!$A$21="",0,IF(AND('10_Analysis_Ready'!$AO$21="NO",COUNTIF('10_Analysis_Ready'!$AP$21:$AU$21,"YES")&gt;0),1,0))</f>
        <v>0</v>
      </c>
      <c r="G38">
        <f>IF('10_Analysis_Ready'!$A$21="",0,IF(OR(AND('10_Analysis_Ready'!$Y$21="GAN",'10_Analysis_Ready'!$AA$21="YES"),AND('10_Analysis_Ready'!$Y$21="DIFFUSION",'10_Analysis_Ready'!$Z$21="YES"),AND('10_Analysis_Ready'!$Y$21="GAN+DIFFUSION",OR('10_Analysis_Ready'!$Z$21&lt;&gt;"YES",'10_Analysis_Ready'!$AA$21&lt;&gt;"YES"))),1,0))</f>
        <v>0</v>
      </c>
      <c r="H38">
        <f>IF('10_Analysis_Ready'!$A$21="",0,IF(OR(AND('10_Analysis_Ready'!$BJ$21="NO",OR('10_Analysis_Ready'!$BK$21="HIGH",'10_Analysis_Ready'!$BK$21="VERY HIGH")),AND(((OR('10_Analysis_Ready'!$AG$21="YES",'10_Analysis_Ready'!$AH$21="YES"))*1+('10_Analysis_Ready'!$AI$21="YES")+('10_Analysis_Ready'!$AJ$21="YES")+('10_Analysis_Ready'!$AK$21="YES")+('10_Analysis_Ready'!$AL$21="YES"))=0,'10_Analysis_Ready'!$BJ$21="YES")),1,0))</f>
        <v>0</v>
      </c>
      <c r="I38">
        <f>IF('10_Analysis_Ready'!$A$21="",0,IF(AND(((OR('10_Analysis_Ready'!$AG$21="YES",'10_Analysis_Ready'!$AH$21="YES"))*1+('10_Analysis_Ready'!$AI$21="YES")+('10_Analysis_Ready'!$AJ$21="YES")+('10_Analysis_Ready'!$AK$21="YES")+('10_Analysis_Ready'!$AL$21="YES"))=0,'10_Analysis_Ready'!$AM$21&lt;&gt;"N/A"),1,0))</f>
        <v>0</v>
      </c>
      <c r="J38">
        <f>IF('10_Analysis_Ready'!$A$21="",0,IF(('28_Taxonomy_Coding'!$G$21="NONE")&lt;&gt;(((OR('10_Analysis_Ready'!$AG$21="YES",'10_Analysis_Ready'!$AH$21="YES"))*1+('10_Analysis_Ready'!$AI$21="YES")+('10_Analysis_Ready'!$AJ$21="YES")+('10_Analysis_Ready'!$AK$21="YES")+('10_Analysis_Ready'!$AL$21="YES"))=0),1,0))</f>
        <v>0</v>
      </c>
    </row>
    <row r="39" spans="1:10">
      <c r="A39">
        <v>22</v>
      </c>
      <c r="B39" t="str">
        <f>IF('10_Analysis_Ready'!$A$22="","",'10_Analysis_Ready'!$A$22)</f>
        <v>R0027</v>
      </c>
      <c r="C39">
        <f>IF('10_Analysis_Ready'!$A$22="",0,IF(AND('28_Taxonomy_Coding'!$A$22='10_Analysis_Ready'!$A$22,'14_Generalization_Map'!$A$22='10_Analysis_Ready'!$A$22),0,1))</f>
        <v>0</v>
      </c>
      <c r="D39">
        <f>IF('10_Analysis_Ready'!$A$22="",0,IF(COUNTIFS('06_Full_Text_Screening'!$A:$A,'10_Analysis_Ready'!$A$22,'06_Full_Text_Screening'!$J:$J,"INCLUDE")=1,0,1))</f>
        <v>0</v>
      </c>
      <c r="E39">
        <f>IF('10_Analysis_Ready'!$A$22="",0,IF(OR(AND(((OR('10_Analysis_Ready'!$AG$22="YES",'10_Analysis_Ready'!$AH$22="YES"))*1+('10_Analysis_Ready'!$AI$22="YES")+('10_Analysis_Ready'!$AJ$22="YES")+('10_Analysis_Ready'!$AK$22="YES")+('10_Analysis_Ready'!$AL$22="YES"))=0,'10_Analysis_Ready'!$AF$22&lt;&gt;"NONE"),AND(((OR('10_Analysis_Ready'!$AG$22="YES",'10_Analysis_Ready'!$AH$22="YES"))*1+('10_Analysis_Ready'!$AI$22="YES")+('10_Analysis_Ready'!$AJ$22="YES")+('10_Analysis_Ready'!$AK$22="YES")+('10_Analysis_Ready'!$AL$22="YES"))=1,OR('10_Analysis_Ready'!$AF$22="NONE",'10_Analysis_Ready'!$AF$22="MULTIPLE")),AND(((OR('10_Analysis_Ready'!$AG$22="YES",'10_Analysis_Ready'!$AH$22="YES"))*1+('10_Analysis_Ready'!$AI$22="YES")+('10_Analysis_Ready'!$AJ$22="YES")+('10_Analysis_Ready'!$AK$22="YES")+('10_Analysis_Ready'!$AL$22="YES"))&gt;=2,'10_Analysis_Ready'!$AF$22&lt;&gt;"MULTIPLE")),1,0))</f>
        <v>0</v>
      </c>
      <c r="F39">
        <f>IF('10_Analysis_Ready'!$A$22="",0,IF(AND('10_Analysis_Ready'!$AO$22="NO",COUNTIF('10_Analysis_Ready'!$AP$22:$AU$22,"YES")&gt;0),1,0))</f>
        <v>0</v>
      </c>
      <c r="G39">
        <f>IF('10_Analysis_Ready'!$A$22="",0,IF(OR(AND('10_Analysis_Ready'!$Y$22="GAN",'10_Analysis_Ready'!$AA$22="YES"),AND('10_Analysis_Ready'!$Y$22="DIFFUSION",'10_Analysis_Ready'!$Z$22="YES"),AND('10_Analysis_Ready'!$Y$22="GAN+DIFFUSION",OR('10_Analysis_Ready'!$Z$22&lt;&gt;"YES",'10_Analysis_Ready'!$AA$22&lt;&gt;"YES"))),1,0))</f>
        <v>0</v>
      </c>
      <c r="H39">
        <f>IF('10_Analysis_Ready'!$A$22="",0,IF(OR(AND('10_Analysis_Ready'!$BJ$22="NO",OR('10_Analysis_Ready'!$BK$22="HIGH",'10_Analysis_Ready'!$BK$22="VERY HIGH")),AND(((OR('10_Analysis_Ready'!$AG$22="YES",'10_Analysis_Ready'!$AH$22="YES"))*1+('10_Analysis_Ready'!$AI$22="YES")+('10_Analysis_Ready'!$AJ$22="YES")+('10_Analysis_Ready'!$AK$22="YES")+('10_Analysis_Ready'!$AL$22="YES"))=0,'10_Analysis_Ready'!$BJ$22="YES")),1,0))</f>
        <v>0</v>
      </c>
      <c r="I39">
        <f>IF('10_Analysis_Ready'!$A$22="",0,IF(AND(((OR('10_Analysis_Ready'!$AG$22="YES",'10_Analysis_Ready'!$AH$22="YES"))*1+('10_Analysis_Ready'!$AI$22="YES")+('10_Analysis_Ready'!$AJ$22="YES")+('10_Analysis_Ready'!$AK$22="YES")+('10_Analysis_Ready'!$AL$22="YES"))=0,'10_Analysis_Ready'!$AM$22&lt;&gt;"N/A"),1,0))</f>
        <v>0</v>
      </c>
      <c r="J39">
        <f>IF('10_Analysis_Ready'!$A$22="",0,IF(('28_Taxonomy_Coding'!$G$22="NONE")&lt;&gt;(((OR('10_Analysis_Ready'!$AG$22="YES",'10_Analysis_Ready'!$AH$22="YES"))*1+('10_Analysis_Ready'!$AI$22="YES")+('10_Analysis_Ready'!$AJ$22="YES")+('10_Analysis_Ready'!$AK$22="YES")+('10_Analysis_Ready'!$AL$22="YES"))=0),1,0))</f>
        <v>0</v>
      </c>
    </row>
    <row r="40" spans="1:10">
      <c r="A40">
        <v>23</v>
      </c>
      <c r="B40" t="str">
        <f>IF('10_Analysis_Ready'!$A$23="","",'10_Analysis_Ready'!$A$23)</f>
        <v>R0029</v>
      </c>
      <c r="C40">
        <f>IF('10_Analysis_Ready'!$A$23="",0,IF(AND('28_Taxonomy_Coding'!$A$23='10_Analysis_Ready'!$A$23,'14_Generalization_Map'!$A$23='10_Analysis_Ready'!$A$23),0,1))</f>
        <v>0</v>
      </c>
      <c r="D40">
        <f>IF('10_Analysis_Ready'!$A$23="",0,IF(COUNTIFS('06_Full_Text_Screening'!$A:$A,'10_Analysis_Ready'!$A$23,'06_Full_Text_Screening'!$J:$J,"INCLUDE")=1,0,1))</f>
        <v>0</v>
      </c>
      <c r="E40">
        <f>IF('10_Analysis_Ready'!$A$23="",0,IF(OR(AND(((OR('10_Analysis_Ready'!$AG$23="YES",'10_Analysis_Ready'!$AH$23="YES"))*1+('10_Analysis_Ready'!$AI$23="YES")+('10_Analysis_Ready'!$AJ$23="YES")+('10_Analysis_Ready'!$AK$23="YES")+('10_Analysis_Ready'!$AL$23="YES"))=0,'10_Analysis_Ready'!$AF$23&lt;&gt;"NONE"),AND(((OR('10_Analysis_Ready'!$AG$23="YES",'10_Analysis_Ready'!$AH$23="YES"))*1+('10_Analysis_Ready'!$AI$23="YES")+('10_Analysis_Ready'!$AJ$23="YES")+('10_Analysis_Ready'!$AK$23="YES")+('10_Analysis_Ready'!$AL$23="YES"))=1,OR('10_Analysis_Ready'!$AF$23="NONE",'10_Analysis_Ready'!$AF$23="MULTIPLE")),AND(((OR('10_Analysis_Ready'!$AG$23="YES",'10_Analysis_Ready'!$AH$23="YES"))*1+('10_Analysis_Ready'!$AI$23="YES")+('10_Analysis_Ready'!$AJ$23="YES")+('10_Analysis_Ready'!$AK$23="YES")+('10_Analysis_Ready'!$AL$23="YES"))&gt;=2,'10_Analysis_Ready'!$AF$23&lt;&gt;"MULTIPLE")),1,0))</f>
        <v>0</v>
      </c>
      <c r="F40">
        <f>IF('10_Analysis_Ready'!$A$23="",0,IF(AND('10_Analysis_Ready'!$AO$23="NO",COUNTIF('10_Analysis_Ready'!$AP$23:$AU$23,"YES")&gt;0),1,0))</f>
        <v>0</v>
      </c>
      <c r="G40">
        <f>IF('10_Analysis_Ready'!$A$23="",0,IF(OR(AND('10_Analysis_Ready'!$Y$23="GAN",'10_Analysis_Ready'!$AA$23="YES"),AND('10_Analysis_Ready'!$Y$23="DIFFUSION",'10_Analysis_Ready'!$Z$23="YES"),AND('10_Analysis_Ready'!$Y$23="GAN+DIFFUSION",OR('10_Analysis_Ready'!$Z$23&lt;&gt;"YES",'10_Analysis_Ready'!$AA$23&lt;&gt;"YES"))),1,0))</f>
        <v>0</v>
      </c>
      <c r="H40">
        <f>IF('10_Analysis_Ready'!$A$23="",0,IF(OR(AND('10_Analysis_Ready'!$BJ$23="NO",OR('10_Analysis_Ready'!$BK$23="HIGH",'10_Analysis_Ready'!$BK$23="VERY HIGH")),AND(((OR('10_Analysis_Ready'!$AG$23="YES",'10_Analysis_Ready'!$AH$23="YES"))*1+('10_Analysis_Ready'!$AI$23="YES")+('10_Analysis_Ready'!$AJ$23="YES")+('10_Analysis_Ready'!$AK$23="YES")+('10_Analysis_Ready'!$AL$23="YES"))=0,'10_Analysis_Ready'!$BJ$23="YES")),1,0))</f>
        <v>0</v>
      </c>
      <c r="I40">
        <f>IF('10_Analysis_Ready'!$A$23="",0,IF(AND(((OR('10_Analysis_Ready'!$AG$23="YES",'10_Analysis_Ready'!$AH$23="YES"))*1+('10_Analysis_Ready'!$AI$23="YES")+('10_Analysis_Ready'!$AJ$23="YES")+('10_Analysis_Ready'!$AK$23="YES")+('10_Analysis_Ready'!$AL$23="YES"))=0,'10_Analysis_Ready'!$AM$23&lt;&gt;"N/A"),1,0))</f>
        <v>0</v>
      </c>
      <c r="J40">
        <f>IF('10_Analysis_Ready'!$A$23="",0,IF(('28_Taxonomy_Coding'!$G$23="NONE")&lt;&gt;(((OR('10_Analysis_Ready'!$AG$23="YES",'10_Analysis_Ready'!$AH$23="YES"))*1+('10_Analysis_Ready'!$AI$23="YES")+('10_Analysis_Ready'!$AJ$23="YES")+('10_Analysis_Ready'!$AK$23="YES")+('10_Analysis_Ready'!$AL$23="YES"))=0),1,0))</f>
        <v>0</v>
      </c>
    </row>
    <row r="41" spans="1:10">
      <c r="A41">
        <v>24</v>
      </c>
      <c r="B41" t="str">
        <f>IF('10_Analysis_Ready'!$A$24="","",'10_Analysis_Ready'!$A$24)</f>
        <v>R0031</v>
      </c>
      <c r="C41">
        <f>IF('10_Analysis_Ready'!$A$24="",0,IF(AND('28_Taxonomy_Coding'!$A$24='10_Analysis_Ready'!$A$24,'14_Generalization_Map'!$A$24='10_Analysis_Ready'!$A$24),0,1))</f>
        <v>0</v>
      </c>
      <c r="D41">
        <f>IF('10_Analysis_Ready'!$A$24="",0,IF(COUNTIFS('06_Full_Text_Screening'!$A:$A,'10_Analysis_Ready'!$A$24,'06_Full_Text_Screening'!$J:$J,"INCLUDE")=1,0,1))</f>
        <v>0</v>
      </c>
      <c r="E41">
        <f>IF('10_Analysis_Ready'!$A$24="",0,IF(OR(AND(((OR('10_Analysis_Ready'!$AG$24="YES",'10_Analysis_Ready'!$AH$24="YES"))*1+('10_Analysis_Ready'!$AI$24="YES")+('10_Analysis_Ready'!$AJ$24="YES")+('10_Analysis_Ready'!$AK$24="YES")+('10_Analysis_Ready'!$AL$24="YES"))=0,'10_Analysis_Ready'!$AF$24&lt;&gt;"NONE"),AND(((OR('10_Analysis_Ready'!$AG$24="YES",'10_Analysis_Ready'!$AH$24="YES"))*1+('10_Analysis_Ready'!$AI$24="YES")+('10_Analysis_Ready'!$AJ$24="YES")+('10_Analysis_Ready'!$AK$24="YES")+('10_Analysis_Ready'!$AL$24="YES"))=1,OR('10_Analysis_Ready'!$AF$24="NONE",'10_Analysis_Ready'!$AF$24="MULTIPLE")),AND(((OR('10_Analysis_Ready'!$AG$24="YES",'10_Analysis_Ready'!$AH$24="YES"))*1+('10_Analysis_Ready'!$AI$24="YES")+('10_Analysis_Ready'!$AJ$24="YES")+('10_Analysis_Ready'!$AK$24="YES")+('10_Analysis_Ready'!$AL$24="YES"))&gt;=2,'10_Analysis_Ready'!$AF$24&lt;&gt;"MULTIPLE")),1,0))</f>
        <v>0</v>
      </c>
      <c r="F41">
        <f>IF('10_Analysis_Ready'!$A$24="",0,IF(AND('10_Analysis_Ready'!$AO$24="NO",COUNTIF('10_Analysis_Ready'!$AP$24:$AU$24,"YES")&gt;0),1,0))</f>
        <v>0</v>
      </c>
      <c r="G41">
        <f>IF('10_Analysis_Ready'!$A$24="",0,IF(OR(AND('10_Analysis_Ready'!$Y$24="GAN",'10_Analysis_Ready'!$AA$24="YES"),AND('10_Analysis_Ready'!$Y$24="DIFFUSION",'10_Analysis_Ready'!$Z$24="YES"),AND('10_Analysis_Ready'!$Y$24="GAN+DIFFUSION",OR('10_Analysis_Ready'!$Z$24&lt;&gt;"YES",'10_Analysis_Ready'!$AA$24&lt;&gt;"YES"))),1,0))</f>
        <v>0</v>
      </c>
      <c r="H41">
        <f>IF('10_Analysis_Ready'!$A$24="",0,IF(OR(AND('10_Analysis_Ready'!$BJ$24="NO",OR('10_Analysis_Ready'!$BK$24="HIGH",'10_Analysis_Ready'!$BK$24="VERY HIGH")),AND(((OR('10_Analysis_Ready'!$AG$24="YES",'10_Analysis_Ready'!$AH$24="YES"))*1+('10_Analysis_Ready'!$AI$24="YES")+('10_Analysis_Ready'!$AJ$24="YES")+('10_Analysis_Ready'!$AK$24="YES")+('10_Analysis_Ready'!$AL$24="YES"))=0,'10_Analysis_Ready'!$BJ$24="YES")),1,0))</f>
        <v>0</v>
      </c>
      <c r="I41">
        <f>IF('10_Analysis_Ready'!$A$24="",0,IF(AND(((OR('10_Analysis_Ready'!$AG$24="YES",'10_Analysis_Ready'!$AH$24="YES"))*1+('10_Analysis_Ready'!$AI$24="YES")+('10_Analysis_Ready'!$AJ$24="YES")+('10_Analysis_Ready'!$AK$24="YES")+('10_Analysis_Ready'!$AL$24="YES"))=0,'10_Analysis_Ready'!$AM$24&lt;&gt;"N/A"),1,0))</f>
        <v>0</v>
      </c>
      <c r="J41">
        <f>IF('10_Analysis_Ready'!$A$24="",0,IF(('28_Taxonomy_Coding'!$G$24="NONE")&lt;&gt;(((OR('10_Analysis_Ready'!$AG$24="YES",'10_Analysis_Ready'!$AH$24="YES"))*1+('10_Analysis_Ready'!$AI$24="YES")+('10_Analysis_Ready'!$AJ$24="YES")+('10_Analysis_Ready'!$AK$24="YES")+('10_Analysis_Ready'!$AL$24="YES"))=0),1,0))</f>
        <v>0</v>
      </c>
    </row>
    <row r="42" spans="1:10">
      <c r="A42">
        <v>25</v>
      </c>
      <c r="B42" t="str">
        <f>IF('10_Analysis_Ready'!$A$25="","",'10_Analysis_Ready'!$A$25)</f>
        <v>R0032</v>
      </c>
      <c r="C42">
        <f>IF('10_Analysis_Ready'!$A$25="",0,IF(AND('28_Taxonomy_Coding'!$A$25='10_Analysis_Ready'!$A$25,'14_Generalization_Map'!$A$25='10_Analysis_Ready'!$A$25),0,1))</f>
        <v>0</v>
      </c>
      <c r="D42">
        <f>IF('10_Analysis_Ready'!$A$25="",0,IF(COUNTIFS('06_Full_Text_Screening'!$A:$A,'10_Analysis_Ready'!$A$25,'06_Full_Text_Screening'!$J:$J,"INCLUDE")=1,0,1))</f>
        <v>0</v>
      </c>
      <c r="E42">
        <f>IF('10_Analysis_Ready'!$A$25="",0,IF(OR(AND(((OR('10_Analysis_Ready'!$AG$25="YES",'10_Analysis_Ready'!$AH$25="YES"))*1+('10_Analysis_Ready'!$AI$25="YES")+('10_Analysis_Ready'!$AJ$25="YES")+('10_Analysis_Ready'!$AK$25="YES")+('10_Analysis_Ready'!$AL$25="YES"))=0,'10_Analysis_Ready'!$AF$25&lt;&gt;"NONE"),AND(((OR('10_Analysis_Ready'!$AG$25="YES",'10_Analysis_Ready'!$AH$25="YES"))*1+('10_Analysis_Ready'!$AI$25="YES")+('10_Analysis_Ready'!$AJ$25="YES")+('10_Analysis_Ready'!$AK$25="YES")+('10_Analysis_Ready'!$AL$25="YES"))=1,OR('10_Analysis_Ready'!$AF$25="NONE",'10_Analysis_Ready'!$AF$25="MULTIPLE")),AND(((OR('10_Analysis_Ready'!$AG$25="YES",'10_Analysis_Ready'!$AH$25="YES"))*1+('10_Analysis_Ready'!$AI$25="YES")+('10_Analysis_Ready'!$AJ$25="YES")+('10_Analysis_Ready'!$AK$25="YES")+('10_Analysis_Ready'!$AL$25="YES"))&gt;=2,'10_Analysis_Ready'!$AF$25&lt;&gt;"MULTIPLE")),1,0))</f>
        <v>0</v>
      </c>
      <c r="F42">
        <f>IF('10_Analysis_Ready'!$A$25="",0,IF(AND('10_Analysis_Ready'!$AO$25="NO",COUNTIF('10_Analysis_Ready'!$AP$25:$AU$25,"YES")&gt;0),1,0))</f>
        <v>0</v>
      </c>
      <c r="G42">
        <f>IF('10_Analysis_Ready'!$A$25="",0,IF(OR(AND('10_Analysis_Ready'!$Y$25="GAN",'10_Analysis_Ready'!$AA$25="YES"),AND('10_Analysis_Ready'!$Y$25="DIFFUSION",'10_Analysis_Ready'!$Z$25="YES"),AND('10_Analysis_Ready'!$Y$25="GAN+DIFFUSION",OR('10_Analysis_Ready'!$Z$25&lt;&gt;"YES",'10_Analysis_Ready'!$AA$25&lt;&gt;"YES"))),1,0))</f>
        <v>0</v>
      </c>
      <c r="H42">
        <f>IF('10_Analysis_Ready'!$A$25="",0,IF(OR(AND('10_Analysis_Ready'!$BJ$25="NO",OR('10_Analysis_Ready'!$BK$25="HIGH",'10_Analysis_Ready'!$BK$25="VERY HIGH")),AND(((OR('10_Analysis_Ready'!$AG$25="YES",'10_Analysis_Ready'!$AH$25="YES"))*1+('10_Analysis_Ready'!$AI$25="YES")+('10_Analysis_Ready'!$AJ$25="YES")+('10_Analysis_Ready'!$AK$25="YES")+('10_Analysis_Ready'!$AL$25="YES"))=0,'10_Analysis_Ready'!$BJ$25="YES")),1,0))</f>
        <v>0</v>
      </c>
      <c r="I42">
        <f>IF('10_Analysis_Ready'!$A$25="",0,IF(AND(((OR('10_Analysis_Ready'!$AG$25="YES",'10_Analysis_Ready'!$AH$25="YES"))*1+('10_Analysis_Ready'!$AI$25="YES")+('10_Analysis_Ready'!$AJ$25="YES")+('10_Analysis_Ready'!$AK$25="YES")+('10_Analysis_Ready'!$AL$25="YES"))=0,'10_Analysis_Ready'!$AM$25&lt;&gt;"N/A"),1,0))</f>
        <v>0</v>
      </c>
      <c r="J42">
        <f>IF('10_Analysis_Ready'!$A$25="",0,IF(('28_Taxonomy_Coding'!$G$25="NONE")&lt;&gt;(((OR('10_Analysis_Ready'!$AG$25="YES",'10_Analysis_Ready'!$AH$25="YES"))*1+('10_Analysis_Ready'!$AI$25="YES")+('10_Analysis_Ready'!$AJ$25="YES")+('10_Analysis_Ready'!$AK$25="YES")+('10_Analysis_Ready'!$AL$25="YES"))=0),1,0))</f>
        <v>0</v>
      </c>
    </row>
    <row r="43" spans="1:10">
      <c r="A43">
        <v>26</v>
      </c>
      <c r="B43" t="str">
        <f>IF('10_Analysis_Ready'!$A$26="","",'10_Analysis_Ready'!$A$26)</f>
        <v>R0034</v>
      </c>
      <c r="C43">
        <f>IF('10_Analysis_Ready'!$A$26="",0,IF(AND('28_Taxonomy_Coding'!$A$26='10_Analysis_Ready'!$A$26,'14_Generalization_Map'!$A$26='10_Analysis_Ready'!$A$26),0,1))</f>
        <v>0</v>
      </c>
      <c r="D43">
        <f>IF('10_Analysis_Ready'!$A$26="",0,IF(COUNTIFS('06_Full_Text_Screening'!$A:$A,'10_Analysis_Ready'!$A$26,'06_Full_Text_Screening'!$J:$J,"INCLUDE")=1,0,1))</f>
        <v>0</v>
      </c>
      <c r="E43">
        <f>IF('10_Analysis_Ready'!$A$26="",0,IF(OR(AND(((OR('10_Analysis_Ready'!$AG$26="YES",'10_Analysis_Ready'!$AH$26="YES"))*1+('10_Analysis_Ready'!$AI$26="YES")+('10_Analysis_Ready'!$AJ$26="YES")+('10_Analysis_Ready'!$AK$26="YES")+('10_Analysis_Ready'!$AL$26="YES"))=0,'10_Analysis_Ready'!$AF$26&lt;&gt;"NONE"),AND(((OR('10_Analysis_Ready'!$AG$26="YES",'10_Analysis_Ready'!$AH$26="YES"))*1+('10_Analysis_Ready'!$AI$26="YES")+('10_Analysis_Ready'!$AJ$26="YES")+('10_Analysis_Ready'!$AK$26="YES")+('10_Analysis_Ready'!$AL$26="YES"))=1,OR('10_Analysis_Ready'!$AF$26="NONE",'10_Analysis_Ready'!$AF$26="MULTIPLE")),AND(((OR('10_Analysis_Ready'!$AG$26="YES",'10_Analysis_Ready'!$AH$26="YES"))*1+('10_Analysis_Ready'!$AI$26="YES")+('10_Analysis_Ready'!$AJ$26="YES")+('10_Analysis_Ready'!$AK$26="YES")+('10_Analysis_Ready'!$AL$26="YES"))&gt;=2,'10_Analysis_Ready'!$AF$26&lt;&gt;"MULTIPLE")),1,0))</f>
        <v>0</v>
      </c>
      <c r="F43">
        <f>IF('10_Analysis_Ready'!$A$26="",0,IF(AND('10_Analysis_Ready'!$AO$26="NO",COUNTIF('10_Analysis_Ready'!$AP$26:$AU$26,"YES")&gt;0),1,0))</f>
        <v>0</v>
      </c>
      <c r="G43">
        <f>IF('10_Analysis_Ready'!$A$26="",0,IF(OR(AND('10_Analysis_Ready'!$Y$26="GAN",'10_Analysis_Ready'!$AA$26="YES"),AND('10_Analysis_Ready'!$Y$26="DIFFUSION",'10_Analysis_Ready'!$Z$26="YES"),AND('10_Analysis_Ready'!$Y$26="GAN+DIFFUSION",OR('10_Analysis_Ready'!$Z$26&lt;&gt;"YES",'10_Analysis_Ready'!$AA$26&lt;&gt;"YES"))),1,0))</f>
        <v>0</v>
      </c>
      <c r="H43">
        <f>IF('10_Analysis_Ready'!$A$26="",0,IF(OR(AND('10_Analysis_Ready'!$BJ$26="NO",OR('10_Analysis_Ready'!$BK$26="HIGH",'10_Analysis_Ready'!$BK$26="VERY HIGH")),AND(((OR('10_Analysis_Ready'!$AG$26="YES",'10_Analysis_Ready'!$AH$26="YES"))*1+('10_Analysis_Ready'!$AI$26="YES")+('10_Analysis_Ready'!$AJ$26="YES")+('10_Analysis_Ready'!$AK$26="YES")+('10_Analysis_Ready'!$AL$26="YES"))=0,'10_Analysis_Ready'!$BJ$26="YES")),1,0))</f>
        <v>0</v>
      </c>
      <c r="I43">
        <f>IF('10_Analysis_Ready'!$A$26="",0,IF(AND(((OR('10_Analysis_Ready'!$AG$26="YES",'10_Analysis_Ready'!$AH$26="YES"))*1+('10_Analysis_Ready'!$AI$26="YES")+('10_Analysis_Ready'!$AJ$26="YES")+('10_Analysis_Ready'!$AK$26="YES")+('10_Analysis_Ready'!$AL$26="YES"))=0,'10_Analysis_Ready'!$AM$26&lt;&gt;"N/A"),1,0))</f>
        <v>0</v>
      </c>
      <c r="J43">
        <f>IF('10_Analysis_Ready'!$A$26="",0,IF(('28_Taxonomy_Coding'!$G$26="NONE")&lt;&gt;(((OR('10_Analysis_Ready'!$AG$26="YES",'10_Analysis_Ready'!$AH$26="YES"))*1+('10_Analysis_Ready'!$AI$26="YES")+('10_Analysis_Ready'!$AJ$26="YES")+('10_Analysis_Ready'!$AK$26="YES")+('10_Analysis_Ready'!$AL$26="YES"))=0),1,0))</f>
        <v>0</v>
      </c>
    </row>
    <row r="44" spans="1:10">
      <c r="A44">
        <v>27</v>
      </c>
      <c r="B44" t="str">
        <f>IF('10_Analysis_Ready'!$A$27="","",'10_Analysis_Ready'!$A$27)</f>
        <v>R0035</v>
      </c>
      <c r="C44">
        <f>IF('10_Analysis_Ready'!$A$27="",0,IF(AND('28_Taxonomy_Coding'!$A$27='10_Analysis_Ready'!$A$27,'14_Generalization_Map'!$A$27='10_Analysis_Ready'!$A$27),0,1))</f>
        <v>0</v>
      </c>
      <c r="D44">
        <f>IF('10_Analysis_Ready'!$A$27="",0,IF(COUNTIFS('06_Full_Text_Screening'!$A:$A,'10_Analysis_Ready'!$A$27,'06_Full_Text_Screening'!$J:$J,"INCLUDE")=1,0,1))</f>
        <v>0</v>
      </c>
      <c r="E44">
        <f>IF('10_Analysis_Ready'!$A$27="",0,IF(OR(AND(((OR('10_Analysis_Ready'!$AG$27="YES",'10_Analysis_Ready'!$AH$27="YES"))*1+('10_Analysis_Ready'!$AI$27="YES")+('10_Analysis_Ready'!$AJ$27="YES")+('10_Analysis_Ready'!$AK$27="YES")+('10_Analysis_Ready'!$AL$27="YES"))=0,'10_Analysis_Ready'!$AF$27&lt;&gt;"NONE"),AND(((OR('10_Analysis_Ready'!$AG$27="YES",'10_Analysis_Ready'!$AH$27="YES"))*1+('10_Analysis_Ready'!$AI$27="YES")+('10_Analysis_Ready'!$AJ$27="YES")+('10_Analysis_Ready'!$AK$27="YES")+('10_Analysis_Ready'!$AL$27="YES"))=1,OR('10_Analysis_Ready'!$AF$27="NONE",'10_Analysis_Ready'!$AF$27="MULTIPLE")),AND(((OR('10_Analysis_Ready'!$AG$27="YES",'10_Analysis_Ready'!$AH$27="YES"))*1+('10_Analysis_Ready'!$AI$27="YES")+('10_Analysis_Ready'!$AJ$27="YES")+('10_Analysis_Ready'!$AK$27="YES")+('10_Analysis_Ready'!$AL$27="YES"))&gt;=2,'10_Analysis_Ready'!$AF$27&lt;&gt;"MULTIPLE")),1,0))</f>
        <v>0</v>
      </c>
      <c r="F44">
        <f>IF('10_Analysis_Ready'!$A$27="",0,IF(AND('10_Analysis_Ready'!$AO$27="NO",COUNTIF('10_Analysis_Ready'!$AP$27:$AU$27,"YES")&gt;0),1,0))</f>
        <v>0</v>
      </c>
      <c r="G44">
        <f>IF('10_Analysis_Ready'!$A$27="",0,IF(OR(AND('10_Analysis_Ready'!$Y$27="GAN",'10_Analysis_Ready'!$AA$27="YES"),AND('10_Analysis_Ready'!$Y$27="DIFFUSION",'10_Analysis_Ready'!$Z$27="YES"),AND('10_Analysis_Ready'!$Y$27="GAN+DIFFUSION",OR('10_Analysis_Ready'!$Z$27&lt;&gt;"YES",'10_Analysis_Ready'!$AA$27&lt;&gt;"YES"))),1,0))</f>
        <v>0</v>
      </c>
      <c r="H44">
        <f>IF('10_Analysis_Ready'!$A$27="",0,IF(OR(AND('10_Analysis_Ready'!$BJ$27="NO",OR('10_Analysis_Ready'!$BK$27="HIGH",'10_Analysis_Ready'!$BK$27="VERY HIGH")),AND(((OR('10_Analysis_Ready'!$AG$27="YES",'10_Analysis_Ready'!$AH$27="YES"))*1+('10_Analysis_Ready'!$AI$27="YES")+('10_Analysis_Ready'!$AJ$27="YES")+('10_Analysis_Ready'!$AK$27="YES")+('10_Analysis_Ready'!$AL$27="YES"))=0,'10_Analysis_Ready'!$BJ$27="YES")),1,0))</f>
        <v>0</v>
      </c>
      <c r="I44">
        <f>IF('10_Analysis_Ready'!$A$27="",0,IF(AND(((OR('10_Analysis_Ready'!$AG$27="YES",'10_Analysis_Ready'!$AH$27="YES"))*1+('10_Analysis_Ready'!$AI$27="YES")+('10_Analysis_Ready'!$AJ$27="YES")+('10_Analysis_Ready'!$AK$27="YES")+('10_Analysis_Ready'!$AL$27="YES"))=0,'10_Analysis_Ready'!$AM$27&lt;&gt;"N/A"),1,0))</f>
        <v>0</v>
      </c>
      <c r="J44">
        <f>IF('10_Analysis_Ready'!$A$27="",0,IF(('28_Taxonomy_Coding'!$G$27="NONE")&lt;&gt;(((OR('10_Analysis_Ready'!$AG$27="YES",'10_Analysis_Ready'!$AH$27="YES"))*1+('10_Analysis_Ready'!$AI$27="YES")+('10_Analysis_Ready'!$AJ$27="YES")+('10_Analysis_Ready'!$AK$27="YES")+('10_Analysis_Ready'!$AL$27="YES"))=0),1,0))</f>
        <v>0</v>
      </c>
    </row>
    <row r="45" spans="1:10">
      <c r="A45">
        <v>28</v>
      </c>
      <c r="B45" t="str">
        <f>IF('10_Analysis_Ready'!$A$28="","",'10_Analysis_Ready'!$A$28)</f>
        <v>R0037</v>
      </c>
      <c r="C45">
        <f>IF('10_Analysis_Ready'!$A$28="",0,IF(AND('28_Taxonomy_Coding'!$A$28='10_Analysis_Ready'!$A$28,'14_Generalization_Map'!$A$28='10_Analysis_Ready'!$A$28),0,1))</f>
        <v>0</v>
      </c>
      <c r="D45">
        <f>IF('10_Analysis_Ready'!$A$28="",0,IF(COUNTIFS('06_Full_Text_Screening'!$A:$A,'10_Analysis_Ready'!$A$28,'06_Full_Text_Screening'!$J:$J,"INCLUDE")=1,0,1))</f>
        <v>0</v>
      </c>
      <c r="E45">
        <f>IF('10_Analysis_Ready'!$A$28="",0,IF(OR(AND(((OR('10_Analysis_Ready'!$AG$28="YES",'10_Analysis_Ready'!$AH$28="YES"))*1+('10_Analysis_Ready'!$AI$28="YES")+('10_Analysis_Ready'!$AJ$28="YES")+('10_Analysis_Ready'!$AK$28="YES")+('10_Analysis_Ready'!$AL$28="YES"))=0,'10_Analysis_Ready'!$AF$28&lt;&gt;"NONE"),AND(((OR('10_Analysis_Ready'!$AG$28="YES",'10_Analysis_Ready'!$AH$28="YES"))*1+('10_Analysis_Ready'!$AI$28="YES")+('10_Analysis_Ready'!$AJ$28="YES")+('10_Analysis_Ready'!$AK$28="YES")+('10_Analysis_Ready'!$AL$28="YES"))=1,OR('10_Analysis_Ready'!$AF$28="NONE",'10_Analysis_Ready'!$AF$28="MULTIPLE")),AND(((OR('10_Analysis_Ready'!$AG$28="YES",'10_Analysis_Ready'!$AH$28="YES"))*1+('10_Analysis_Ready'!$AI$28="YES")+('10_Analysis_Ready'!$AJ$28="YES")+('10_Analysis_Ready'!$AK$28="YES")+('10_Analysis_Ready'!$AL$28="YES"))&gt;=2,'10_Analysis_Ready'!$AF$28&lt;&gt;"MULTIPLE")),1,0))</f>
        <v>0</v>
      </c>
      <c r="F45">
        <f>IF('10_Analysis_Ready'!$A$28="",0,IF(AND('10_Analysis_Ready'!$AO$28="NO",COUNTIF('10_Analysis_Ready'!$AP$28:$AU$28,"YES")&gt;0),1,0))</f>
        <v>0</v>
      </c>
      <c r="G45">
        <f>IF('10_Analysis_Ready'!$A$28="",0,IF(OR(AND('10_Analysis_Ready'!$Y$28="GAN",'10_Analysis_Ready'!$AA$28="YES"),AND('10_Analysis_Ready'!$Y$28="DIFFUSION",'10_Analysis_Ready'!$Z$28="YES"),AND('10_Analysis_Ready'!$Y$28="GAN+DIFFUSION",OR('10_Analysis_Ready'!$Z$28&lt;&gt;"YES",'10_Analysis_Ready'!$AA$28&lt;&gt;"YES"))),1,0))</f>
        <v>0</v>
      </c>
      <c r="H45">
        <f>IF('10_Analysis_Ready'!$A$28="",0,IF(OR(AND('10_Analysis_Ready'!$BJ$28="NO",OR('10_Analysis_Ready'!$BK$28="HIGH",'10_Analysis_Ready'!$BK$28="VERY HIGH")),AND(((OR('10_Analysis_Ready'!$AG$28="YES",'10_Analysis_Ready'!$AH$28="YES"))*1+('10_Analysis_Ready'!$AI$28="YES")+('10_Analysis_Ready'!$AJ$28="YES")+('10_Analysis_Ready'!$AK$28="YES")+('10_Analysis_Ready'!$AL$28="YES"))=0,'10_Analysis_Ready'!$BJ$28="YES")),1,0))</f>
        <v>0</v>
      </c>
      <c r="I45">
        <f>IF('10_Analysis_Ready'!$A$28="",0,IF(AND(((OR('10_Analysis_Ready'!$AG$28="YES",'10_Analysis_Ready'!$AH$28="YES"))*1+('10_Analysis_Ready'!$AI$28="YES")+('10_Analysis_Ready'!$AJ$28="YES")+('10_Analysis_Ready'!$AK$28="YES")+('10_Analysis_Ready'!$AL$28="YES"))=0,'10_Analysis_Ready'!$AM$28&lt;&gt;"N/A"),1,0))</f>
        <v>0</v>
      </c>
      <c r="J45">
        <f>IF('10_Analysis_Ready'!$A$28="",0,IF(('28_Taxonomy_Coding'!$G$28="NONE")&lt;&gt;(((OR('10_Analysis_Ready'!$AG$28="YES",'10_Analysis_Ready'!$AH$28="YES"))*1+('10_Analysis_Ready'!$AI$28="YES")+('10_Analysis_Ready'!$AJ$28="YES")+('10_Analysis_Ready'!$AK$28="YES")+('10_Analysis_Ready'!$AL$28="YES"))=0),1,0))</f>
        <v>0</v>
      </c>
    </row>
    <row r="46" spans="1:10">
      <c r="A46">
        <v>29</v>
      </c>
      <c r="B46" t="str">
        <f>IF('10_Analysis_Ready'!$A$29="","",'10_Analysis_Ready'!$A$29)</f>
        <v>R0039</v>
      </c>
      <c r="C46">
        <f>IF('10_Analysis_Ready'!$A$29="",0,IF(AND('28_Taxonomy_Coding'!$A$29='10_Analysis_Ready'!$A$29,'14_Generalization_Map'!$A$29='10_Analysis_Ready'!$A$29),0,1))</f>
        <v>0</v>
      </c>
      <c r="D46">
        <f>IF('10_Analysis_Ready'!$A$29="",0,IF(COUNTIFS('06_Full_Text_Screening'!$A:$A,'10_Analysis_Ready'!$A$29,'06_Full_Text_Screening'!$J:$J,"INCLUDE")=1,0,1))</f>
        <v>0</v>
      </c>
      <c r="E46">
        <f>IF('10_Analysis_Ready'!$A$29="",0,IF(OR(AND(((OR('10_Analysis_Ready'!$AG$29="YES",'10_Analysis_Ready'!$AH$29="YES"))*1+('10_Analysis_Ready'!$AI$29="YES")+('10_Analysis_Ready'!$AJ$29="YES")+('10_Analysis_Ready'!$AK$29="YES")+('10_Analysis_Ready'!$AL$29="YES"))=0,'10_Analysis_Ready'!$AF$29&lt;&gt;"NONE"),AND(((OR('10_Analysis_Ready'!$AG$29="YES",'10_Analysis_Ready'!$AH$29="YES"))*1+('10_Analysis_Ready'!$AI$29="YES")+('10_Analysis_Ready'!$AJ$29="YES")+('10_Analysis_Ready'!$AK$29="YES")+('10_Analysis_Ready'!$AL$29="YES"))=1,OR('10_Analysis_Ready'!$AF$29="NONE",'10_Analysis_Ready'!$AF$29="MULTIPLE")),AND(((OR('10_Analysis_Ready'!$AG$29="YES",'10_Analysis_Ready'!$AH$29="YES"))*1+('10_Analysis_Ready'!$AI$29="YES")+('10_Analysis_Ready'!$AJ$29="YES")+('10_Analysis_Ready'!$AK$29="YES")+('10_Analysis_Ready'!$AL$29="YES"))&gt;=2,'10_Analysis_Ready'!$AF$29&lt;&gt;"MULTIPLE")),1,0))</f>
        <v>0</v>
      </c>
      <c r="F46">
        <f>IF('10_Analysis_Ready'!$A$29="",0,IF(AND('10_Analysis_Ready'!$AO$29="NO",COUNTIF('10_Analysis_Ready'!$AP$29:$AU$29,"YES")&gt;0),1,0))</f>
        <v>0</v>
      </c>
      <c r="G46">
        <f>IF('10_Analysis_Ready'!$A$29="",0,IF(OR(AND('10_Analysis_Ready'!$Y$29="GAN",'10_Analysis_Ready'!$AA$29="YES"),AND('10_Analysis_Ready'!$Y$29="DIFFUSION",'10_Analysis_Ready'!$Z$29="YES"),AND('10_Analysis_Ready'!$Y$29="GAN+DIFFUSION",OR('10_Analysis_Ready'!$Z$29&lt;&gt;"YES",'10_Analysis_Ready'!$AA$29&lt;&gt;"YES"))),1,0))</f>
        <v>0</v>
      </c>
      <c r="H46">
        <f>IF('10_Analysis_Ready'!$A$29="",0,IF(OR(AND('10_Analysis_Ready'!$BJ$29="NO",OR('10_Analysis_Ready'!$BK$29="HIGH",'10_Analysis_Ready'!$BK$29="VERY HIGH")),AND(((OR('10_Analysis_Ready'!$AG$29="YES",'10_Analysis_Ready'!$AH$29="YES"))*1+('10_Analysis_Ready'!$AI$29="YES")+('10_Analysis_Ready'!$AJ$29="YES")+('10_Analysis_Ready'!$AK$29="YES")+('10_Analysis_Ready'!$AL$29="YES"))=0,'10_Analysis_Ready'!$BJ$29="YES")),1,0))</f>
        <v>0</v>
      </c>
      <c r="I46">
        <f>IF('10_Analysis_Ready'!$A$29="",0,IF(AND(((OR('10_Analysis_Ready'!$AG$29="YES",'10_Analysis_Ready'!$AH$29="YES"))*1+('10_Analysis_Ready'!$AI$29="YES")+('10_Analysis_Ready'!$AJ$29="YES")+('10_Analysis_Ready'!$AK$29="YES")+('10_Analysis_Ready'!$AL$29="YES"))=0,'10_Analysis_Ready'!$AM$29&lt;&gt;"N/A"),1,0))</f>
        <v>0</v>
      </c>
      <c r="J46">
        <f>IF('10_Analysis_Ready'!$A$29="",0,IF(('28_Taxonomy_Coding'!$G$29="NONE")&lt;&gt;(((OR('10_Analysis_Ready'!$AG$29="YES",'10_Analysis_Ready'!$AH$29="YES"))*1+('10_Analysis_Ready'!$AI$29="YES")+('10_Analysis_Ready'!$AJ$29="YES")+('10_Analysis_Ready'!$AK$29="YES")+('10_Analysis_Ready'!$AL$29="YES"))=0),1,0))</f>
        <v>0</v>
      </c>
    </row>
    <row r="47" spans="1:10">
      <c r="A47">
        <v>30</v>
      </c>
      <c r="B47" t="str">
        <f>IF('10_Analysis_Ready'!$A$30="","",'10_Analysis_Ready'!$A$30)</f>
        <v>R0040</v>
      </c>
      <c r="C47">
        <f>IF('10_Analysis_Ready'!$A$30="",0,IF(AND('28_Taxonomy_Coding'!$A$30='10_Analysis_Ready'!$A$30,'14_Generalization_Map'!$A$30='10_Analysis_Ready'!$A$30),0,1))</f>
        <v>0</v>
      </c>
      <c r="D47">
        <f>IF('10_Analysis_Ready'!$A$30="",0,IF(COUNTIFS('06_Full_Text_Screening'!$A:$A,'10_Analysis_Ready'!$A$30,'06_Full_Text_Screening'!$J:$J,"INCLUDE")=1,0,1))</f>
        <v>0</v>
      </c>
      <c r="E47">
        <f>IF('10_Analysis_Ready'!$A$30="",0,IF(OR(AND(((OR('10_Analysis_Ready'!$AG$30="YES",'10_Analysis_Ready'!$AH$30="YES"))*1+('10_Analysis_Ready'!$AI$30="YES")+('10_Analysis_Ready'!$AJ$30="YES")+('10_Analysis_Ready'!$AK$30="YES")+('10_Analysis_Ready'!$AL$30="YES"))=0,'10_Analysis_Ready'!$AF$30&lt;&gt;"NONE"),AND(((OR('10_Analysis_Ready'!$AG$30="YES",'10_Analysis_Ready'!$AH$30="YES"))*1+('10_Analysis_Ready'!$AI$30="YES")+('10_Analysis_Ready'!$AJ$30="YES")+('10_Analysis_Ready'!$AK$30="YES")+('10_Analysis_Ready'!$AL$30="YES"))=1,OR('10_Analysis_Ready'!$AF$30="NONE",'10_Analysis_Ready'!$AF$30="MULTIPLE")),AND(((OR('10_Analysis_Ready'!$AG$30="YES",'10_Analysis_Ready'!$AH$30="YES"))*1+('10_Analysis_Ready'!$AI$30="YES")+('10_Analysis_Ready'!$AJ$30="YES")+('10_Analysis_Ready'!$AK$30="YES")+('10_Analysis_Ready'!$AL$30="YES"))&gt;=2,'10_Analysis_Ready'!$AF$30&lt;&gt;"MULTIPLE")),1,0))</f>
        <v>0</v>
      </c>
      <c r="F47">
        <f>IF('10_Analysis_Ready'!$A$30="",0,IF(AND('10_Analysis_Ready'!$AO$30="NO",COUNTIF('10_Analysis_Ready'!$AP$30:$AU$30,"YES")&gt;0),1,0))</f>
        <v>0</v>
      </c>
      <c r="G47">
        <f>IF('10_Analysis_Ready'!$A$30="",0,IF(OR(AND('10_Analysis_Ready'!$Y$30="GAN",'10_Analysis_Ready'!$AA$30="YES"),AND('10_Analysis_Ready'!$Y$30="DIFFUSION",'10_Analysis_Ready'!$Z$30="YES"),AND('10_Analysis_Ready'!$Y$30="GAN+DIFFUSION",OR('10_Analysis_Ready'!$Z$30&lt;&gt;"YES",'10_Analysis_Ready'!$AA$30&lt;&gt;"YES"))),1,0))</f>
        <v>0</v>
      </c>
      <c r="H47">
        <f>IF('10_Analysis_Ready'!$A$30="",0,IF(OR(AND('10_Analysis_Ready'!$BJ$30="NO",OR('10_Analysis_Ready'!$BK$30="HIGH",'10_Analysis_Ready'!$BK$30="VERY HIGH")),AND(((OR('10_Analysis_Ready'!$AG$30="YES",'10_Analysis_Ready'!$AH$30="YES"))*1+('10_Analysis_Ready'!$AI$30="YES")+('10_Analysis_Ready'!$AJ$30="YES")+('10_Analysis_Ready'!$AK$30="YES")+('10_Analysis_Ready'!$AL$30="YES"))=0,'10_Analysis_Ready'!$BJ$30="YES")),1,0))</f>
        <v>0</v>
      </c>
      <c r="I47">
        <f>IF('10_Analysis_Ready'!$A$30="",0,IF(AND(((OR('10_Analysis_Ready'!$AG$30="YES",'10_Analysis_Ready'!$AH$30="YES"))*1+('10_Analysis_Ready'!$AI$30="YES")+('10_Analysis_Ready'!$AJ$30="YES")+('10_Analysis_Ready'!$AK$30="YES")+('10_Analysis_Ready'!$AL$30="YES"))=0,'10_Analysis_Ready'!$AM$30&lt;&gt;"N/A"),1,0))</f>
        <v>0</v>
      </c>
      <c r="J47">
        <f>IF('10_Analysis_Ready'!$A$30="",0,IF(('28_Taxonomy_Coding'!$G$30="NONE")&lt;&gt;(((OR('10_Analysis_Ready'!$AG$30="YES",'10_Analysis_Ready'!$AH$30="YES"))*1+('10_Analysis_Ready'!$AI$30="YES")+('10_Analysis_Ready'!$AJ$30="YES")+('10_Analysis_Ready'!$AK$30="YES")+('10_Analysis_Ready'!$AL$30="YES"))=0),1,0))</f>
        <v>0</v>
      </c>
    </row>
    <row r="48" spans="1:10">
      <c r="A48">
        <v>31</v>
      </c>
      <c r="B48" t="str">
        <f>IF('10_Analysis_Ready'!$A$31="","",'10_Analysis_Ready'!$A$31)</f>
        <v>R0041</v>
      </c>
      <c r="C48">
        <f>IF('10_Analysis_Ready'!$A$31="",0,IF(AND('28_Taxonomy_Coding'!$A$31='10_Analysis_Ready'!$A$31,'14_Generalization_Map'!$A$31='10_Analysis_Ready'!$A$31),0,1))</f>
        <v>0</v>
      </c>
      <c r="D48">
        <f>IF('10_Analysis_Ready'!$A$31="",0,IF(COUNTIFS('06_Full_Text_Screening'!$A:$A,'10_Analysis_Ready'!$A$31,'06_Full_Text_Screening'!$J:$J,"INCLUDE")=1,0,1))</f>
        <v>0</v>
      </c>
      <c r="E48">
        <f>IF('10_Analysis_Ready'!$A$31="",0,IF(OR(AND(((OR('10_Analysis_Ready'!$AG$31="YES",'10_Analysis_Ready'!$AH$31="YES"))*1+('10_Analysis_Ready'!$AI$31="YES")+('10_Analysis_Ready'!$AJ$31="YES")+('10_Analysis_Ready'!$AK$31="YES")+('10_Analysis_Ready'!$AL$31="YES"))=0,'10_Analysis_Ready'!$AF$31&lt;&gt;"NONE"),AND(((OR('10_Analysis_Ready'!$AG$31="YES",'10_Analysis_Ready'!$AH$31="YES"))*1+('10_Analysis_Ready'!$AI$31="YES")+('10_Analysis_Ready'!$AJ$31="YES")+('10_Analysis_Ready'!$AK$31="YES")+('10_Analysis_Ready'!$AL$31="YES"))=1,OR('10_Analysis_Ready'!$AF$31="NONE",'10_Analysis_Ready'!$AF$31="MULTIPLE")),AND(((OR('10_Analysis_Ready'!$AG$31="YES",'10_Analysis_Ready'!$AH$31="YES"))*1+('10_Analysis_Ready'!$AI$31="YES")+('10_Analysis_Ready'!$AJ$31="YES")+('10_Analysis_Ready'!$AK$31="YES")+('10_Analysis_Ready'!$AL$31="YES"))&gt;=2,'10_Analysis_Ready'!$AF$31&lt;&gt;"MULTIPLE")),1,0))</f>
        <v>0</v>
      </c>
      <c r="F48">
        <f>IF('10_Analysis_Ready'!$A$31="",0,IF(AND('10_Analysis_Ready'!$AO$31="NO",COUNTIF('10_Analysis_Ready'!$AP$31:$AU$31,"YES")&gt;0),1,0))</f>
        <v>0</v>
      </c>
      <c r="G48">
        <f>IF('10_Analysis_Ready'!$A$31="",0,IF(OR(AND('10_Analysis_Ready'!$Y$31="GAN",'10_Analysis_Ready'!$AA$31="YES"),AND('10_Analysis_Ready'!$Y$31="DIFFUSION",'10_Analysis_Ready'!$Z$31="YES"),AND('10_Analysis_Ready'!$Y$31="GAN+DIFFUSION",OR('10_Analysis_Ready'!$Z$31&lt;&gt;"YES",'10_Analysis_Ready'!$AA$31&lt;&gt;"YES"))),1,0))</f>
        <v>0</v>
      </c>
      <c r="H48">
        <f>IF('10_Analysis_Ready'!$A$31="",0,IF(OR(AND('10_Analysis_Ready'!$BJ$31="NO",OR('10_Analysis_Ready'!$BK$31="HIGH",'10_Analysis_Ready'!$BK$31="VERY HIGH")),AND(((OR('10_Analysis_Ready'!$AG$31="YES",'10_Analysis_Ready'!$AH$31="YES"))*1+('10_Analysis_Ready'!$AI$31="YES")+('10_Analysis_Ready'!$AJ$31="YES")+('10_Analysis_Ready'!$AK$31="YES")+('10_Analysis_Ready'!$AL$31="YES"))=0,'10_Analysis_Ready'!$BJ$31="YES")),1,0))</f>
        <v>0</v>
      </c>
      <c r="I48">
        <f>IF('10_Analysis_Ready'!$A$31="",0,IF(AND(((OR('10_Analysis_Ready'!$AG$31="YES",'10_Analysis_Ready'!$AH$31="YES"))*1+('10_Analysis_Ready'!$AI$31="YES")+('10_Analysis_Ready'!$AJ$31="YES")+('10_Analysis_Ready'!$AK$31="YES")+('10_Analysis_Ready'!$AL$31="YES"))=0,'10_Analysis_Ready'!$AM$31&lt;&gt;"N/A"),1,0))</f>
        <v>0</v>
      </c>
      <c r="J48">
        <f>IF('10_Analysis_Ready'!$A$31="",0,IF(('28_Taxonomy_Coding'!$G$31="NONE")&lt;&gt;(((OR('10_Analysis_Ready'!$AG$31="YES",'10_Analysis_Ready'!$AH$31="YES"))*1+('10_Analysis_Ready'!$AI$31="YES")+('10_Analysis_Ready'!$AJ$31="YES")+('10_Analysis_Ready'!$AK$31="YES")+('10_Analysis_Ready'!$AL$31="YES"))=0),1,0))</f>
        <v>0</v>
      </c>
    </row>
    <row r="49" spans="1:10">
      <c r="A49">
        <v>32</v>
      </c>
      <c r="B49" t="str">
        <f>IF('10_Analysis_Ready'!$A$32="","",'10_Analysis_Ready'!$A$32)</f>
        <v>R0045</v>
      </c>
      <c r="C49">
        <f>IF('10_Analysis_Ready'!$A$32="",0,IF(AND('28_Taxonomy_Coding'!$A$32='10_Analysis_Ready'!$A$32,'14_Generalization_Map'!$A$32='10_Analysis_Ready'!$A$32),0,1))</f>
        <v>0</v>
      </c>
      <c r="D49">
        <f>IF('10_Analysis_Ready'!$A$32="",0,IF(COUNTIFS('06_Full_Text_Screening'!$A:$A,'10_Analysis_Ready'!$A$32,'06_Full_Text_Screening'!$J:$J,"INCLUDE")=1,0,1))</f>
        <v>0</v>
      </c>
      <c r="E49">
        <f>IF('10_Analysis_Ready'!$A$32="",0,IF(OR(AND(((OR('10_Analysis_Ready'!$AG$32="YES",'10_Analysis_Ready'!$AH$32="YES"))*1+('10_Analysis_Ready'!$AI$32="YES")+('10_Analysis_Ready'!$AJ$32="YES")+('10_Analysis_Ready'!$AK$32="YES")+('10_Analysis_Ready'!$AL$32="YES"))=0,'10_Analysis_Ready'!$AF$32&lt;&gt;"NONE"),AND(((OR('10_Analysis_Ready'!$AG$32="YES",'10_Analysis_Ready'!$AH$32="YES"))*1+('10_Analysis_Ready'!$AI$32="YES")+('10_Analysis_Ready'!$AJ$32="YES")+('10_Analysis_Ready'!$AK$32="YES")+('10_Analysis_Ready'!$AL$32="YES"))=1,OR('10_Analysis_Ready'!$AF$32="NONE",'10_Analysis_Ready'!$AF$32="MULTIPLE")),AND(((OR('10_Analysis_Ready'!$AG$32="YES",'10_Analysis_Ready'!$AH$32="YES"))*1+('10_Analysis_Ready'!$AI$32="YES")+('10_Analysis_Ready'!$AJ$32="YES")+('10_Analysis_Ready'!$AK$32="YES")+('10_Analysis_Ready'!$AL$32="YES"))&gt;=2,'10_Analysis_Ready'!$AF$32&lt;&gt;"MULTIPLE")),1,0))</f>
        <v>0</v>
      </c>
      <c r="F49">
        <f>IF('10_Analysis_Ready'!$A$32="",0,IF(AND('10_Analysis_Ready'!$AO$32="NO",COUNTIF('10_Analysis_Ready'!$AP$32:$AU$32,"YES")&gt;0),1,0))</f>
        <v>0</v>
      </c>
      <c r="G49">
        <f>IF('10_Analysis_Ready'!$A$32="",0,IF(OR(AND('10_Analysis_Ready'!$Y$32="GAN",'10_Analysis_Ready'!$AA$32="YES"),AND('10_Analysis_Ready'!$Y$32="DIFFUSION",'10_Analysis_Ready'!$Z$32="YES"),AND('10_Analysis_Ready'!$Y$32="GAN+DIFFUSION",OR('10_Analysis_Ready'!$Z$32&lt;&gt;"YES",'10_Analysis_Ready'!$AA$32&lt;&gt;"YES"))),1,0))</f>
        <v>0</v>
      </c>
      <c r="H49">
        <f>IF('10_Analysis_Ready'!$A$32="",0,IF(OR(AND('10_Analysis_Ready'!$BJ$32="NO",OR('10_Analysis_Ready'!$BK$32="HIGH",'10_Analysis_Ready'!$BK$32="VERY HIGH")),AND(((OR('10_Analysis_Ready'!$AG$32="YES",'10_Analysis_Ready'!$AH$32="YES"))*1+('10_Analysis_Ready'!$AI$32="YES")+('10_Analysis_Ready'!$AJ$32="YES")+('10_Analysis_Ready'!$AK$32="YES")+('10_Analysis_Ready'!$AL$32="YES"))=0,'10_Analysis_Ready'!$BJ$32="YES")),1,0))</f>
        <v>0</v>
      </c>
      <c r="I49">
        <f>IF('10_Analysis_Ready'!$A$32="",0,IF(AND(((OR('10_Analysis_Ready'!$AG$32="YES",'10_Analysis_Ready'!$AH$32="YES"))*1+('10_Analysis_Ready'!$AI$32="YES")+('10_Analysis_Ready'!$AJ$32="YES")+('10_Analysis_Ready'!$AK$32="YES")+('10_Analysis_Ready'!$AL$32="YES"))=0,'10_Analysis_Ready'!$AM$32&lt;&gt;"N/A"),1,0))</f>
        <v>0</v>
      </c>
      <c r="J49">
        <f>IF('10_Analysis_Ready'!$A$32="",0,IF(('28_Taxonomy_Coding'!$G$32="NONE")&lt;&gt;(((OR('10_Analysis_Ready'!$AG$32="YES",'10_Analysis_Ready'!$AH$32="YES"))*1+('10_Analysis_Ready'!$AI$32="YES")+('10_Analysis_Ready'!$AJ$32="YES")+('10_Analysis_Ready'!$AK$32="YES")+('10_Analysis_Ready'!$AL$32="YES"))=0),1,0))</f>
        <v>0</v>
      </c>
    </row>
    <row r="50" spans="1:10">
      <c r="A50">
        <v>33</v>
      </c>
      <c r="B50" t="str">
        <f>IF('10_Analysis_Ready'!$A$33="","",'10_Analysis_Ready'!$A$33)</f>
        <v>R0046</v>
      </c>
      <c r="C50">
        <f>IF('10_Analysis_Ready'!$A$33="",0,IF(AND('28_Taxonomy_Coding'!$A$33='10_Analysis_Ready'!$A$33,'14_Generalization_Map'!$A$33='10_Analysis_Ready'!$A$33),0,1))</f>
        <v>0</v>
      </c>
      <c r="D50">
        <f>IF('10_Analysis_Ready'!$A$33="",0,IF(COUNTIFS('06_Full_Text_Screening'!$A:$A,'10_Analysis_Ready'!$A$33,'06_Full_Text_Screening'!$J:$J,"INCLUDE")=1,0,1))</f>
        <v>0</v>
      </c>
      <c r="E50">
        <f>IF('10_Analysis_Ready'!$A$33="",0,IF(OR(AND(((OR('10_Analysis_Ready'!$AG$33="YES",'10_Analysis_Ready'!$AH$33="YES"))*1+('10_Analysis_Ready'!$AI$33="YES")+('10_Analysis_Ready'!$AJ$33="YES")+('10_Analysis_Ready'!$AK$33="YES")+('10_Analysis_Ready'!$AL$33="YES"))=0,'10_Analysis_Ready'!$AF$33&lt;&gt;"NONE"),AND(((OR('10_Analysis_Ready'!$AG$33="YES",'10_Analysis_Ready'!$AH$33="YES"))*1+('10_Analysis_Ready'!$AI$33="YES")+('10_Analysis_Ready'!$AJ$33="YES")+('10_Analysis_Ready'!$AK$33="YES")+('10_Analysis_Ready'!$AL$33="YES"))=1,OR('10_Analysis_Ready'!$AF$33="NONE",'10_Analysis_Ready'!$AF$33="MULTIPLE")),AND(((OR('10_Analysis_Ready'!$AG$33="YES",'10_Analysis_Ready'!$AH$33="YES"))*1+('10_Analysis_Ready'!$AI$33="YES")+('10_Analysis_Ready'!$AJ$33="YES")+('10_Analysis_Ready'!$AK$33="YES")+('10_Analysis_Ready'!$AL$33="YES"))&gt;=2,'10_Analysis_Ready'!$AF$33&lt;&gt;"MULTIPLE")),1,0))</f>
        <v>0</v>
      </c>
      <c r="F50">
        <f>IF('10_Analysis_Ready'!$A$33="",0,IF(AND('10_Analysis_Ready'!$AO$33="NO",COUNTIF('10_Analysis_Ready'!$AP$33:$AU$33,"YES")&gt;0),1,0))</f>
        <v>0</v>
      </c>
      <c r="G50">
        <f>IF('10_Analysis_Ready'!$A$33="",0,IF(OR(AND('10_Analysis_Ready'!$Y$33="GAN",'10_Analysis_Ready'!$AA$33="YES"),AND('10_Analysis_Ready'!$Y$33="DIFFUSION",'10_Analysis_Ready'!$Z$33="YES"),AND('10_Analysis_Ready'!$Y$33="GAN+DIFFUSION",OR('10_Analysis_Ready'!$Z$33&lt;&gt;"YES",'10_Analysis_Ready'!$AA$33&lt;&gt;"YES"))),1,0))</f>
        <v>0</v>
      </c>
      <c r="H50">
        <f>IF('10_Analysis_Ready'!$A$33="",0,IF(OR(AND('10_Analysis_Ready'!$BJ$33="NO",OR('10_Analysis_Ready'!$BK$33="HIGH",'10_Analysis_Ready'!$BK$33="VERY HIGH")),AND(((OR('10_Analysis_Ready'!$AG$33="YES",'10_Analysis_Ready'!$AH$33="YES"))*1+('10_Analysis_Ready'!$AI$33="YES")+('10_Analysis_Ready'!$AJ$33="YES")+('10_Analysis_Ready'!$AK$33="YES")+('10_Analysis_Ready'!$AL$33="YES"))=0,'10_Analysis_Ready'!$BJ$33="YES")),1,0))</f>
        <v>0</v>
      </c>
      <c r="I50">
        <f>IF('10_Analysis_Ready'!$A$33="",0,IF(AND(((OR('10_Analysis_Ready'!$AG$33="YES",'10_Analysis_Ready'!$AH$33="YES"))*1+('10_Analysis_Ready'!$AI$33="YES")+('10_Analysis_Ready'!$AJ$33="YES")+('10_Analysis_Ready'!$AK$33="YES")+('10_Analysis_Ready'!$AL$33="YES"))=0,'10_Analysis_Ready'!$AM$33&lt;&gt;"N/A"),1,0))</f>
        <v>0</v>
      </c>
      <c r="J50">
        <f>IF('10_Analysis_Ready'!$A$33="",0,IF(('28_Taxonomy_Coding'!$G$33="NONE")&lt;&gt;(((OR('10_Analysis_Ready'!$AG$33="YES",'10_Analysis_Ready'!$AH$33="YES"))*1+('10_Analysis_Ready'!$AI$33="YES")+('10_Analysis_Ready'!$AJ$33="YES")+('10_Analysis_Ready'!$AK$33="YES")+('10_Analysis_Ready'!$AL$33="YES"))=0),1,0))</f>
        <v>0</v>
      </c>
    </row>
    <row r="51" spans="1:10">
      <c r="A51">
        <v>34</v>
      </c>
      <c r="B51" t="str">
        <f>IF('10_Analysis_Ready'!$A$34="","",'10_Analysis_Ready'!$A$34)</f>
        <v>R0047</v>
      </c>
      <c r="C51">
        <f>IF('10_Analysis_Ready'!$A$34="",0,IF(AND('28_Taxonomy_Coding'!$A$34='10_Analysis_Ready'!$A$34,'14_Generalization_Map'!$A$34='10_Analysis_Ready'!$A$34),0,1))</f>
        <v>0</v>
      </c>
      <c r="D51">
        <f>IF('10_Analysis_Ready'!$A$34="",0,IF(COUNTIFS('06_Full_Text_Screening'!$A:$A,'10_Analysis_Ready'!$A$34,'06_Full_Text_Screening'!$J:$J,"INCLUDE")=1,0,1))</f>
        <v>0</v>
      </c>
      <c r="E51">
        <f>IF('10_Analysis_Ready'!$A$34="",0,IF(OR(AND(((OR('10_Analysis_Ready'!$AG$34="YES",'10_Analysis_Ready'!$AH$34="YES"))*1+('10_Analysis_Ready'!$AI$34="YES")+('10_Analysis_Ready'!$AJ$34="YES")+('10_Analysis_Ready'!$AK$34="YES")+('10_Analysis_Ready'!$AL$34="YES"))=0,'10_Analysis_Ready'!$AF$34&lt;&gt;"NONE"),AND(((OR('10_Analysis_Ready'!$AG$34="YES",'10_Analysis_Ready'!$AH$34="YES"))*1+('10_Analysis_Ready'!$AI$34="YES")+('10_Analysis_Ready'!$AJ$34="YES")+('10_Analysis_Ready'!$AK$34="YES")+('10_Analysis_Ready'!$AL$34="YES"))=1,OR('10_Analysis_Ready'!$AF$34="NONE",'10_Analysis_Ready'!$AF$34="MULTIPLE")),AND(((OR('10_Analysis_Ready'!$AG$34="YES",'10_Analysis_Ready'!$AH$34="YES"))*1+('10_Analysis_Ready'!$AI$34="YES")+('10_Analysis_Ready'!$AJ$34="YES")+('10_Analysis_Ready'!$AK$34="YES")+('10_Analysis_Ready'!$AL$34="YES"))&gt;=2,'10_Analysis_Ready'!$AF$34&lt;&gt;"MULTIPLE")),1,0))</f>
        <v>0</v>
      </c>
      <c r="F51">
        <f>IF('10_Analysis_Ready'!$A$34="",0,IF(AND('10_Analysis_Ready'!$AO$34="NO",COUNTIF('10_Analysis_Ready'!$AP$34:$AU$34,"YES")&gt;0),1,0))</f>
        <v>0</v>
      </c>
      <c r="G51">
        <f>IF('10_Analysis_Ready'!$A$34="",0,IF(OR(AND('10_Analysis_Ready'!$Y$34="GAN",'10_Analysis_Ready'!$AA$34="YES"),AND('10_Analysis_Ready'!$Y$34="DIFFUSION",'10_Analysis_Ready'!$Z$34="YES"),AND('10_Analysis_Ready'!$Y$34="GAN+DIFFUSION",OR('10_Analysis_Ready'!$Z$34&lt;&gt;"YES",'10_Analysis_Ready'!$AA$34&lt;&gt;"YES"))),1,0))</f>
        <v>0</v>
      </c>
      <c r="H51">
        <f>IF('10_Analysis_Ready'!$A$34="",0,IF(OR(AND('10_Analysis_Ready'!$BJ$34="NO",OR('10_Analysis_Ready'!$BK$34="HIGH",'10_Analysis_Ready'!$BK$34="VERY HIGH")),AND(((OR('10_Analysis_Ready'!$AG$34="YES",'10_Analysis_Ready'!$AH$34="YES"))*1+('10_Analysis_Ready'!$AI$34="YES")+('10_Analysis_Ready'!$AJ$34="YES")+('10_Analysis_Ready'!$AK$34="YES")+('10_Analysis_Ready'!$AL$34="YES"))=0,'10_Analysis_Ready'!$BJ$34="YES")),1,0))</f>
        <v>0</v>
      </c>
      <c r="I51">
        <f>IF('10_Analysis_Ready'!$A$34="",0,IF(AND(((OR('10_Analysis_Ready'!$AG$34="YES",'10_Analysis_Ready'!$AH$34="YES"))*1+('10_Analysis_Ready'!$AI$34="YES")+('10_Analysis_Ready'!$AJ$34="YES")+('10_Analysis_Ready'!$AK$34="YES")+('10_Analysis_Ready'!$AL$34="YES"))=0,'10_Analysis_Ready'!$AM$34&lt;&gt;"N/A"),1,0))</f>
        <v>0</v>
      </c>
      <c r="J51">
        <f>IF('10_Analysis_Ready'!$A$34="",0,IF(('28_Taxonomy_Coding'!$G$34="NONE")&lt;&gt;(((OR('10_Analysis_Ready'!$AG$34="YES",'10_Analysis_Ready'!$AH$34="YES"))*1+('10_Analysis_Ready'!$AI$34="YES")+('10_Analysis_Ready'!$AJ$34="YES")+('10_Analysis_Ready'!$AK$34="YES")+('10_Analysis_Ready'!$AL$34="YES"))=0),1,0))</f>
        <v>0</v>
      </c>
    </row>
    <row r="52" spans="1:10">
      <c r="A52">
        <v>35</v>
      </c>
      <c r="B52" t="str">
        <f>IF('10_Analysis_Ready'!$A$35="","",'10_Analysis_Ready'!$A$35)</f>
        <v>R0051</v>
      </c>
      <c r="C52">
        <f>IF('10_Analysis_Ready'!$A$35="",0,IF(AND('28_Taxonomy_Coding'!$A$35='10_Analysis_Ready'!$A$35,'14_Generalization_Map'!$A$35='10_Analysis_Ready'!$A$35),0,1))</f>
        <v>0</v>
      </c>
      <c r="D52">
        <f>IF('10_Analysis_Ready'!$A$35="",0,IF(COUNTIFS('06_Full_Text_Screening'!$A:$A,'10_Analysis_Ready'!$A$35,'06_Full_Text_Screening'!$J:$J,"INCLUDE")=1,0,1))</f>
        <v>0</v>
      </c>
      <c r="E52">
        <f>IF('10_Analysis_Ready'!$A$35="",0,IF(OR(AND(((OR('10_Analysis_Ready'!$AG$35="YES",'10_Analysis_Ready'!$AH$35="YES"))*1+('10_Analysis_Ready'!$AI$35="YES")+('10_Analysis_Ready'!$AJ$35="YES")+('10_Analysis_Ready'!$AK$35="YES")+('10_Analysis_Ready'!$AL$35="YES"))=0,'10_Analysis_Ready'!$AF$35&lt;&gt;"NONE"),AND(((OR('10_Analysis_Ready'!$AG$35="YES",'10_Analysis_Ready'!$AH$35="YES"))*1+('10_Analysis_Ready'!$AI$35="YES")+('10_Analysis_Ready'!$AJ$35="YES")+('10_Analysis_Ready'!$AK$35="YES")+('10_Analysis_Ready'!$AL$35="YES"))=1,OR('10_Analysis_Ready'!$AF$35="NONE",'10_Analysis_Ready'!$AF$35="MULTIPLE")),AND(((OR('10_Analysis_Ready'!$AG$35="YES",'10_Analysis_Ready'!$AH$35="YES"))*1+('10_Analysis_Ready'!$AI$35="YES")+('10_Analysis_Ready'!$AJ$35="YES")+('10_Analysis_Ready'!$AK$35="YES")+('10_Analysis_Ready'!$AL$35="YES"))&gt;=2,'10_Analysis_Ready'!$AF$35&lt;&gt;"MULTIPLE")),1,0))</f>
        <v>0</v>
      </c>
      <c r="F52">
        <f>IF('10_Analysis_Ready'!$A$35="",0,IF(AND('10_Analysis_Ready'!$AO$35="NO",COUNTIF('10_Analysis_Ready'!$AP$35:$AU$35,"YES")&gt;0),1,0))</f>
        <v>0</v>
      </c>
      <c r="G52">
        <f>IF('10_Analysis_Ready'!$A$35="",0,IF(OR(AND('10_Analysis_Ready'!$Y$35="GAN",'10_Analysis_Ready'!$AA$35="YES"),AND('10_Analysis_Ready'!$Y$35="DIFFUSION",'10_Analysis_Ready'!$Z$35="YES"),AND('10_Analysis_Ready'!$Y$35="GAN+DIFFUSION",OR('10_Analysis_Ready'!$Z$35&lt;&gt;"YES",'10_Analysis_Ready'!$AA$35&lt;&gt;"YES"))),1,0))</f>
        <v>0</v>
      </c>
      <c r="H52">
        <f>IF('10_Analysis_Ready'!$A$35="",0,IF(OR(AND('10_Analysis_Ready'!$BJ$35="NO",OR('10_Analysis_Ready'!$BK$35="HIGH",'10_Analysis_Ready'!$BK$35="VERY HIGH")),AND(((OR('10_Analysis_Ready'!$AG$35="YES",'10_Analysis_Ready'!$AH$35="YES"))*1+('10_Analysis_Ready'!$AI$35="YES")+('10_Analysis_Ready'!$AJ$35="YES")+('10_Analysis_Ready'!$AK$35="YES")+('10_Analysis_Ready'!$AL$35="YES"))=0,'10_Analysis_Ready'!$BJ$35="YES")),1,0))</f>
        <v>0</v>
      </c>
      <c r="I52">
        <f>IF('10_Analysis_Ready'!$A$35="",0,IF(AND(((OR('10_Analysis_Ready'!$AG$35="YES",'10_Analysis_Ready'!$AH$35="YES"))*1+('10_Analysis_Ready'!$AI$35="YES")+('10_Analysis_Ready'!$AJ$35="YES")+('10_Analysis_Ready'!$AK$35="YES")+('10_Analysis_Ready'!$AL$35="YES"))=0,'10_Analysis_Ready'!$AM$35&lt;&gt;"N/A"),1,0))</f>
        <v>0</v>
      </c>
      <c r="J52">
        <f>IF('10_Analysis_Ready'!$A$35="",0,IF(('28_Taxonomy_Coding'!$G$35="NONE")&lt;&gt;(((OR('10_Analysis_Ready'!$AG$35="YES",'10_Analysis_Ready'!$AH$35="YES"))*1+('10_Analysis_Ready'!$AI$35="YES")+('10_Analysis_Ready'!$AJ$35="YES")+('10_Analysis_Ready'!$AK$35="YES")+('10_Analysis_Ready'!$AL$35="YES"))=0),1,0))</f>
        <v>0</v>
      </c>
    </row>
    <row r="53" spans="1:10">
      <c r="A53">
        <v>36</v>
      </c>
      <c r="B53" t="str">
        <f>IF('10_Analysis_Ready'!$A$36="","",'10_Analysis_Ready'!$A$36)</f>
        <v>R0052</v>
      </c>
      <c r="C53">
        <f>IF('10_Analysis_Ready'!$A$36="",0,IF(AND('28_Taxonomy_Coding'!$A$36='10_Analysis_Ready'!$A$36,'14_Generalization_Map'!$A$36='10_Analysis_Ready'!$A$36),0,1))</f>
        <v>0</v>
      </c>
      <c r="D53">
        <f>IF('10_Analysis_Ready'!$A$36="",0,IF(COUNTIFS('06_Full_Text_Screening'!$A:$A,'10_Analysis_Ready'!$A$36,'06_Full_Text_Screening'!$J:$J,"INCLUDE")=1,0,1))</f>
        <v>0</v>
      </c>
      <c r="E53">
        <f>IF('10_Analysis_Ready'!$A$36="",0,IF(OR(AND(((OR('10_Analysis_Ready'!$AG$36="YES",'10_Analysis_Ready'!$AH$36="YES"))*1+('10_Analysis_Ready'!$AI$36="YES")+('10_Analysis_Ready'!$AJ$36="YES")+('10_Analysis_Ready'!$AK$36="YES")+('10_Analysis_Ready'!$AL$36="YES"))=0,'10_Analysis_Ready'!$AF$36&lt;&gt;"NONE"),AND(((OR('10_Analysis_Ready'!$AG$36="YES",'10_Analysis_Ready'!$AH$36="YES"))*1+('10_Analysis_Ready'!$AI$36="YES")+('10_Analysis_Ready'!$AJ$36="YES")+('10_Analysis_Ready'!$AK$36="YES")+('10_Analysis_Ready'!$AL$36="YES"))=1,OR('10_Analysis_Ready'!$AF$36="NONE",'10_Analysis_Ready'!$AF$36="MULTIPLE")),AND(((OR('10_Analysis_Ready'!$AG$36="YES",'10_Analysis_Ready'!$AH$36="YES"))*1+('10_Analysis_Ready'!$AI$36="YES")+('10_Analysis_Ready'!$AJ$36="YES")+('10_Analysis_Ready'!$AK$36="YES")+('10_Analysis_Ready'!$AL$36="YES"))&gt;=2,'10_Analysis_Ready'!$AF$36&lt;&gt;"MULTIPLE")),1,0))</f>
        <v>0</v>
      </c>
      <c r="F53">
        <f>IF('10_Analysis_Ready'!$A$36="",0,IF(AND('10_Analysis_Ready'!$AO$36="NO",COUNTIF('10_Analysis_Ready'!$AP$36:$AU$36,"YES")&gt;0),1,0))</f>
        <v>0</v>
      </c>
      <c r="G53">
        <f>IF('10_Analysis_Ready'!$A$36="",0,IF(OR(AND('10_Analysis_Ready'!$Y$36="GAN",'10_Analysis_Ready'!$AA$36="YES"),AND('10_Analysis_Ready'!$Y$36="DIFFUSION",'10_Analysis_Ready'!$Z$36="YES"),AND('10_Analysis_Ready'!$Y$36="GAN+DIFFUSION",OR('10_Analysis_Ready'!$Z$36&lt;&gt;"YES",'10_Analysis_Ready'!$AA$36&lt;&gt;"YES"))),1,0))</f>
        <v>0</v>
      </c>
      <c r="H53">
        <f>IF('10_Analysis_Ready'!$A$36="",0,IF(OR(AND('10_Analysis_Ready'!$BJ$36="NO",OR('10_Analysis_Ready'!$BK$36="HIGH",'10_Analysis_Ready'!$BK$36="VERY HIGH")),AND(((OR('10_Analysis_Ready'!$AG$36="YES",'10_Analysis_Ready'!$AH$36="YES"))*1+('10_Analysis_Ready'!$AI$36="YES")+('10_Analysis_Ready'!$AJ$36="YES")+('10_Analysis_Ready'!$AK$36="YES")+('10_Analysis_Ready'!$AL$36="YES"))=0,'10_Analysis_Ready'!$BJ$36="YES")),1,0))</f>
        <v>0</v>
      </c>
      <c r="I53">
        <f>IF('10_Analysis_Ready'!$A$36="",0,IF(AND(((OR('10_Analysis_Ready'!$AG$36="YES",'10_Analysis_Ready'!$AH$36="YES"))*1+('10_Analysis_Ready'!$AI$36="YES")+('10_Analysis_Ready'!$AJ$36="YES")+('10_Analysis_Ready'!$AK$36="YES")+('10_Analysis_Ready'!$AL$36="YES"))=0,'10_Analysis_Ready'!$AM$36&lt;&gt;"N/A"),1,0))</f>
        <v>0</v>
      </c>
      <c r="J53">
        <f>IF('10_Analysis_Ready'!$A$36="",0,IF(('28_Taxonomy_Coding'!$G$36="NONE")&lt;&gt;(((OR('10_Analysis_Ready'!$AG$36="YES",'10_Analysis_Ready'!$AH$36="YES"))*1+('10_Analysis_Ready'!$AI$36="YES")+('10_Analysis_Ready'!$AJ$36="YES")+('10_Analysis_Ready'!$AK$36="YES")+('10_Analysis_Ready'!$AL$36="YES"))=0),1,0))</f>
        <v>0</v>
      </c>
    </row>
    <row r="54" spans="1:10">
      <c r="A54">
        <v>37</v>
      </c>
      <c r="B54" t="str">
        <f>IF('10_Analysis_Ready'!$A$37="","",'10_Analysis_Ready'!$A$37)</f>
        <v>R0053</v>
      </c>
      <c r="C54">
        <f>IF('10_Analysis_Ready'!$A$37="",0,IF(AND('28_Taxonomy_Coding'!$A$37='10_Analysis_Ready'!$A$37,'14_Generalization_Map'!$A$37='10_Analysis_Ready'!$A$37),0,1))</f>
        <v>0</v>
      </c>
      <c r="D54">
        <f>IF('10_Analysis_Ready'!$A$37="",0,IF(COUNTIFS('06_Full_Text_Screening'!$A:$A,'10_Analysis_Ready'!$A$37,'06_Full_Text_Screening'!$J:$J,"INCLUDE")=1,0,1))</f>
        <v>0</v>
      </c>
      <c r="E54">
        <f>IF('10_Analysis_Ready'!$A$37="",0,IF(OR(AND(((OR('10_Analysis_Ready'!$AG$37="YES",'10_Analysis_Ready'!$AH$37="YES"))*1+('10_Analysis_Ready'!$AI$37="YES")+('10_Analysis_Ready'!$AJ$37="YES")+('10_Analysis_Ready'!$AK$37="YES")+('10_Analysis_Ready'!$AL$37="YES"))=0,'10_Analysis_Ready'!$AF$37&lt;&gt;"NONE"),AND(((OR('10_Analysis_Ready'!$AG$37="YES",'10_Analysis_Ready'!$AH$37="YES"))*1+('10_Analysis_Ready'!$AI$37="YES")+('10_Analysis_Ready'!$AJ$37="YES")+('10_Analysis_Ready'!$AK$37="YES")+('10_Analysis_Ready'!$AL$37="YES"))=1,OR('10_Analysis_Ready'!$AF$37="NONE",'10_Analysis_Ready'!$AF$37="MULTIPLE")),AND(((OR('10_Analysis_Ready'!$AG$37="YES",'10_Analysis_Ready'!$AH$37="YES"))*1+('10_Analysis_Ready'!$AI$37="YES")+('10_Analysis_Ready'!$AJ$37="YES")+('10_Analysis_Ready'!$AK$37="YES")+('10_Analysis_Ready'!$AL$37="YES"))&gt;=2,'10_Analysis_Ready'!$AF$37&lt;&gt;"MULTIPLE")),1,0))</f>
        <v>0</v>
      </c>
      <c r="F54">
        <f>IF('10_Analysis_Ready'!$A$37="",0,IF(AND('10_Analysis_Ready'!$AO$37="NO",COUNTIF('10_Analysis_Ready'!$AP$37:$AU$37,"YES")&gt;0),1,0))</f>
        <v>0</v>
      </c>
      <c r="G54">
        <f>IF('10_Analysis_Ready'!$A$37="",0,IF(OR(AND('10_Analysis_Ready'!$Y$37="GAN",'10_Analysis_Ready'!$AA$37="YES"),AND('10_Analysis_Ready'!$Y$37="DIFFUSION",'10_Analysis_Ready'!$Z$37="YES"),AND('10_Analysis_Ready'!$Y$37="GAN+DIFFUSION",OR('10_Analysis_Ready'!$Z$37&lt;&gt;"YES",'10_Analysis_Ready'!$AA$37&lt;&gt;"YES"))),1,0))</f>
        <v>0</v>
      </c>
      <c r="H54">
        <f>IF('10_Analysis_Ready'!$A$37="",0,IF(OR(AND('10_Analysis_Ready'!$BJ$37="NO",OR('10_Analysis_Ready'!$BK$37="HIGH",'10_Analysis_Ready'!$BK$37="VERY HIGH")),AND(((OR('10_Analysis_Ready'!$AG$37="YES",'10_Analysis_Ready'!$AH$37="YES"))*1+('10_Analysis_Ready'!$AI$37="YES")+('10_Analysis_Ready'!$AJ$37="YES")+('10_Analysis_Ready'!$AK$37="YES")+('10_Analysis_Ready'!$AL$37="YES"))=0,'10_Analysis_Ready'!$BJ$37="YES")),1,0))</f>
        <v>0</v>
      </c>
      <c r="I54">
        <f>IF('10_Analysis_Ready'!$A$37="",0,IF(AND(((OR('10_Analysis_Ready'!$AG$37="YES",'10_Analysis_Ready'!$AH$37="YES"))*1+('10_Analysis_Ready'!$AI$37="YES")+('10_Analysis_Ready'!$AJ$37="YES")+('10_Analysis_Ready'!$AK$37="YES")+('10_Analysis_Ready'!$AL$37="YES"))=0,'10_Analysis_Ready'!$AM$37&lt;&gt;"N/A"),1,0))</f>
        <v>0</v>
      </c>
      <c r="J54">
        <f>IF('10_Analysis_Ready'!$A$37="",0,IF(('28_Taxonomy_Coding'!$G$37="NONE")&lt;&gt;(((OR('10_Analysis_Ready'!$AG$37="YES",'10_Analysis_Ready'!$AH$37="YES"))*1+('10_Analysis_Ready'!$AI$37="YES")+('10_Analysis_Ready'!$AJ$37="YES")+('10_Analysis_Ready'!$AK$37="YES")+('10_Analysis_Ready'!$AL$37="YES"))=0),1,0))</f>
        <v>0</v>
      </c>
    </row>
    <row r="55" spans="1:10">
      <c r="A55">
        <v>38</v>
      </c>
      <c r="B55" t="str">
        <f>IF('10_Analysis_Ready'!$A$38="","",'10_Analysis_Ready'!$A$38)</f>
        <v>R0055</v>
      </c>
      <c r="C55">
        <f>IF('10_Analysis_Ready'!$A$38="",0,IF(AND('28_Taxonomy_Coding'!$A$38='10_Analysis_Ready'!$A$38,'14_Generalization_Map'!$A$38='10_Analysis_Ready'!$A$38),0,1))</f>
        <v>0</v>
      </c>
      <c r="D55">
        <f>IF('10_Analysis_Ready'!$A$38="",0,IF(COUNTIFS('06_Full_Text_Screening'!$A:$A,'10_Analysis_Ready'!$A$38,'06_Full_Text_Screening'!$J:$J,"INCLUDE")=1,0,1))</f>
        <v>0</v>
      </c>
      <c r="E55">
        <f>IF('10_Analysis_Ready'!$A$38="",0,IF(OR(AND(((OR('10_Analysis_Ready'!$AG$38="YES",'10_Analysis_Ready'!$AH$38="YES"))*1+('10_Analysis_Ready'!$AI$38="YES")+('10_Analysis_Ready'!$AJ$38="YES")+('10_Analysis_Ready'!$AK$38="YES")+('10_Analysis_Ready'!$AL$38="YES"))=0,'10_Analysis_Ready'!$AF$38&lt;&gt;"NONE"),AND(((OR('10_Analysis_Ready'!$AG$38="YES",'10_Analysis_Ready'!$AH$38="YES"))*1+('10_Analysis_Ready'!$AI$38="YES")+('10_Analysis_Ready'!$AJ$38="YES")+('10_Analysis_Ready'!$AK$38="YES")+('10_Analysis_Ready'!$AL$38="YES"))=1,OR('10_Analysis_Ready'!$AF$38="NONE",'10_Analysis_Ready'!$AF$38="MULTIPLE")),AND(((OR('10_Analysis_Ready'!$AG$38="YES",'10_Analysis_Ready'!$AH$38="YES"))*1+('10_Analysis_Ready'!$AI$38="YES")+('10_Analysis_Ready'!$AJ$38="YES")+('10_Analysis_Ready'!$AK$38="YES")+('10_Analysis_Ready'!$AL$38="YES"))&gt;=2,'10_Analysis_Ready'!$AF$38&lt;&gt;"MULTIPLE")),1,0))</f>
        <v>0</v>
      </c>
      <c r="F55">
        <f>IF('10_Analysis_Ready'!$A$38="",0,IF(AND('10_Analysis_Ready'!$AO$38="NO",COUNTIF('10_Analysis_Ready'!$AP$38:$AU$38,"YES")&gt;0),1,0))</f>
        <v>0</v>
      </c>
      <c r="G55">
        <f>IF('10_Analysis_Ready'!$A$38="",0,IF(OR(AND('10_Analysis_Ready'!$Y$38="GAN",'10_Analysis_Ready'!$AA$38="YES"),AND('10_Analysis_Ready'!$Y$38="DIFFUSION",'10_Analysis_Ready'!$Z$38="YES"),AND('10_Analysis_Ready'!$Y$38="GAN+DIFFUSION",OR('10_Analysis_Ready'!$Z$38&lt;&gt;"YES",'10_Analysis_Ready'!$AA$38&lt;&gt;"YES"))),1,0))</f>
        <v>0</v>
      </c>
      <c r="H55">
        <f>IF('10_Analysis_Ready'!$A$38="",0,IF(OR(AND('10_Analysis_Ready'!$BJ$38="NO",OR('10_Analysis_Ready'!$BK$38="HIGH",'10_Analysis_Ready'!$BK$38="VERY HIGH")),AND(((OR('10_Analysis_Ready'!$AG$38="YES",'10_Analysis_Ready'!$AH$38="YES"))*1+('10_Analysis_Ready'!$AI$38="YES")+('10_Analysis_Ready'!$AJ$38="YES")+('10_Analysis_Ready'!$AK$38="YES")+('10_Analysis_Ready'!$AL$38="YES"))=0,'10_Analysis_Ready'!$BJ$38="YES")),1,0))</f>
        <v>0</v>
      </c>
      <c r="I55">
        <f>IF('10_Analysis_Ready'!$A$38="",0,IF(AND(((OR('10_Analysis_Ready'!$AG$38="YES",'10_Analysis_Ready'!$AH$38="YES"))*1+('10_Analysis_Ready'!$AI$38="YES")+('10_Analysis_Ready'!$AJ$38="YES")+('10_Analysis_Ready'!$AK$38="YES")+('10_Analysis_Ready'!$AL$38="YES"))=0,'10_Analysis_Ready'!$AM$38&lt;&gt;"N/A"),1,0))</f>
        <v>0</v>
      </c>
      <c r="J55">
        <f>IF('10_Analysis_Ready'!$A$38="",0,IF(('28_Taxonomy_Coding'!$G$38="NONE")&lt;&gt;(((OR('10_Analysis_Ready'!$AG$38="YES",'10_Analysis_Ready'!$AH$38="YES"))*1+('10_Analysis_Ready'!$AI$38="YES")+('10_Analysis_Ready'!$AJ$38="YES")+('10_Analysis_Ready'!$AK$38="YES")+('10_Analysis_Ready'!$AL$38="YES"))=0),1,0))</f>
        <v>0</v>
      </c>
    </row>
    <row r="56" spans="1:10">
      <c r="A56">
        <v>39</v>
      </c>
      <c r="B56" t="str">
        <f>IF('10_Analysis_Ready'!$A$39="","",'10_Analysis_Ready'!$A$39)</f>
        <v>R0056</v>
      </c>
      <c r="C56">
        <f>IF('10_Analysis_Ready'!$A$39="",0,IF(AND('28_Taxonomy_Coding'!$A$39='10_Analysis_Ready'!$A$39,'14_Generalization_Map'!$A$39='10_Analysis_Ready'!$A$39),0,1))</f>
        <v>0</v>
      </c>
      <c r="D56">
        <f>IF('10_Analysis_Ready'!$A$39="",0,IF(COUNTIFS('06_Full_Text_Screening'!$A:$A,'10_Analysis_Ready'!$A$39,'06_Full_Text_Screening'!$J:$J,"INCLUDE")=1,0,1))</f>
        <v>0</v>
      </c>
      <c r="E56">
        <f>IF('10_Analysis_Ready'!$A$39="",0,IF(OR(AND(((OR('10_Analysis_Ready'!$AG$39="YES",'10_Analysis_Ready'!$AH$39="YES"))*1+('10_Analysis_Ready'!$AI$39="YES")+('10_Analysis_Ready'!$AJ$39="YES")+('10_Analysis_Ready'!$AK$39="YES")+('10_Analysis_Ready'!$AL$39="YES"))=0,'10_Analysis_Ready'!$AF$39&lt;&gt;"NONE"),AND(((OR('10_Analysis_Ready'!$AG$39="YES",'10_Analysis_Ready'!$AH$39="YES"))*1+('10_Analysis_Ready'!$AI$39="YES")+('10_Analysis_Ready'!$AJ$39="YES")+('10_Analysis_Ready'!$AK$39="YES")+('10_Analysis_Ready'!$AL$39="YES"))=1,OR('10_Analysis_Ready'!$AF$39="NONE",'10_Analysis_Ready'!$AF$39="MULTIPLE")),AND(((OR('10_Analysis_Ready'!$AG$39="YES",'10_Analysis_Ready'!$AH$39="YES"))*1+('10_Analysis_Ready'!$AI$39="YES")+('10_Analysis_Ready'!$AJ$39="YES")+('10_Analysis_Ready'!$AK$39="YES")+('10_Analysis_Ready'!$AL$39="YES"))&gt;=2,'10_Analysis_Ready'!$AF$39&lt;&gt;"MULTIPLE")),1,0))</f>
        <v>0</v>
      </c>
      <c r="F56">
        <f>IF('10_Analysis_Ready'!$A$39="",0,IF(AND('10_Analysis_Ready'!$AO$39="NO",COUNTIF('10_Analysis_Ready'!$AP$39:$AU$39,"YES")&gt;0),1,0))</f>
        <v>0</v>
      </c>
      <c r="G56">
        <f>IF('10_Analysis_Ready'!$A$39="",0,IF(OR(AND('10_Analysis_Ready'!$Y$39="GAN",'10_Analysis_Ready'!$AA$39="YES"),AND('10_Analysis_Ready'!$Y$39="DIFFUSION",'10_Analysis_Ready'!$Z$39="YES"),AND('10_Analysis_Ready'!$Y$39="GAN+DIFFUSION",OR('10_Analysis_Ready'!$Z$39&lt;&gt;"YES",'10_Analysis_Ready'!$AA$39&lt;&gt;"YES"))),1,0))</f>
        <v>0</v>
      </c>
      <c r="H56">
        <f>IF('10_Analysis_Ready'!$A$39="",0,IF(OR(AND('10_Analysis_Ready'!$BJ$39="NO",OR('10_Analysis_Ready'!$BK$39="HIGH",'10_Analysis_Ready'!$BK$39="VERY HIGH")),AND(((OR('10_Analysis_Ready'!$AG$39="YES",'10_Analysis_Ready'!$AH$39="YES"))*1+('10_Analysis_Ready'!$AI$39="YES")+('10_Analysis_Ready'!$AJ$39="YES")+('10_Analysis_Ready'!$AK$39="YES")+('10_Analysis_Ready'!$AL$39="YES"))=0,'10_Analysis_Ready'!$BJ$39="YES")),1,0))</f>
        <v>0</v>
      </c>
      <c r="I56">
        <f>IF('10_Analysis_Ready'!$A$39="",0,IF(AND(((OR('10_Analysis_Ready'!$AG$39="YES",'10_Analysis_Ready'!$AH$39="YES"))*1+('10_Analysis_Ready'!$AI$39="YES")+('10_Analysis_Ready'!$AJ$39="YES")+('10_Analysis_Ready'!$AK$39="YES")+('10_Analysis_Ready'!$AL$39="YES"))=0,'10_Analysis_Ready'!$AM$39&lt;&gt;"N/A"),1,0))</f>
        <v>0</v>
      </c>
      <c r="J56">
        <f>IF('10_Analysis_Ready'!$A$39="",0,IF(('28_Taxonomy_Coding'!$G$39="NONE")&lt;&gt;(((OR('10_Analysis_Ready'!$AG$39="YES",'10_Analysis_Ready'!$AH$39="YES"))*1+('10_Analysis_Ready'!$AI$39="YES")+('10_Analysis_Ready'!$AJ$39="YES")+('10_Analysis_Ready'!$AK$39="YES")+('10_Analysis_Ready'!$AL$39="YES"))=0),1,0))</f>
        <v>0</v>
      </c>
    </row>
    <row r="57" spans="1:10">
      <c r="A57">
        <v>40</v>
      </c>
      <c r="B57" t="str">
        <f>IF('10_Analysis_Ready'!$A$40="","",'10_Analysis_Ready'!$A$40)</f>
        <v>R0058</v>
      </c>
      <c r="C57">
        <f>IF('10_Analysis_Ready'!$A$40="",0,IF(AND('28_Taxonomy_Coding'!$A$40='10_Analysis_Ready'!$A$40,'14_Generalization_Map'!$A$40='10_Analysis_Ready'!$A$40),0,1))</f>
        <v>0</v>
      </c>
      <c r="D57">
        <f>IF('10_Analysis_Ready'!$A$40="",0,IF(COUNTIFS('06_Full_Text_Screening'!$A:$A,'10_Analysis_Ready'!$A$40,'06_Full_Text_Screening'!$J:$J,"INCLUDE")=1,0,1))</f>
        <v>0</v>
      </c>
      <c r="E57">
        <f>IF('10_Analysis_Ready'!$A$40="",0,IF(OR(AND(((OR('10_Analysis_Ready'!$AG$40="YES",'10_Analysis_Ready'!$AH$40="YES"))*1+('10_Analysis_Ready'!$AI$40="YES")+('10_Analysis_Ready'!$AJ$40="YES")+('10_Analysis_Ready'!$AK$40="YES")+('10_Analysis_Ready'!$AL$40="YES"))=0,'10_Analysis_Ready'!$AF$40&lt;&gt;"NONE"),AND(((OR('10_Analysis_Ready'!$AG$40="YES",'10_Analysis_Ready'!$AH$40="YES"))*1+('10_Analysis_Ready'!$AI$40="YES")+('10_Analysis_Ready'!$AJ$40="YES")+('10_Analysis_Ready'!$AK$40="YES")+('10_Analysis_Ready'!$AL$40="YES"))=1,OR('10_Analysis_Ready'!$AF$40="NONE",'10_Analysis_Ready'!$AF$40="MULTIPLE")),AND(((OR('10_Analysis_Ready'!$AG$40="YES",'10_Analysis_Ready'!$AH$40="YES"))*1+('10_Analysis_Ready'!$AI$40="YES")+('10_Analysis_Ready'!$AJ$40="YES")+('10_Analysis_Ready'!$AK$40="YES")+('10_Analysis_Ready'!$AL$40="YES"))&gt;=2,'10_Analysis_Ready'!$AF$40&lt;&gt;"MULTIPLE")),1,0))</f>
        <v>0</v>
      </c>
      <c r="F57">
        <f>IF('10_Analysis_Ready'!$A$40="",0,IF(AND('10_Analysis_Ready'!$AO$40="NO",COUNTIF('10_Analysis_Ready'!$AP$40:$AU$40,"YES")&gt;0),1,0))</f>
        <v>0</v>
      </c>
      <c r="G57">
        <f>IF('10_Analysis_Ready'!$A$40="",0,IF(OR(AND('10_Analysis_Ready'!$Y$40="GAN",'10_Analysis_Ready'!$AA$40="YES"),AND('10_Analysis_Ready'!$Y$40="DIFFUSION",'10_Analysis_Ready'!$Z$40="YES"),AND('10_Analysis_Ready'!$Y$40="GAN+DIFFUSION",OR('10_Analysis_Ready'!$Z$40&lt;&gt;"YES",'10_Analysis_Ready'!$AA$40&lt;&gt;"YES"))),1,0))</f>
        <v>0</v>
      </c>
      <c r="H57">
        <f>IF('10_Analysis_Ready'!$A$40="",0,IF(OR(AND('10_Analysis_Ready'!$BJ$40="NO",OR('10_Analysis_Ready'!$BK$40="HIGH",'10_Analysis_Ready'!$BK$40="VERY HIGH")),AND(((OR('10_Analysis_Ready'!$AG$40="YES",'10_Analysis_Ready'!$AH$40="YES"))*1+('10_Analysis_Ready'!$AI$40="YES")+('10_Analysis_Ready'!$AJ$40="YES")+('10_Analysis_Ready'!$AK$40="YES")+('10_Analysis_Ready'!$AL$40="YES"))=0,'10_Analysis_Ready'!$BJ$40="YES")),1,0))</f>
        <v>0</v>
      </c>
      <c r="I57">
        <f>IF('10_Analysis_Ready'!$A$40="",0,IF(AND(((OR('10_Analysis_Ready'!$AG$40="YES",'10_Analysis_Ready'!$AH$40="YES"))*1+('10_Analysis_Ready'!$AI$40="YES")+('10_Analysis_Ready'!$AJ$40="YES")+('10_Analysis_Ready'!$AK$40="YES")+('10_Analysis_Ready'!$AL$40="YES"))=0,'10_Analysis_Ready'!$AM$40&lt;&gt;"N/A"),1,0))</f>
        <v>0</v>
      </c>
      <c r="J57">
        <f>IF('10_Analysis_Ready'!$A$40="",0,IF(('28_Taxonomy_Coding'!$G$40="NONE")&lt;&gt;(((OR('10_Analysis_Ready'!$AG$40="YES",'10_Analysis_Ready'!$AH$40="YES"))*1+('10_Analysis_Ready'!$AI$40="YES")+('10_Analysis_Ready'!$AJ$40="YES")+('10_Analysis_Ready'!$AK$40="YES")+('10_Analysis_Ready'!$AL$40="YES"))=0),1,0))</f>
        <v>0</v>
      </c>
    </row>
    <row r="58" spans="1:10">
      <c r="A58">
        <v>41</v>
      </c>
      <c r="B58" t="str">
        <f>IF('10_Analysis_Ready'!$A$41="","",'10_Analysis_Ready'!$A$41)</f>
        <v>R0062</v>
      </c>
      <c r="C58">
        <f>IF('10_Analysis_Ready'!$A$41="",0,IF(AND('28_Taxonomy_Coding'!$A$41='10_Analysis_Ready'!$A$41,'14_Generalization_Map'!$A$41='10_Analysis_Ready'!$A$41),0,1))</f>
        <v>0</v>
      </c>
      <c r="D58">
        <f>IF('10_Analysis_Ready'!$A$41="",0,IF(COUNTIFS('06_Full_Text_Screening'!$A:$A,'10_Analysis_Ready'!$A$41,'06_Full_Text_Screening'!$J:$J,"INCLUDE")=1,0,1))</f>
        <v>0</v>
      </c>
      <c r="E58">
        <f>IF('10_Analysis_Ready'!$A$41="",0,IF(OR(AND(((OR('10_Analysis_Ready'!$AG$41="YES",'10_Analysis_Ready'!$AH$41="YES"))*1+('10_Analysis_Ready'!$AI$41="YES")+('10_Analysis_Ready'!$AJ$41="YES")+('10_Analysis_Ready'!$AK$41="YES")+('10_Analysis_Ready'!$AL$41="YES"))=0,'10_Analysis_Ready'!$AF$41&lt;&gt;"NONE"),AND(((OR('10_Analysis_Ready'!$AG$41="YES",'10_Analysis_Ready'!$AH$41="YES"))*1+('10_Analysis_Ready'!$AI$41="YES")+('10_Analysis_Ready'!$AJ$41="YES")+('10_Analysis_Ready'!$AK$41="YES")+('10_Analysis_Ready'!$AL$41="YES"))=1,OR('10_Analysis_Ready'!$AF$41="NONE",'10_Analysis_Ready'!$AF$41="MULTIPLE")),AND(((OR('10_Analysis_Ready'!$AG$41="YES",'10_Analysis_Ready'!$AH$41="YES"))*1+('10_Analysis_Ready'!$AI$41="YES")+('10_Analysis_Ready'!$AJ$41="YES")+('10_Analysis_Ready'!$AK$41="YES")+('10_Analysis_Ready'!$AL$41="YES"))&gt;=2,'10_Analysis_Ready'!$AF$41&lt;&gt;"MULTIPLE")),1,0))</f>
        <v>0</v>
      </c>
      <c r="F58">
        <f>IF('10_Analysis_Ready'!$A$41="",0,IF(AND('10_Analysis_Ready'!$AO$41="NO",COUNTIF('10_Analysis_Ready'!$AP$41:$AU$41,"YES")&gt;0),1,0))</f>
        <v>0</v>
      </c>
      <c r="G58">
        <f>IF('10_Analysis_Ready'!$A$41="",0,IF(OR(AND('10_Analysis_Ready'!$Y$41="GAN",'10_Analysis_Ready'!$AA$41="YES"),AND('10_Analysis_Ready'!$Y$41="DIFFUSION",'10_Analysis_Ready'!$Z$41="YES"),AND('10_Analysis_Ready'!$Y$41="GAN+DIFFUSION",OR('10_Analysis_Ready'!$Z$41&lt;&gt;"YES",'10_Analysis_Ready'!$AA$41&lt;&gt;"YES"))),1,0))</f>
        <v>0</v>
      </c>
      <c r="H58">
        <f>IF('10_Analysis_Ready'!$A$41="",0,IF(OR(AND('10_Analysis_Ready'!$BJ$41="NO",OR('10_Analysis_Ready'!$BK$41="HIGH",'10_Analysis_Ready'!$BK$41="VERY HIGH")),AND(((OR('10_Analysis_Ready'!$AG$41="YES",'10_Analysis_Ready'!$AH$41="YES"))*1+('10_Analysis_Ready'!$AI$41="YES")+('10_Analysis_Ready'!$AJ$41="YES")+('10_Analysis_Ready'!$AK$41="YES")+('10_Analysis_Ready'!$AL$41="YES"))=0,'10_Analysis_Ready'!$BJ$41="YES")),1,0))</f>
        <v>0</v>
      </c>
      <c r="I58">
        <f>IF('10_Analysis_Ready'!$A$41="",0,IF(AND(((OR('10_Analysis_Ready'!$AG$41="YES",'10_Analysis_Ready'!$AH$41="YES"))*1+('10_Analysis_Ready'!$AI$41="YES")+('10_Analysis_Ready'!$AJ$41="YES")+('10_Analysis_Ready'!$AK$41="YES")+('10_Analysis_Ready'!$AL$41="YES"))=0,'10_Analysis_Ready'!$AM$41&lt;&gt;"N/A"),1,0))</f>
        <v>0</v>
      </c>
      <c r="J58">
        <f>IF('10_Analysis_Ready'!$A$41="",0,IF(('28_Taxonomy_Coding'!$G$41="NONE")&lt;&gt;(((OR('10_Analysis_Ready'!$AG$41="YES",'10_Analysis_Ready'!$AH$41="YES"))*1+('10_Analysis_Ready'!$AI$41="YES")+('10_Analysis_Ready'!$AJ$41="YES")+('10_Analysis_Ready'!$AK$41="YES")+('10_Analysis_Ready'!$AL$41="YES"))=0),1,0))</f>
        <v>0</v>
      </c>
    </row>
    <row r="59" spans="1:10">
      <c r="A59">
        <v>42</v>
      </c>
      <c r="B59" t="str">
        <f>IF('10_Analysis_Ready'!$A$42="","",'10_Analysis_Ready'!$A$42)</f>
        <v>R0063</v>
      </c>
      <c r="C59">
        <f>IF('10_Analysis_Ready'!$A$42="",0,IF(AND('28_Taxonomy_Coding'!$A$42='10_Analysis_Ready'!$A$42,'14_Generalization_Map'!$A$42='10_Analysis_Ready'!$A$42),0,1))</f>
        <v>0</v>
      </c>
      <c r="D59">
        <f>IF('10_Analysis_Ready'!$A$42="",0,IF(COUNTIFS('06_Full_Text_Screening'!$A:$A,'10_Analysis_Ready'!$A$42,'06_Full_Text_Screening'!$J:$J,"INCLUDE")=1,0,1))</f>
        <v>0</v>
      </c>
      <c r="E59">
        <f>IF('10_Analysis_Ready'!$A$42="",0,IF(OR(AND(((OR('10_Analysis_Ready'!$AG$42="YES",'10_Analysis_Ready'!$AH$42="YES"))*1+('10_Analysis_Ready'!$AI$42="YES")+('10_Analysis_Ready'!$AJ$42="YES")+('10_Analysis_Ready'!$AK$42="YES")+('10_Analysis_Ready'!$AL$42="YES"))=0,'10_Analysis_Ready'!$AF$42&lt;&gt;"NONE"),AND(((OR('10_Analysis_Ready'!$AG$42="YES",'10_Analysis_Ready'!$AH$42="YES"))*1+('10_Analysis_Ready'!$AI$42="YES")+('10_Analysis_Ready'!$AJ$42="YES")+('10_Analysis_Ready'!$AK$42="YES")+('10_Analysis_Ready'!$AL$42="YES"))=1,OR('10_Analysis_Ready'!$AF$42="NONE",'10_Analysis_Ready'!$AF$42="MULTIPLE")),AND(((OR('10_Analysis_Ready'!$AG$42="YES",'10_Analysis_Ready'!$AH$42="YES"))*1+('10_Analysis_Ready'!$AI$42="YES")+('10_Analysis_Ready'!$AJ$42="YES")+('10_Analysis_Ready'!$AK$42="YES")+('10_Analysis_Ready'!$AL$42="YES"))&gt;=2,'10_Analysis_Ready'!$AF$42&lt;&gt;"MULTIPLE")),1,0))</f>
        <v>0</v>
      </c>
      <c r="F59">
        <f>IF('10_Analysis_Ready'!$A$42="",0,IF(AND('10_Analysis_Ready'!$AO$42="NO",COUNTIF('10_Analysis_Ready'!$AP$42:$AU$42,"YES")&gt;0),1,0))</f>
        <v>0</v>
      </c>
      <c r="G59">
        <f>IF('10_Analysis_Ready'!$A$42="",0,IF(OR(AND('10_Analysis_Ready'!$Y$42="GAN",'10_Analysis_Ready'!$AA$42="YES"),AND('10_Analysis_Ready'!$Y$42="DIFFUSION",'10_Analysis_Ready'!$Z$42="YES"),AND('10_Analysis_Ready'!$Y$42="GAN+DIFFUSION",OR('10_Analysis_Ready'!$Z$42&lt;&gt;"YES",'10_Analysis_Ready'!$AA$42&lt;&gt;"YES"))),1,0))</f>
        <v>0</v>
      </c>
      <c r="H59">
        <f>IF('10_Analysis_Ready'!$A$42="",0,IF(OR(AND('10_Analysis_Ready'!$BJ$42="NO",OR('10_Analysis_Ready'!$BK$42="HIGH",'10_Analysis_Ready'!$BK$42="VERY HIGH")),AND(((OR('10_Analysis_Ready'!$AG$42="YES",'10_Analysis_Ready'!$AH$42="YES"))*1+('10_Analysis_Ready'!$AI$42="YES")+('10_Analysis_Ready'!$AJ$42="YES")+('10_Analysis_Ready'!$AK$42="YES")+('10_Analysis_Ready'!$AL$42="YES"))=0,'10_Analysis_Ready'!$BJ$42="YES")),1,0))</f>
        <v>0</v>
      </c>
      <c r="I59">
        <f>IF('10_Analysis_Ready'!$A$42="",0,IF(AND(((OR('10_Analysis_Ready'!$AG$42="YES",'10_Analysis_Ready'!$AH$42="YES"))*1+('10_Analysis_Ready'!$AI$42="YES")+('10_Analysis_Ready'!$AJ$42="YES")+('10_Analysis_Ready'!$AK$42="YES")+('10_Analysis_Ready'!$AL$42="YES"))=0,'10_Analysis_Ready'!$AM$42&lt;&gt;"N/A"),1,0))</f>
        <v>0</v>
      </c>
      <c r="J59">
        <f>IF('10_Analysis_Ready'!$A$42="",0,IF(('28_Taxonomy_Coding'!$G$42="NONE")&lt;&gt;(((OR('10_Analysis_Ready'!$AG$42="YES",'10_Analysis_Ready'!$AH$42="YES"))*1+('10_Analysis_Ready'!$AI$42="YES")+('10_Analysis_Ready'!$AJ$42="YES")+('10_Analysis_Ready'!$AK$42="YES")+('10_Analysis_Ready'!$AL$42="YES"))=0),1,0))</f>
        <v>0</v>
      </c>
    </row>
    <row r="60" spans="1:10">
      <c r="A60">
        <v>43</v>
      </c>
      <c r="B60" t="str">
        <f>IF('10_Analysis_Ready'!$A$43="","",'10_Analysis_Ready'!$A$43)</f>
        <v>R0064</v>
      </c>
      <c r="C60">
        <f>IF('10_Analysis_Ready'!$A$43="",0,IF(AND('28_Taxonomy_Coding'!$A$43='10_Analysis_Ready'!$A$43,'14_Generalization_Map'!$A$43='10_Analysis_Ready'!$A$43),0,1))</f>
        <v>0</v>
      </c>
      <c r="D60">
        <f>IF('10_Analysis_Ready'!$A$43="",0,IF(COUNTIFS('06_Full_Text_Screening'!$A:$A,'10_Analysis_Ready'!$A$43,'06_Full_Text_Screening'!$J:$J,"INCLUDE")=1,0,1))</f>
        <v>0</v>
      </c>
      <c r="E60">
        <f>IF('10_Analysis_Ready'!$A$43="",0,IF(OR(AND(((OR('10_Analysis_Ready'!$AG$43="YES",'10_Analysis_Ready'!$AH$43="YES"))*1+('10_Analysis_Ready'!$AI$43="YES")+('10_Analysis_Ready'!$AJ$43="YES")+('10_Analysis_Ready'!$AK$43="YES")+('10_Analysis_Ready'!$AL$43="YES"))=0,'10_Analysis_Ready'!$AF$43&lt;&gt;"NONE"),AND(((OR('10_Analysis_Ready'!$AG$43="YES",'10_Analysis_Ready'!$AH$43="YES"))*1+('10_Analysis_Ready'!$AI$43="YES")+('10_Analysis_Ready'!$AJ$43="YES")+('10_Analysis_Ready'!$AK$43="YES")+('10_Analysis_Ready'!$AL$43="YES"))=1,OR('10_Analysis_Ready'!$AF$43="NONE",'10_Analysis_Ready'!$AF$43="MULTIPLE")),AND(((OR('10_Analysis_Ready'!$AG$43="YES",'10_Analysis_Ready'!$AH$43="YES"))*1+('10_Analysis_Ready'!$AI$43="YES")+('10_Analysis_Ready'!$AJ$43="YES")+('10_Analysis_Ready'!$AK$43="YES")+('10_Analysis_Ready'!$AL$43="YES"))&gt;=2,'10_Analysis_Ready'!$AF$43&lt;&gt;"MULTIPLE")),1,0))</f>
        <v>0</v>
      </c>
      <c r="F60">
        <f>IF('10_Analysis_Ready'!$A$43="",0,IF(AND('10_Analysis_Ready'!$AO$43="NO",COUNTIF('10_Analysis_Ready'!$AP$43:$AU$43,"YES")&gt;0),1,0))</f>
        <v>0</v>
      </c>
      <c r="G60">
        <f>IF('10_Analysis_Ready'!$A$43="",0,IF(OR(AND('10_Analysis_Ready'!$Y$43="GAN",'10_Analysis_Ready'!$AA$43="YES"),AND('10_Analysis_Ready'!$Y$43="DIFFUSION",'10_Analysis_Ready'!$Z$43="YES"),AND('10_Analysis_Ready'!$Y$43="GAN+DIFFUSION",OR('10_Analysis_Ready'!$Z$43&lt;&gt;"YES",'10_Analysis_Ready'!$AA$43&lt;&gt;"YES"))),1,0))</f>
        <v>0</v>
      </c>
      <c r="H60">
        <f>IF('10_Analysis_Ready'!$A$43="",0,IF(OR(AND('10_Analysis_Ready'!$BJ$43="NO",OR('10_Analysis_Ready'!$BK$43="HIGH",'10_Analysis_Ready'!$BK$43="VERY HIGH")),AND(((OR('10_Analysis_Ready'!$AG$43="YES",'10_Analysis_Ready'!$AH$43="YES"))*1+('10_Analysis_Ready'!$AI$43="YES")+('10_Analysis_Ready'!$AJ$43="YES")+('10_Analysis_Ready'!$AK$43="YES")+('10_Analysis_Ready'!$AL$43="YES"))=0,'10_Analysis_Ready'!$BJ$43="YES")),1,0))</f>
        <v>0</v>
      </c>
      <c r="I60">
        <f>IF('10_Analysis_Ready'!$A$43="",0,IF(AND(((OR('10_Analysis_Ready'!$AG$43="YES",'10_Analysis_Ready'!$AH$43="YES"))*1+('10_Analysis_Ready'!$AI$43="YES")+('10_Analysis_Ready'!$AJ$43="YES")+('10_Analysis_Ready'!$AK$43="YES")+('10_Analysis_Ready'!$AL$43="YES"))=0,'10_Analysis_Ready'!$AM$43&lt;&gt;"N/A"),1,0))</f>
        <v>0</v>
      </c>
      <c r="J60">
        <f>IF('10_Analysis_Ready'!$A$43="",0,IF(('28_Taxonomy_Coding'!$G$43="NONE")&lt;&gt;(((OR('10_Analysis_Ready'!$AG$43="YES",'10_Analysis_Ready'!$AH$43="YES"))*1+('10_Analysis_Ready'!$AI$43="YES")+('10_Analysis_Ready'!$AJ$43="YES")+('10_Analysis_Ready'!$AK$43="YES")+('10_Analysis_Ready'!$AL$43="YES"))=0),1,0))</f>
        <v>0</v>
      </c>
    </row>
    <row r="61" spans="1:10">
      <c r="A61">
        <v>44</v>
      </c>
      <c r="B61" t="str">
        <f>IF('10_Analysis_Ready'!$A$44="","",'10_Analysis_Ready'!$A$44)</f>
        <v>R0065</v>
      </c>
      <c r="C61">
        <f>IF('10_Analysis_Ready'!$A$44="",0,IF(AND('28_Taxonomy_Coding'!$A$44='10_Analysis_Ready'!$A$44,'14_Generalization_Map'!$A$44='10_Analysis_Ready'!$A$44),0,1))</f>
        <v>0</v>
      </c>
      <c r="D61">
        <f>IF('10_Analysis_Ready'!$A$44="",0,IF(COUNTIFS('06_Full_Text_Screening'!$A:$A,'10_Analysis_Ready'!$A$44,'06_Full_Text_Screening'!$J:$J,"INCLUDE")=1,0,1))</f>
        <v>0</v>
      </c>
      <c r="E61">
        <f>IF('10_Analysis_Ready'!$A$44="",0,IF(OR(AND(((OR('10_Analysis_Ready'!$AG$44="YES",'10_Analysis_Ready'!$AH$44="YES"))*1+('10_Analysis_Ready'!$AI$44="YES")+('10_Analysis_Ready'!$AJ$44="YES")+('10_Analysis_Ready'!$AK$44="YES")+('10_Analysis_Ready'!$AL$44="YES"))=0,'10_Analysis_Ready'!$AF$44&lt;&gt;"NONE"),AND(((OR('10_Analysis_Ready'!$AG$44="YES",'10_Analysis_Ready'!$AH$44="YES"))*1+('10_Analysis_Ready'!$AI$44="YES")+('10_Analysis_Ready'!$AJ$44="YES")+('10_Analysis_Ready'!$AK$44="YES")+('10_Analysis_Ready'!$AL$44="YES"))=1,OR('10_Analysis_Ready'!$AF$44="NONE",'10_Analysis_Ready'!$AF$44="MULTIPLE")),AND(((OR('10_Analysis_Ready'!$AG$44="YES",'10_Analysis_Ready'!$AH$44="YES"))*1+('10_Analysis_Ready'!$AI$44="YES")+('10_Analysis_Ready'!$AJ$44="YES")+('10_Analysis_Ready'!$AK$44="YES")+('10_Analysis_Ready'!$AL$44="YES"))&gt;=2,'10_Analysis_Ready'!$AF$44&lt;&gt;"MULTIPLE")),1,0))</f>
        <v>0</v>
      </c>
      <c r="F61">
        <f>IF('10_Analysis_Ready'!$A$44="",0,IF(AND('10_Analysis_Ready'!$AO$44="NO",COUNTIF('10_Analysis_Ready'!$AP$44:$AU$44,"YES")&gt;0),1,0))</f>
        <v>0</v>
      </c>
      <c r="G61">
        <f>IF('10_Analysis_Ready'!$A$44="",0,IF(OR(AND('10_Analysis_Ready'!$Y$44="GAN",'10_Analysis_Ready'!$AA$44="YES"),AND('10_Analysis_Ready'!$Y$44="DIFFUSION",'10_Analysis_Ready'!$Z$44="YES"),AND('10_Analysis_Ready'!$Y$44="GAN+DIFFUSION",OR('10_Analysis_Ready'!$Z$44&lt;&gt;"YES",'10_Analysis_Ready'!$AA$44&lt;&gt;"YES"))),1,0))</f>
        <v>0</v>
      </c>
      <c r="H61">
        <f>IF('10_Analysis_Ready'!$A$44="",0,IF(OR(AND('10_Analysis_Ready'!$BJ$44="NO",OR('10_Analysis_Ready'!$BK$44="HIGH",'10_Analysis_Ready'!$BK$44="VERY HIGH")),AND(((OR('10_Analysis_Ready'!$AG$44="YES",'10_Analysis_Ready'!$AH$44="YES"))*1+('10_Analysis_Ready'!$AI$44="YES")+('10_Analysis_Ready'!$AJ$44="YES")+('10_Analysis_Ready'!$AK$44="YES")+('10_Analysis_Ready'!$AL$44="YES"))=0,'10_Analysis_Ready'!$BJ$44="YES")),1,0))</f>
        <v>0</v>
      </c>
      <c r="I61">
        <f>IF('10_Analysis_Ready'!$A$44="",0,IF(AND(((OR('10_Analysis_Ready'!$AG$44="YES",'10_Analysis_Ready'!$AH$44="YES"))*1+('10_Analysis_Ready'!$AI$44="YES")+('10_Analysis_Ready'!$AJ$44="YES")+('10_Analysis_Ready'!$AK$44="YES")+('10_Analysis_Ready'!$AL$44="YES"))=0,'10_Analysis_Ready'!$AM$44&lt;&gt;"N/A"),1,0))</f>
        <v>0</v>
      </c>
      <c r="J61">
        <f>IF('10_Analysis_Ready'!$A$44="",0,IF(('28_Taxonomy_Coding'!$G$44="NONE")&lt;&gt;(((OR('10_Analysis_Ready'!$AG$44="YES",'10_Analysis_Ready'!$AH$44="YES"))*1+('10_Analysis_Ready'!$AI$44="YES")+('10_Analysis_Ready'!$AJ$44="YES")+('10_Analysis_Ready'!$AK$44="YES")+('10_Analysis_Ready'!$AL$44="YES"))=0),1,0))</f>
        <v>0</v>
      </c>
    </row>
    <row r="62" spans="1:10">
      <c r="A62">
        <v>45</v>
      </c>
      <c r="B62" t="str">
        <f>IF('10_Analysis_Ready'!$A$45="","",'10_Analysis_Ready'!$A$45)</f>
        <v>R0066</v>
      </c>
      <c r="C62">
        <f>IF('10_Analysis_Ready'!$A$45="",0,IF(AND('28_Taxonomy_Coding'!$A$45='10_Analysis_Ready'!$A$45,'14_Generalization_Map'!$A$45='10_Analysis_Ready'!$A$45),0,1))</f>
        <v>0</v>
      </c>
      <c r="D62">
        <f>IF('10_Analysis_Ready'!$A$45="",0,IF(COUNTIFS('06_Full_Text_Screening'!$A:$A,'10_Analysis_Ready'!$A$45,'06_Full_Text_Screening'!$J:$J,"INCLUDE")=1,0,1))</f>
        <v>0</v>
      </c>
      <c r="E62">
        <f>IF('10_Analysis_Ready'!$A$45="",0,IF(OR(AND(((OR('10_Analysis_Ready'!$AG$45="YES",'10_Analysis_Ready'!$AH$45="YES"))*1+('10_Analysis_Ready'!$AI$45="YES")+('10_Analysis_Ready'!$AJ$45="YES")+('10_Analysis_Ready'!$AK$45="YES")+('10_Analysis_Ready'!$AL$45="YES"))=0,'10_Analysis_Ready'!$AF$45&lt;&gt;"NONE"),AND(((OR('10_Analysis_Ready'!$AG$45="YES",'10_Analysis_Ready'!$AH$45="YES"))*1+('10_Analysis_Ready'!$AI$45="YES")+('10_Analysis_Ready'!$AJ$45="YES")+('10_Analysis_Ready'!$AK$45="YES")+('10_Analysis_Ready'!$AL$45="YES"))=1,OR('10_Analysis_Ready'!$AF$45="NONE",'10_Analysis_Ready'!$AF$45="MULTIPLE")),AND(((OR('10_Analysis_Ready'!$AG$45="YES",'10_Analysis_Ready'!$AH$45="YES"))*1+('10_Analysis_Ready'!$AI$45="YES")+('10_Analysis_Ready'!$AJ$45="YES")+('10_Analysis_Ready'!$AK$45="YES")+('10_Analysis_Ready'!$AL$45="YES"))&gt;=2,'10_Analysis_Ready'!$AF$45&lt;&gt;"MULTIPLE")),1,0))</f>
        <v>0</v>
      </c>
      <c r="F62">
        <f>IF('10_Analysis_Ready'!$A$45="",0,IF(AND('10_Analysis_Ready'!$AO$45="NO",COUNTIF('10_Analysis_Ready'!$AP$45:$AU$45,"YES")&gt;0),1,0))</f>
        <v>0</v>
      </c>
      <c r="G62">
        <f>IF('10_Analysis_Ready'!$A$45="",0,IF(OR(AND('10_Analysis_Ready'!$Y$45="GAN",'10_Analysis_Ready'!$AA$45="YES"),AND('10_Analysis_Ready'!$Y$45="DIFFUSION",'10_Analysis_Ready'!$Z$45="YES"),AND('10_Analysis_Ready'!$Y$45="GAN+DIFFUSION",OR('10_Analysis_Ready'!$Z$45&lt;&gt;"YES",'10_Analysis_Ready'!$AA$45&lt;&gt;"YES"))),1,0))</f>
        <v>0</v>
      </c>
      <c r="H62">
        <f>IF('10_Analysis_Ready'!$A$45="",0,IF(OR(AND('10_Analysis_Ready'!$BJ$45="NO",OR('10_Analysis_Ready'!$BK$45="HIGH",'10_Analysis_Ready'!$BK$45="VERY HIGH")),AND(((OR('10_Analysis_Ready'!$AG$45="YES",'10_Analysis_Ready'!$AH$45="YES"))*1+('10_Analysis_Ready'!$AI$45="YES")+('10_Analysis_Ready'!$AJ$45="YES")+('10_Analysis_Ready'!$AK$45="YES")+('10_Analysis_Ready'!$AL$45="YES"))=0,'10_Analysis_Ready'!$BJ$45="YES")),1,0))</f>
        <v>0</v>
      </c>
      <c r="I62">
        <f>IF('10_Analysis_Ready'!$A$45="",0,IF(AND(((OR('10_Analysis_Ready'!$AG$45="YES",'10_Analysis_Ready'!$AH$45="YES"))*1+('10_Analysis_Ready'!$AI$45="YES")+('10_Analysis_Ready'!$AJ$45="YES")+('10_Analysis_Ready'!$AK$45="YES")+('10_Analysis_Ready'!$AL$45="YES"))=0,'10_Analysis_Ready'!$AM$45&lt;&gt;"N/A"),1,0))</f>
        <v>0</v>
      </c>
      <c r="J62">
        <f>IF('10_Analysis_Ready'!$A$45="",0,IF(('28_Taxonomy_Coding'!$G$45="NONE")&lt;&gt;(((OR('10_Analysis_Ready'!$AG$45="YES",'10_Analysis_Ready'!$AH$45="YES"))*1+('10_Analysis_Ready'!$AI$45="YES")+('10_Analysis_Ready'!$AJ$45="YES")+('10_Analysis_Ready'!$AK$45="YES")+('10_Analysis_Ready'!$AL$45="YES"))=0),1,0))</f>
        <v>0</v>
      </c>
    </row>
    <row r="63" spans="1:10">
      <c r="A63">
        <v>46</v>
      </c>
      <c r="B63" t="str">
        <f>IF('10_Analysis_Ready'!$A$46="","",'10_Analysis_Ready'!$A$46)</f>
        <v>R0067</v>
      </c>
      <c r="C63">
        <f>IF('10_Analysis_Ready'!$A$46="",0,IF(AND('28_Taxonomy_Coding'!$A$46='10_Analysis_Ready'!$A$46,'14_Generalization_Map'!$A$46='10_Analysis_Ready'!$A$46),0,1))</f>
        <v>0</v>
      </c>
      <c r="D63">
        <f>IF('10_Analysis_Ready'!$A$46="",0,IF(COUNTIFS('06_Full_Text_Screening'!$A:$A,'10_Analysis_Ready'!$A$46,'06_Full_Text_Screening'!$J:$J,"INCLUDE")=1,0,1))</f>
        <v>0</v>
      </c>
      <c r="E63">
        <f>IF('10_Analysis_Ready'!$A$46="",0,IF(OR(AND(((OR('10_Analysis_Ready'!$AG$46="YES",'10_Analysis_Ready'!$AH$46="YES"))*1+('10_Analysis_Ready'!$AI$46="YES")+('10_Analysis_Ready'!$AJ$46="YES")+('10_Analysis_Ready'!$AK$46="YES")+('10_Analysis_Ready'!$AL$46="YES"))=0,'10_Analysis_Ready'!$AF$46&lt;&gt;"NONE"),AND(((OR('10_Analysis_Ready'!$AG$46="YES",'10_Analysis_Ready'!$AH$46="YES"))*1+('10_Analysis_Ready'!$AI$46="YES")+('10_Analysis_Ready'!$AJ$46="YES")+('10_Analysis_Ready'!$AK$46="YES")+('10_Analysis_Ready'!$AL$46="YES"))=1,OR('10_Analysis_Ready'!$AF$46="NONE",'10_Analysis_Ready'!$AF$46="MULTIPLE")),AND(((OR('10_Analysis_Ready'!$AG$46="YES",'10_Analysis_Ready'!$AH$46="YES"))*1+('10_Analysis_Ready'!$AI$46="YES")+('10_Analysis_Ready'!$AJ$46="YES")+('10_Analysis_Ready'!$AK$46="YES")+('10_Analysis_Ready'!$AL$46="YES"))&gt;=2,'10_Analysis_Ready'!$AF$46&lt;&gt;"MULTIPLE")),1,0))</f>
        <v>0</v>
      </c>
      <c r="F63">
        <f>IF('10_Analysis_Ready'!$A$46="",0,IF(AND('10_Analysis_Ready'!$AO$46="NO",COUNTIF('10_Analysis_Ready'!$AP$46:$AU$46,"YES")&gt;0),1,0))</f>
        <v>0</v>
      </c>
      <c r="G63">
        <f>IF('10_Analysis_Ready'!$A$46="",0,IF(OR(AND('10_Analysis_Ready'!$Y$46="GAN",'10_Analysis_Ready'!$AA$46="YES"),AND('10_Analysis_Ready'!$Y$46="DIFFUSION",'10_Analysis_Ready'!$Z$46="YES"),AND('10_Analysis_Ready'!$Y$46="GAN+DIFFUSION",OR('10_Analysis_Ready'!$Z$46&lt;&gt;"YES",'10_Analysis_Ready'!$AA$46&lt;&gt;"YES"))),1,0))</f>
        <v>0</v>
      </c>
      <c r="H63">
        <f>IF('10_Analysis_Ready'!$A$46="",0,IF(OR(AND('10_Analysis_Ready'!$BJ$46="NO",OR('10_Analysis_Ready'!$BK$46="HIGH",'10_Analysis_Ready'!$BK$46="VERY HIGH")),AND(((OR('10_Analysis_Ready'!$AG$46="YES",'10_Analysis_Ready'!$AH$46="YES"))*1+('10_Analysis_Ready'!$AI$46="YES")+('10_Analysis_Ready'!$AJ$46="YES")+('10_Analysis_Ready'!$AK$46="YES")+('10_Analysis_Ready'!$AL$46="YES"))=0,'10_Analysis_Ready'!$BJ$46="YES")),1,0))</f>
        <v>0</v>
      </c>
      <c r="I63">
        <f>IF('10_Analysis_Ready'!$A$46="",0,IF(AND(((OR('10_Analysis_Ready'!$AG$46="YES",'10_Analysis_Ready'!$AH$46="YES"))*1+('10_Analysis_Ready'!$AI$46="YES")+('10_Analysis_Ready'!$AJ$46="YES")+('10_Analysis_Ready'!$AK$46="YES")+('10_Analysis_Ready'!$AL$46="YES"))=0,'10_Analysis_Ready'!$AM$46&lt;&gt;"N/A"),1,0))</f>
        <v>0</v>
      </c>
      <c r="J63">
        <f>IF('10_Analysis_Ready'!$A$46="",0,IF(('28_Taxonomy_Coding'!$G$46="NONE")&lt;&gt;(((OR('10_Analysis_Ready'!$AG$46="YES",'10_Analysis_Ready'!$AH$46="YES"))*1+('10_Analysis_Ready'!$AI$46="YES")+('10_Analysis_Ready'!$AJ$46="YES")+('10_Analysis_Ready'!$AK$46="YES")+('10_Analysis_Ready'!$AL$46="YES"))=0),1,0))</f>
        <v>0</v>
      </c>
    </row>
    <row r="64" spans="1:10">
      <c r="A64">
        <v>47</v>
      </c>
      <c r="B64" t="str">
        <f>IF('10_Analysis_Ready'!$A$47="","",'10_Analysis_Ready'!$A$47)</f>
        <v>R0069</v>
      </c>
      <c r="C64">
        <f>IF('10_Analysis_Ready'!$A$47="",0,IF(AND('28_Taxonomy_Coding'!$A$47='10_Analysis_Ready'!$A$47,'14_Generalization_Map'!$A$47='10_Analysis_Ready'!$A$47),0,1))</f>
        <v>0</v>
      </c>
      <c r="D64">
        <f>IF('10_Analysis_Ready'!$A$47="",0,IF(COUNTIFS('06_Full_Text_Screening'!$A:$A,'10_Analysis_Ready'!$A$47,'06_Full_Text_Screening'!$J:$J,"INCLUDE")=1,0,1))</f>
        <v>0</v>
      </c>
      <c r="E64">
        <f>IF('10_Analysis_Ready'!$A$47="",0,IF(OR(AND(((OR('10_Analysis_Ready'!$AG$47="YES",'10_Analysis_Ready'!$AH$47="YES"))*1+('10_Analysis_Ready'!$AI$47="YES")+('10_Analysis_Ready'!$AJ$47="YES")+('10_Analysis_Ready'!$AK$47="YES")+('10_Analysis_Ready'!$AL$47="YES"))=0,'10_Analysis_Ready'!$AF$47&lt;&gt;"NONE"),AND(((OR('10_Analysis_Ready'!$AG$47="YES",'10_Analysis_Ready'!$AH$47="YES"))*1+('10_Analysis_Ready'!$AI$47="YES")+('10_Analysis_Ready'!$AJ$47="YES")+('10_Analysis_Ready'!$AK$47="YES")+('10_Analysis_Ready'!$AL$47="YES"))=1,OR('10_Analysis_Ready'!$AF$47="NONE",'10_Analysis_Ready'!$AF$47="MULTIPLE")),AND(((OR('10_Analysis_Ready'!$AG$47="YES",'10_Analysis_Ready'!$AH$47="YES"))*1+('10_Analysis_Ready'!$AI$47="YES")+('10_Analysis_Ready'!$AJ$47="YES")+('10_Analysis_Ready'!$AK$47="YES")+('10_Analysis_Ready'!$AL$47="YES"))&gt;=2,'10_Analysis_Ready'!$AF$47&lt;&gt;"MULTIPLE")),1,0))</f>
        <v>0</v>
      </c>
      <c r="F64">
        <f>IF('10_Analysis_Ready'!$A$47="",0,IF(AND('10_Analysis_Ready'!$AO$47="NO",COUNTIF('10_Analysis_Ready'!$AP$47:$AU$47,"YES")&gt;0),1,0))</f>
        <v>0</v>
      </c>
      <c r="G64">
        <f>IF('10_Analysis_Ready'!$A$47="",0,IF(OR(AND('10_Analysis_Ready'!$Y$47="GAN",'10_Analysis_Ready'!$AA$47="YES"),AND('10_Analysis_Ready'!$Y$47="DIFFUSION",'10_Analysis_Ready'!$Z$47="YES"),AND('10_Analysis_Ready'!$Y$47="GAN+DIFFUSION",OR('10_Analysis_Ready'!$Z$47&lt;&gt;"YES",'10_Analysis_Ready'!$AA$47&lt;&gt;"YES"))),1,0))</f>
        <v>0</v>
      </c>
      <c r="H64">
        <f>IF('10_Analysis_Ready'!$A$47="",0,IF(OR(AND('10_Analysis_Ready'!$BJ$47="NO",OR('10_Analysis_Ready'!$BK$47="HIGH",'10_Analysis_Ready'!$BK$47="VERY HIGH")),AND(((OR('10_Analysis_Ready'!$AG$47="YES",'10_Analysis_Ready'!$AH$47="YES"))*1+('10_Analysis_Ready'!$AI$47="YES")+('10_Analysis_Ready'!$AJ$47="YES")+('10_Analysis_Ready'!$AK$47="YES")+('10_Analysis_Ready'!$AL$47="YES"))=0,'10_Analysis_Ready'!$BJ$47="YES")),1,0))</f>
        <v>0</v>
      </c>
      <c r="I64">
        <f>IF('10_Analysis_Ready'!$A$47="",0,IF(AND(((OR('10_Analysis_Ready'!$AG$47="YES",'10_Analysis_Ready'!$AH$47="YES"))*1+('10_Analysis_Ready'!$AI$47="YES")+('10_Analysis_Ready'!$AJ$47="YES")+('10_Analysis_Ready'!$AK$47="YES")+('10_Analysis_Ready'!$AL$47="YES"))=0,'10_Analysis_Ready'!$AM$47&lt;&gt;"N/A"),1,0))</f>
        <v>0</v>
      </c>
      <c r="J64">
        <f>IF('10_Analysis_Ready'!$A$47="",0,IF(('28_Taxonomy_Coding'!$G$47="NONE")&lt;&gt;(((OR('10_Analysis_Ready'!$AG$47="YES",'10_Analysis_Ready'!$AH$47="YES"))*1+('10_Analysis_Ready'!$AI$47="YES")+('10_Analysis_Ready'!$AJ$47="YES")+('10_Analysis_Ready'!$AK$47="YES")+('10_Analysis_Ready'!$AL$47="YES"))=0),1,0))</f>
        <v>0</v>
      </c>
    </row>
    <row r="65" spans="1:10">
      <c r="A65">
        <v>48</v>
      </c>
      <c r="B65" t="str">
        <f>IF('10_Analysis_Ready'!$A$48="","",'10_Analysis_Ready'!$A$48)</f>
        <v>R0070</v>
      </c>
      <c r="C65">
        <f>IF('10_Analysis_Ready'!$A$48="",0,IF(AND('28_Taxonomy_Coding'!$A$48='10_Analysis_Ready'!$A$48,'14_Generalization_Map'!$A$48='10_Analysis_Ready'!$A$48),0,1))</f>
        <v>0</v>
      </c>
      <c r="D65">
        <f>IF('10_Analysis_Ready'!$A$48="",0,IF(COUNTIFS('06_Full_Text_Screening'!$A:$A,'10_Analysis_Ready'!$A$48,'06_Full_Text_Screening'!$J:$J,"INCLUDE")=1,0,1))</f>
        <v>0</v>
      </c>
      <c r="E65">
        <f>IF('10_Analysis_Ready'!$A$48="",0,IF(OR(AND(((OR('10_Analysis_Ready'!$AG$48="YES",'10_Analysis_Ready'!$AH$48="YES"))*1+('10_Analysis_Ready'!$AI$48="YES")+('10_Analysis_Ready'!$AJ$48="YES")+('10_Analysis_Ready'!$AK$48="YES")+('10_Analysis_Ready'!$AL$48="YES"))=0,'10_Analysis_Ready'!$AF$48&lt;&gt;"NONE"),AND(((OR('10_Analysis_Ready'!$AG$48="YES",'10_Analysis_Ready'!$AH$48="YES"))*1+('10_Analysis_Ready'!$AI$48="YES")+('10_Analysis_Ready'!$AJ$48="YES")+('10_Analysis_Ready'!$AK$48="YES")+('10_Analysis_Ready'!$AL$48="YES"))=1,OR('10_Analysis_Ready'!$AF$48="NONE",'10_Analysis_Ready'!$AF$48="MULTIPLE")),AND(((OR('10_Analysis_Ready'!$AG$48="YES",'10_Analysis_Ready'!$AH$48="YES"))*1+('10_Analysis_Ready'!$AI$48="YES")+('10_Analysis_Ready'!$AJ$48="YES")+('10_Analysis_Ready'!$AK$48="YES")+('10_Analysis_Ready'!$AL$48="YES"))&gt;=2,'10_Analysis_Ready'!$AF$48&lt;&gt;"MULTIPLE")),1,0))</f>
        <v>0</v>
      </c>
      <c r="F65">
        <f>IF('10_Analysis_Ready'!$A$48="",0,IF(AND('10_Analysis_Ready'!$AO$48="NO",COUNTIF('10_Analysis_Ready'!$AP$48:$AU$48,"YES")&gt;0),1,0))</f>
        <v>0</v>
      </c>
      <c r="G65">
        <f>IF('10_Analysis_Ready'!$A$48="",0,IF(OR(AND('10_Analysis_Ready'!$Y$48="GAN",'10_Analysis_Ready'!$AA$48="YES"),AND('10_Analysis_Ready'!$Y$48="DIFFUSION",'10_Analysis_Ready'!$Z$48="YES"),AND('10_Analysis_Ready'!$Y$48="GAN+DIFFUSION",OR('10_Analysis_Ready'!$Z$48&lt;&gt;"YES",'10_Analysis_Ready'!$AA$48&lt;&gt;"YES"))),1,0))</f>
        <v>0</v>
      </c>
      <c r="H65">
        <f>IF('10_Analysis_Ready'!$A$48="",0,IF(OR(AND('10_Analysis_Ready'!$BJ$48="NO",OR('10_Analysis_Ready'!$BK$48="HIGH",'10_Analysis_Ready'!$BK$48="VERY HIGH")),AND(((OR('10_Analysis_Ready'!$AG$48="YES",'10_Analysis_Ready'!$AH$48="YES"))*1+('10_Analysis_Ready'!$AI$48="YES")+('10_Analysis_Ready'!$AJ$48="YES")+('10_Analysis_Ready'!$AK$48="YES")+('10_Analysis_Ready'!$AL$48="YES"))=0,'10_Analysis_Ready'!$BJ$48="YES")),1,0))</f>
        <v>0</v>
      </c>
      <c r="I65">
        <f>IF('10_Analysis_Ready'!$A$48="",0,IF(AND(((OR('10_Analysis_Ready'!$AG$48="YES",'10_Analysis_Ready'!$AH$48="YES"))*1+('10_Analysis_Ready'!$AI$48="YES")+('10_Analysis_Ready'!$AJ$48="YES")+('10_Analysis_Ready'!$AK$48="YES")+('10_Analysis_Ready'!$AL$48="YES"))=0,'10_Analysis_Ready'!$AM$48&lt;&gt;"N/A"),1,0))</f>
        <v>0</v>
      </c>
      <c r="J65">
        <f>IF('10_Analysis_Ready'!$A$48="",0,IF(('28_Taxonomy_Coding'!$G$48="NONE")&lt;&gt;(((OR('10_Analysis_Ready'!$AG$48="YES",'10_Analysis_Ready'!$AH$48="YES"))*1+('10_Analysis_Ready'!$AI$48="YES")+('10_Analysis_Ready'!$AJ$48="YES")+('10_Analysis_Ready'!$AK$48="YES")+('10_Analysis_Ready'!$AL$48="YES"))=0),1,0))</f>
        <v>0</v>
      </c>
    </row>
    <row r="66" spans="1:10">
      <c r="A66">
        <v>49</v>
      </c>
      <c r="B66" t="str">
        <f>IF('10_Analysis_Ready'!$A$49="","",'10_Analysis_Ready'!$A$49)</f>
        <v>R0071</v>
      </c>
      <c r="C66">
        <f>IF('10_Analysis_Ready'!$A$49="",0,IF(AND('28_Taxonomy_Coding'!$A$49='10_Analysis_Ready'!$A$49,'14_Generalization_Map'!$A$49='10_Analysis_Ready'!$A$49),0,1))</f>
        <v>0</v>
      </c>
      <c r="D66">
        <f>IF('10_Analysis_Ready'!$A$49="",0,IF(COUNTIFS('06_Full_Text_Screening'!$A:$A,'10_Analysis_Ready'!$A$49,'06_Full_Text_Screening'!$J:$J,"INCLUDE")=1,0,1))</f>
        <v>0</v>
      </c>
      <c r="E66">
        <f>IF('10_Analysis_Ready'!$A$49="",0,IF(OR(AND(((OR('10_Analysis_Ready'!$AG$49="YES",'10_Analysis_Ready'!$AH$49="YES"))*1+('10_Analysis_Ready'!$AI$49="YES")+('10_Analysis_Ready'!$AJ$49="YES")+('10_Analysis_Ready'!$AK$49="YES")+('10_Analysis_Ready'!$AL$49="YES"))=0,'10_Analysis_Ready'!$AF$49&lt;&gt;"NONE"),AND(((OR('10_Analysis_Ready'!$AG$49="YES",'10_Analysis_Ready'!$AH$49="YES"))*1+('10_Analysis_Ready'!$AI$49="YES")+('10_Analysis_Ready'!$AJ$49="YES")+('10_Analysis_Ready'!$AK$49="YES")+('10_Analysis_Ready'!$AL$49="YES"))=1,OR('10_Analysis_Ready'!$AF$49="NONE",'10_Analysis_Ready'!$AF$49="MULTIPLE")),AND(((OR('10_Analysis_Ready'!$AG$49="YES",'10_Analysis_Ready'!$AH$49="YES"))*1+('10_Analysis_Ready'!$AI$49="YES")+('10_Analysis_Ready'!$AJ$49="YES")+('10_Analysis_Ready'!$AK$49="YES")+('10_Analysis_Ready'!$AL$49="YES"))&gt;=2,'10_Analysis_Ready'!$AF$49&lt;&gt;"MULTIPLE")),1,0))</f>
        <v>0</v>
      </c>
      <c r="F66">
        <f>IF('10_Analysis_Ready'!$A$49="",0,IF(AND('10_Analysis_Ready'!$AO$49="NO",COUNTIF('10_Analysis_Ready'!$AP$49:$AU$49,"YES")&gt;0),1,0))</f>
        <v>0</v>
      </c>
      <c r="G66">
        <f>IF('10_Analysis_Ready'!$A$49="",0,IF(OR(AND('10_Analysis_Ready'!$Y$49="GAN",'10_Analysis_Ready'!$AA$49="YES"),AND('10_Analysis_Ready'!$Y$49="DIFFUSION",'10_Analysis_Ready'!$Z$49="YES"),AND('10_Analysis_Ready'!$Y$49="GAN+DIFFUSION",OR('10_Analysis_Ready'!$Z$49&lt;&gt;"YES",'10_Analysis_Ready'!$AA$49&lt;&gt;"YES"))),1,0))</f>
        <v>0</v>
      </c>
      <c r="H66">
        <f>IF('10_Analysis_Ready'!$A$49="",0,IF(OR(AND('10_Analysis_Ready'!$BJ$49="NO",OR('10_Analysis_Ready'!$BK$49="HIGH",'10_Analysis_Ready'!$BK$49="VERY HIGH")),AND(((OR('10_Analysis_Ready'!$AG$49="YES",'10_Analysis_Ready'!$AH$49="YES"))*1+('10_Analysis_Ready'!$AI$49="YES")+('10_Analysis_Ready'!$AJ$49="YES")+('10_Analysis_Ready'!$AK$49="YES")+('10_Analysis_Ready'!$AL$49="YES"))=0,'10_Analysis_Ready'!$BJ$49="YES")),1,0))</f>
        <v>0</v>
      </c>
      <c r="I66">
        <f>IF('10_Analysis_Ready'!$A$49="",0,IF(AND(((OR('10_Analysis_Ready'!$AG$49="YES",'10_Analysis_Ready'!$AH$49="YES"))*1+('10_Analysis_Ready'!$AI$49="YES")+('10_Analysis_Ready'!$AJ$49="YES")+('10_Analysis_Ready'!$AK$49="YES")+('10_Analysis_Ready'!$AL$49="YES"))=0,'10_Analysis_Ready'!$AM$49&lt;&gt;"N/A"),1,0))</f>
        <v>0</v>
      </c>
      <c r="J66">
        <f>IF('10_Analysis_Ready'!$A$49="",0,IF(('28_Taxonomy_Coding'!$G$49="NONE")&lt;&gt;(((OR('10_Analysis_Ready'!$AG$49="YES",'10_Analysis_Ready'!$AH$49="YES"))*1+('10_Analysis_Ready'!$AI$49="YES")+('10_Analysis_Ready'!$AJ$49="YES")+('10_Analysis_Ready'!$AK$49="YES")+('10_Analysis_Ready'!$AL$49="YES"))=0),1,0))</f>
        <v>0</v>
      </c>
    </row>
    <row r="67" spans="1:10">
      <c r="A67">
        <v>50</v>
      </c>
      <c r="B67" t="str">
        <f>IF('10_Analysis_Ready'!$A$50="","",'10_Analysis_Ready'!$A$50)</f>
        <v>R0072</v>
      </c>
      <c r="C67">
        <f>IF('10_Analysis_Ready'!$A$50="",0,IF(AND('28_Taxonomy_Coding'!$A$50='10_Analysis_Ready'!$A$50,'14_Generalization_Map'!$A$50='10_Analysis_Ready'!$A$50),0,1))</f>
        <v>0</v>
      </c>
      <c r="D67">
        <f>IF('10_Analysis_Ready'!$A$50="",0,IF(COUNTIFS('06_Full_Text_Screening'!$A:$A,'10_Analysis_Ready'!$A$50,'06_Full_Text_Screening'!$J:$J,"INCLUDE")=1,0,1))</f>
        <v>0</v>
      </c>
      <c r="E67">
        <f>IF('10_Analysis_Ready'!$A$50="",0,IF(OR(AND(((OR('10_Analysis_Ready'!$AG$50="YES",'10_Analysis_Ready'!$AH$50="YES"))*1+('10_Analysis_Ready'!$AI$50="YES")+('10_Analysis_Ready'!$AJ$50="YES")+('10_Analysis_Ready'!$AK$50="YES")+('10_Analysis_Ready'!$AL$50="YES"))=0,'10_Analysis_Ready'!$AF$50&lt;&gt;"NONE"),AND(((OR('10_Analysis_Ready'!$AG$50="YES",'10_Analysis_Ready'!$AH$50="YES"))*1+('10_Analysis_Ready'!$AI$50="YES")+('10_Analysis_Ready'!$AJ$50="YES")+('10_Analysis_Ready'!$AK$50="YES")+('10_Analysis_Ready'!$AL$50="YES"))=1,OR('10_Analysis_Ready'!$AF$50="NONE",'10_Analysis_Ready'!$AF$50="MULTIPLE")),AND(((OR('10_Analysis_Ready'!$AG$50="YES",'10_Analysis_Ready'!$AH$50="YES"))*1+('10_Analysis_Ready'!$AI$50="YES")+('10_Analysis_Ready'!$AJ$50="YES")+('10_Analysis_Ready'!$AK$50="YES")+('10_Analysis_Ready'!$AL$50="YES"))&gt;=2,'10_Analysis_Ready'!$AF$50&lt;&gt;"MULTIPLE")),1,0))</f>
        <v>0</v>
      </c>
      <c r="F67">
        <f>IF('10_Analysis_Ready'!$A$50="",0,IF(AND('10_Analysis_Ready'!$AO$50="NO",COUNTIF('10_Analysis_Ready'!$AP$50:$AU$50,"YES")&gt;0),1,0))</f>
        <v>0</v>
      </c>
      <c r="G67">
        <f>IF('10_Analysis_Ready'!$A$50="",0,IF(OR(AND('10_Analysis_Ready'!$Y$50="GAN",'10_Analysis_Ready'!$AA$50="YES"),AND('10_Analysis_Ready'!$Y$50="DIFFUSION",'10_Analysis_Ready'!$Z$50="YES"),AND('10_Analysis_Ready'!$Y$50="GAN+DIFFUSION",OR('10_Analysis_Ready'!$Z$50&lt;&gt;"YES",'10_Analysis_Ready'!$AA$50&lt;&gt;"YES"))),1,0))</f>
        <v>0</v>
      </c>
      <c r="H67">
        <f>IF('10_Analysis_Ready'!$A$50="",0,IF(OR(AND('10_Analysis_Ready'!$BJ$50="NO",OR('10_Analysis_Ready'!$BK$50="HIGH",'10_Analysis_Ready'!$BK$50="VERY HIGH")),AND(((OR('10_Analysis_Ready'!$AG$50="YES",'10_Analysis_Ready'!$AH$50="YES"))*1+('10_Analysis_Ready'!$AI$50="YES")+('10_Analysis_Ready'!$AJ$50="YES")+('10_Analysis_Ready'!$AK$50="YES")+('10_Analysis_Ready'!$AL$50="YES"))=0,'10_Analysis_Ready'!$BJ$50="YES")),1,0))</f>
        <v>0</v>
      </c>
      <c r="I67">
        <f>IF('10_Analysis_Ready'!$A$50="",0,IF(AND(((OR('10_Analysis_Ready'!$AG$50="YES",'10_Analysis_Ready'!$AH$50="YES"))*1+('10_Analysis_Ready'!$AI$50="YES")+('10_Analysis_Ready'!$AJ$50="YES")+('10_Analysis_Ready'!$AK$50="YES")+('10_Analysis_Ready'!$AL$50="YES"))=0,'10_Analysis_Ready'!$AM$50&lt;&gt;"N/A"),1,0))</f>
        <v>0</v>
      </c>
      <c r="J67">
        <f>IF('10_Analysis_Ready'!$A$50="",0,IF(('28_Taxonomy_Coding'!$G$50="NONE")&lt;&gt;(((OR('10_Analysis_Ready'!$AG$50="YES",'10_Analysis_Ready'!$AH$50="YES"))*1+('10_Analysis_Ready'!$AI$50="YES")+('10_Analysis_Ready'!$AJ$50="YES")+('10_Analysis_Ready'!$AK$50="YES")+('10_Analysis_Ready'!$AL$50="YES"))=0),1,0))</f>
        <v>0</v>
      </c>
    </row>
    <row r="68" spans="1:10">
      <c r="A68">
        <v>51</v>
      </c>
      <c r="B68" t="str">
        <f>IF('10_Analysis_Ready'!$A$51="","",'10_Analysis_Ready'!$A$51)</f>
        <v>R0073</v>
      </c>
      <c r="C68">
        <f>IF('10_Analysis_Ready'!$A$51="",0,IF(AND('28_Taxonomy_Coding'!$A$51='10_Analysis_Ready'!$A$51,'14_Generalization_Map'!$A$51='10_Analysis_Ready'!$A$51),0,1))</f>
        <v>0</v>
      </c>
      <c r="D68">
        <f>IF('10_Analysis_Ready'!$A$51="",0,IF(COUNTIFS('06_Full_Text_Screening'!$A:$A,'10_Analysis_Ready'!$A$51,'06_Full_Text_Screening'!$J:$J,"INCLUDE")=1,0,1))</f>
        <v>0</v>
      </c>
      <c r="E68">
        <f>IF('10_Analysis_Ready'!$A$51="",0,IF(OR(AND(((OR('10_Analysis_Ready'!$AG$51="YES",'10_Analysis_Ready'!$AH$51="YES"))*1+('10_Analysis_Ready'!$AI$51="YES")+('10_Analysis_Ready'!$AJ$51="YES")+('10_Analysis_Ready'!$AK$51="YES")+('10_Analysis_Ready'!$AL$51="YES"))=0,'10_Analysis_Ready'!$AF$51&lt;&gt;"NONE"),AND(((OR('10_Analysis_Ready'!$AG$51="YES",'10_Analysis_Ready'!$AH$51="YES"))*1+('10_Analysis_Ready'!$AI$51="YES")+('10_Analysis_Ready'!$AJ$51="YES")+('10_Analysis_Ready'!$AK$51="YES")+('10_Analysis_Ready'!$AL$51="YES"))=1,OR('10_Analysis_Ready'!$AF$51="NONE",'10_Analysis_Ready'!$AF$51="MULTIPLE")),AND(((OR('10_Analysis_Ready'!$AG$51="YES",'10_Analysis_Ready'!$AH$51="YES"))*1+('10_Analysis_Ready'!$AI$51="YES")+('10_Analysis_Ready'!$AJ$51="YES")+('10_Analysis_Ready'!$AK$51="YES")+('10_Analysis_Ready'!$AL$51="YES"))&gt;=2,'10_Analysis_Ready'!$AF$51&lt;&gt;"MULTIPLE")),1,0))</f>
        <v>0</v>
      </c>
      <c r="F68">
        <f>IF('10_Analysis_Ready'!$A$51="",0,IF(AND('10_Analysis_Ready'!$AO$51="NO",COUNTIF('10_Analysis_Ready'!$AP$51:$AU$51,"YES")&gt;0),1,0))</f>
        <v>0</v>
      </c>
      <c r="G68">
        <f>IF('10_Analysis_Ready'!$A$51="",0,IF(OR(AND('10_Analysis_Ready'!$Y$51="GAN",'10_Analysis_Ready'!$AA$51="YES"),AND('10_Analysis_Ready'!$Y$51="DIFFUSION",'10_Analysis_Ready'!$Z$51="YES"),AND('10_Analysis_Ready'!$Y$51="GAN+DIFFUSION",OR('10_Analysis_Ready'!$Z$51&lt;&gt;"YES",'10_Analysis_Ready'!$AA$51&lt;&gt;"YES"))),1,0))</f>
        <v>0</v>
      </c>
      <c r="H68">
        <f>IF('10_Analysis_Ready'!$A$51="",0,IF(OR(AND('10_Analysis_Ready'!$BJ$51="NO",OR('10_Analysis_Ready'!$BK$51="HIGH",'10_Analysis_Ready'!$BK$51="VERY HIGH")),AND(((OR('10_Analysis_Ready'!$AG$51="YES",'10_Analysis_Ready'!$AH$51="YES"))*1+('10_Analysis_Ready'!$AI$51="YES")+('10_Analysis_Ready'!$AJ$51="YES")+('10_Analysis_Ready'!$AK$51="YES")+('10_Analysis_Ready'!$AL$51="YES"))=0,'10_Analysis_Ready'!$BJ$51="YES")),1,0))</f>
        <v>0</v>
      </c>
      <c r="I68">
        <f>IF('10_Analysis_Ready'!$A$51="",0,IF(AND(((OR('10_Analysis_Ready'!$AG$51="YES",'10_Analysis_Ready'!$AH$51="YES"))*1+('10_Analysis_Ready'!$AI$51="YES")+('10_Analysis_Ready'!$AJ$51="YES")+('10_Analysis_Ready'!$AK$51="YES")+('10_Analysis_Ready'!$AL$51="YES"))=0,'10_Analysis_Ready'!$AM$51&lt;&gt;"N/A"),1,0))</f>
        <v>0</v>
      </c>
      <c r="J68">
        <f>IF('10_Analysis_Ready'!$A$51="",0,IF(('28_Taxonomy_Coding'!$G$51="NONE")&lt;&gt;(((OR('10_Analysis_Ready'!$AG$51="YES",'10_Analysis_Ready'!$AH$51="YES"))*1+('10_Analysis_Ready'!$AI$51="YES")+('10_Analysis_Ready'!$AJ$51="YES")+('10_Analysis_Ready'!$AK$51="YES")+('10_Analysis_Ready'!$AL$51="YES"))=0),1,0))</f>
        <v>0</v>
      </c>
    </row>
    <row r="69" spans="1:10">
      <c r="A69">
        <v>52</v>
      </c>
      <c r="B69" t="str">
        <f>IF('10_Analysis_Ready'!$A$52="","",'10_Analysis_Ready'!$A$52)</f>
        <v>R0076</v>
      </c>
      <c r="C69">
        <f>IF('10_Analysis_Ready'!$A$52="",0,IF(AND('28_Taxonomy_Coding'!$A$52='10_Analysis_Ready'!$A$52,'14_Generalization_Map'!$A$52='10_Analysis_Ready'!$A$52),0,1))</f>
        <v>0</v>
      </c>
      <c r="D69">
        <f>IF('10_Analysis_Ready'!$A$52="",0,IF(COUNTIFS('06_Full_Text_Screening'!$A:$A,'10_Analysis_Ready'!$A$52,'06_Full_Text_Screening'!$J:$J,"INCLUDE")=1,0,1))</f>
        <v>0</v>
      </c>
      <c r="E69">
        <f>IF('10_Analysis_Ready'!$A$52="",0,IF(OR(AND(((OR('10_Analysis_Ready'!$AG$52="YES",'10_Analysis_Ready'!$AH$52="YES"))*1+('10_Analysis_Ready'!$AI$52="YES")+('10_Analysis_Ready'!$AJ$52="YES")+('10_Analysis_Ready'!$AK$52="YES")+('10_Analysis_Ready'!$AL$52="YES"))=0,'10_Analysis_Ready'!$AF$52&lt;&gt;"NONE"),AND(((OR('10_Analysis_Ready'!$AG$52="YES",'10_Analysis_Ready'!$AH$52="YES"))*1+('10_Analysis_Ready'!$AI$52="YES")+('10_Analysis_Ready'!$AJ$52="YES")+('10_Analysis_Ready'!$AK$52="YES")+('10_Analysis_Ready'!$AL$52="YES"))=1,OR('10_Analysis_Ready'!$AF$52="NONE",'10_Analysis_Ready'!$AF$52="MULTIPLE")),AND(((OR('10_Analysis_Ready'!$AG$52="YES",'10_Analysis_Ready'!$AH$52="YES"))*1+('10_Analysis_Ready'!$AI$52="YES")+('10_Analysis_Ready'!$AJ$52="YES")+('10_Analysis_Ready'!$AK$52="YES")+('10_Analysis_Ready'!$AL$52="YES"))&gt;=2,'10_Analysis_Ready'!$AF$52&lt;&gt;"MULTIPLE")),1,0))</f>
        <v>0</v>
      </c>
      <c r="F69">
        <f>IF('10_Analysis_Ready'!$A$52="",0,IF(AND('10_Analysis_Ready'!$AO$52="NO",COUNTIF('10_Analysis_Ready'!$AP$52:$AU$52,"YES")&gt;0),1,0))</f>
        <v>0</v>
      </c>
      <c r="G69">
        <f>IF('10_Analysis_Ready'!$A$52="",0,IF(OR(AND('10_Analysis_Ready'!$Y$52="GAN",'10_Analysis_Ready'!$AA$52="YES"),AND('10_Analysis_Ready'!$Y$52="DIFFUSION",'10_Analysis_Ready'!$Z$52="YES"),AND('10_Analysis_Ready'!$Y$52="GAN+DIFFUSION",OR('10_Analysis_Ready'!$Z$52&lt;&gt;"YES",'10_Analysis_Ready'!$AA$52&lt;&gt;"YES"))),1,0))</f>
        <v>0</v>
      </c>
      <c r="H69">
        <f>IF('10_Analysis_Ready'!$A$52="",0,IF(OR(AND('10_Analysis_Ready'!$BJ$52="NO",OR('10_Analysis_Ready'!$BK$52="HIGH",'10_Analysis_Ready'!$BK$52="VERY HIGH")),AND(((OR('10_Analysis_Ready'!$AG$52="YES",'10_Analysis_Ready'!$AH$52="YES"))*1+('10_Analysis_Ready'!$AI$52="YES")+('10_Analysis_Ready'!$AJ$52="YES")+('10_Analysis_Ready'!$AK$52="YES")+('10_Analysis_Ready'!$AL$52="YES"))=0,'10_Analysis_Ready'!$BJ$52="YES")),1,0))</f>
        <v>0</v>
      </c>
      <c r="I69">
        <f>IF('10_Analysis_Ready'!$A$52="",0,IF(AND(((OR('10_Analysis_Ready'!$AG$52="YES",'10_Analysis_Ready'!$AH$52="YES"))*1+('10_Analysis_Ready'!$AI$52="YES")+('10_Analysis_Ready'!$AJ$52="YES")+('10_Analysis_Ready'!$AK$52="YES")+('10_Analysis_Ready'!$AL$52="YES"))=0,'10_Analysis_Ready'!$AM$52&lt;&gt;"N/A"),1,0))</f>
        <v>0</v>
      </c>
      <c r="J69">
        <f>IF('10_Analysis_Ready'!$A$52="",0,IF(('28_Taxonomy_Coding'!$G$52="NONE")&lt;&gt;(((OR('10_Analysis_Ready'!$AG$52="YES",'10_Analysis_Ready'!$AH$52="YES"))*1+('10_Analysis_Ready'!$AI$52="YES")+('10_Analysis_Ready'!$AJ$52="YES")+('10_Analysis_Ready'!$AK$52="YES")+('10_Analysis_Ready'!$AL$52="YES"))=0),1,0))</f>
        <v>0</v>
      </c>
    </row>
    <row r="70" spans="1:10">
      <c r="A70">
        <v>53</v>
      </c>
      <c r="B70" t="str">
        <f>IF('10_Analysis_Ready'!$A$53="","",'10_Analysis_Ready'!$A$53)</f>
        <v>R0077</v>
      </c>
      <c r="C70">
        <f>IF('10_Analysis_Ready'!$A$53="",0,IF(AND('28_Taxonomy_Coding'!$A$53='10_Analysis_Ready'!$A$53,'14_Generalization_Map'!$A$53='10_Analysis_Ready'!$A$53),0,1))</f>
        <v>0</v>
      </c>
      <c r="D70">
        <f>IF('10_Analysis_Ready'!$A$53="",0,IF(COUNTIFS('06_Full_Text_Screening'!$A:$A,'10_Analysis_Ready'!$A$53,'06_Full_Text_Screening'!$J:$J,"INCLUDE")=1,0,1))</f>
        <v>0</v>
      </c>
      <c r="E70">
        <f>IF('10_Analysis_Ready'!$A$53="",0,IF(OR(AND(((OR('10_Analysis_Ready'!$AG$53="YES",'10_Analysis_Ready'!$AH$53="YES"))*1+('10_Analysis_Ready'!$AI$53="YES")+('10_Analysis_Ready'!$AJ$53="YES")+('10_Analysis_Ready'!$AK$53="YES")+('10_Analysis_Ready'!$AL$53="YES"))=0,'10_Analysis_Ready'!$AF$53&lt;&gt;"NONE"),AND(((OR('10_Analysis_Ready'!$AG$53="YES",'10_Analysis_Ready'!$AH$53="YES"))*1+('10_Analysis_Ready'!$AI$53="YES")+('10_Analysis_Ready'!$AJ$53="YES")+('10_Analysis_Ready'!$AK$53="YES")+('10_Analysis_Ready'!$AL$53="YES"))=1,OR('10_Analysis_Ready'!$AF$53="NONE",'10_Analysis_Ready'!$AF$53="MULTIPLE")),AND(((OR('10_Analysis_Ready'!$AG$53="YES",'10_Analysis_Ready'!$AH$53="YES"))*1+('10_Analysis_Ready'!$AI$53="YES")+('10_Analysis_Ready'!$AJ$53="YES")+('10_Analysis_Ready'!$AK$53="YES")+('10_Analysis_Ready'!$AL$53="YES"))&gt;=2,'10_Analysis_Ready'!$AF$53&lt;&gt;"MULTIPLE")),1,0))</f>
        <v>0</v>
      </c>
      <c r="F70">
        <f>IF('10_Analysis_Ready'!$A$53="",0,IF(AND('10_Analysis_Ready'!$AO$53="NO",COUNTIF('10_Analysis_Ready'!$AP$53:$AU$53,"YES")&gt;0),1,0))</f>
        <v>0</v>
      </c>
      <c r="G70">
        <f>IF('10_Analysis_Ready'!$A$53="",0,IF(OR(AND('10_Analysis_Ready'!$Y$53="GAN",'10_Analysis_Ready'!$AA$53="YES"),AND('10_Analysis_Ready'!$Y$53="DIFFUSION",'10_Analysis_Ready'!$Z$53="YES"),AND('10_Analysis_Ready'!$Y$53="GAN+DIFFUSION",OR('10_Analysis_Ready'!$Z$53&lt;&gt;"YES",'10_Analysis_Ready'!$AA$53&lt;&gt;"YES"))),1,0))</f>
        <v>0</v>
      </c>
      <c r="H70">
        <f>IF('10_Analysis_Ready'!$A$53="",0,IF(OR(AND('10_Analysis_Ready'!$BJ$53="NO",OR('10_Analysis_Ready'!$BK$53="HIGH",'10_Analysis_Ready'!$BK$53="VERY HIGH")),AND(((OR('10_Analysis_Ready'!$AG$53="YES",'10_Analysis_Ready'!$AH$53="YES"))*1+('10_Analysis_Ready'!$AI$53="YES")+('10_Analysis_Ready'!$AJ$53="YES")+('10_Analysis_Ready'!$AK$53="YES")+('10_Analysis_Ready'!$AL$53="YES"))=0,'10_Analysis_Ready'!$BJ$53="YES")),1,0))</f>
        <v>0</v>
      </c>
      <c r="I70">
        <f>IF('10_Analysis_Ready'!$A$53="",0,IF(AND(((OR('10_Analysis_Ready'!$AG$53="YES",'10_Analysis_Ready'!$AH$53="YES"))*1+('10_Analysis_Ready'!$AI$53="YES")+('10_Analysis_Ready'!$AJ$53="YES")+('10_Analysis_Ready'!$AK$53="YES")+('10_Analysis_Ready'!$AL$53="YES"))=0,'10_Analysis_Ready'!$AM$53&lt;&gt;"N/A"),1,0))</f>
        <v>0</v>
      </c>
      <c r="J70">
        <f>IF('10_Analysis_Ready'!$A$53="",0,IF(('28_Taxonomy_Coding'!$G$53="NONE")&lt;&gt;(((OR('10_Analysis_Ready'!$AG$53="YES",'10_Analysis_Ready'!$AH$53="YES"))*1+('10_Analysis_Ready'!$AI$53="YES")+('10_Analysis_Ready'!$AJ$53="YES")+('10_Analysis_Ready'!$AK$53="YES")+('10_Analysis_Ready'!$AL$53="YES"))=0),1,0))</f>
        <v>0</v>
      </c>
    </row>
    <row r="71" spans="1:10">
      <c r="A71">
        <v>54</v>
      </c>
      <c r="B71" t="str">
        <f>IF('10_Analysis_Ready'!$A$54="","",'10_Analysis_Ready'!$A$54)</f>
        <v>R0078</v>
      </c>
      <c r="C71">
        <f>IF('10_Analysis_Ready'!$A$54="",0,IF(AND('28_Taxonomy_Coding'!$A$54='10_Analysis_Ready'!$A$54,'14_Generalization_Map'!$A$54='10_Analysis_Ready'!$A$54),0,1))</f>
        <v>0</v>
      </c>
      <c r="D71">
        <f>IF('10_Analysis_Ready'!$A$54="",0,IF(COUNTIFS('06_Full_Text_Screening'!$A:$A,'10_Analysis_Ready'!$A$54,'06_Full_Text_Screening'!$J:$J,"INCLUDE")=1,0,1))</f>
        <v>0</v>
      </c>
      <c r="E71">
        <f>IF('10_Analysis_Ready'!$A$54="",0,IF(OR(AND(((OR('10_Analysis_Ready'!$AG$54="YES",'10_Analysis_Ready'!$AH$54="YES"))*1+('10_Analysis_Ready'!$AI$54="YES")+('10_Analysis_Ready'!$AJ$54="YES")+('10_Analysis_Ready'!$AK$54="YES")+('10_Analysis_Ready'!$AL$54="YES"))=0,'10_Analysis_Ready'!$AF$54&lt;&gt;"NONE"),AND(((OR('10_Analysis_Ready'!$AG$54="YES",'10_Analysis_Ready'!$AH$54="YES"))*1+('10_Analysis_Ready'!$AI$54="YES")+('10_Analysis_Ready'!$AJ$54="YES")+('10_Analysis_Ready'!$AK$54="YES")+('10_Analysis_Ready'!$AL$54="YES"))=1,OR('10_Analysis_Ready'!$AF$54="NONE",'10_Analysis_Ready'!$AF$54="MULTIPLE")),AND(((OR('10_Analysis_Ready'!$AG$54="YES",'10_Analysis_Ready'!$AH$54="YES"))*1+('10_Analysis_Ready'!$AI$54="YES")+('10_Analysis_Ready'!$AJ$54="YES")+('10_Analysis_Ready'!$AK$54="YES")+('10_Analysis_Ready'!$AL$54="YES"))&gt;=2,'10_Analysis_Ready'!$AF$54&lt;&gt;"MULTIPLE")),1,0))</f>
        <v>0</v>
      </c>
      <c r="F71">
        <f>IF('10_Analysis_Ready'!$A$54="",0,IF(AND('10_Analysis_Ready'!$AO$54="NO",COUNTIF('10_Analysis_Ready'!$AP$54:$AU$54,"YES")&gt;0),1,0))</f>
        <v>0</v>
      </c>
      <c r="G71">
        <f>IF('10_Analysis_Ready'!$A$54="",0,IF(OR(AND('10_Analysis_Ready'!$Y$54="GAN",'10_Analysis_Ready'!$AA$54="YES"),AND('10_Analysis_Ready'!$Y$54="DIFFUSION",'10_Analysis_Ready'!$Z$54="YES"),AND('10_Analysis_Ready'!$Y$54="GAN+DIFFUSION",OR('10_Analysis_Ready'!$Z$54&lt;&gt;"YES",'10_Analysis_Ready'!$AA$54&lt;&gt;"YES"))),1,0))</f>
        <v>0</v>
      </c>
      <c r="H71">
        <f>IF('10_Analysis_Ready'!$A$54="",0,IF(OR(AND('10_Analysis_Ready'!$BJ$54="NO",OR('10_Analysis_Ready'!$BK$54="HIGH",'10_Analysis_Ready'!$BK$54="VERY HIGH")),AND(((OR('10_Analysis_Ready'!$AG$54="YES",'10_Analysis_Ready'!$AH$54="YES"))*1+('10_Analysis_Ready'!$AI$54="YES")+('10_Analysis_Ready'!$AJ$54="YES")+('10_Analysis_Ready'!$AK$54="YES")+('10_Analysis_Ready'!$AL$54="YES"))=0,'10_Analysis_Ready'!$BJ$54="YES")),1,0))</f>
        <v>0</v>
      </c>
      <c r="I71">
        <f>IF('10_Analysis_Ready'!$A$54="",0,IF(AND(((OR('10_Analysis_Ready'!$AG$54="YES",'10_Analysis_Ready'!$AH$54="YES"))*1+('10_Analysis_Ready'!$AI$54="YES")+('10_Analysis_Ready'!$AJ$54="YES")+('10_Analysis_Ready'!$AK$54="YES")+('10_Analysis_Ready'!$AL$54="YES"))=0,'10_Analysis_Ready'!$AM$54&lt;&gt;"N/A"),1,0))</f>
        <v>0</v>
      </c>
      <c r="J71">
        <f>IF('10_Analysis_Ready'!$A$54="",0,IF(('28_Taxonomy_Coding'!$G$54="NONE")&lt;&gt;(((OR('10_Analysis_Ready'!$AG$54="YES",'10_Analysis_Ready'!$AH$54="YES"))*1+('10_Analysis_Ready'!$AI$54="YES")+('10_Analysis_Ready'!$AJ$54="YES")+('10_Analysis_Ready'!$AK$54="YES")+('10_Analysis_Ready'!$AL$54="YES"))=0),1,0))</f>
        <v>0</v>
      </c>
    </row>
    <row r="72" spans="1:10">
      <c r="A72">
        <v>55</v>
      </c>
      <c r="B72" t="str">
        <f>IF('10_Analysis_Ready'!$A$55="","",'10_Analysis_Ready'!$A$55)</f>
        <v>R0080</v>
      </c>
      <c r="C72">
        <f>IF('10_Analysis_Ready'!$A$55="",0,IF(AND('28_Taxonomy_Coding'!$A$55='10_Analysis_Ready'!$A$55,'14_Generalization_Map'!$A$55='10_Analysis_Ready'!$A$55),0,1))</f>
        <v>0</v>
      </c>
      <c r="D72">
        <f>IF('10_Analysis_Ready'!$A$55="",0,IF(COUNTIFS('06_Full_Text_Screening'!$A:$A,'10_Analysis_Ready'!$A$55,'06_Full_Text_Screening'!$J:$J,"INCLUDE")=1,0,1))</f>
        <v>0</v>
      </c>
      <c r="E72">
        <f>IF('10_Analysis_Ready'!$A$55="",0,IF(OR(AND(((OR('10_Analysis_Ready'!$AG$55="YES",'10_Analysis_Ready'!$AH$55="YES"))*1+('10_Analysis_Ready'!$AI$55="YES")+('10_Analysis_Ready'!$AJ$55="YES")+('10_Analysis_Ready'!$AK$55="YES")+('10_Analysis_Ready'!$AL$55="YES"))=0,'10_Analysis_Ready'!$AF$55&lt;&gt;"NONE"),AND(((OR('10_Analysis_Ready'!$AG$55="YES",'10_Analysis_Ready'!$AH$55="YES"))*1+('10_Analysis_Ready'!$AI$55="YES")+('10_Analysis_Ready'!$AJ$55="YES")+('10_Analysis_Ready'!$AK$55="YES")+('10_Analysis_Ready'!$AL$55="YES"))=1,OR('10_Analysis_Ready'!$AF$55="NONE",'10_Analysis_Ready'!$AF$55="MULTIPLE")),AND(((OR('10_Analysis_Ready'!$AG$55="YES",'10_Analysis_Ready'!$AH$55="YES"))*1+('10_Analysis_Ready'!$AI$55="YES")+('10_Analysis_Ready'!$AJ$55="YES")+('10_Analysis_Ready'!$AK$55="YES")+('10_Analysis_Ready'!$AL$55="YES"))&gt;=2,'10_Analysis_Ready'!$AF$55&lt;&gt;"MULTIPLE")),1,0))</f>
        <v>0</v>
      </c>
      <c r="F72">
        <f>IF('10_Analysis_Ready'!$A$55="",0,IF(AND('10_Analysis_Ready'!$AO$55="NO",COUNTIF('10_Analysis_Ready'!$AP$55:$AU$55,"YES")&gt;0),1,0))</f>
        <v>0</v>
      </c>
      <c r="G72">
        <f>IF('10_Analysis_Ready'!$A$55="",0,IF(OR(AND('10_Analysis_Ready'!$Y$55="GAN",'10_Analysis_Ready'!$AA$55="YES"),AND('10_Analysis_Ready'!$Y$55="DIFFUSION",'10_Analysis_Ready'!$Z$55="YES"),AND('10_Analysis_Ready'!$Y$55="GAN+DIFFUSION",OR('10_Analysis_Ready'!$Z$55&lt;&gt;"YES",'10_Analysis_Ready'!$AA$55&lt;&gt;"YES"))),1,0))</f>
        <v>0</v>
      </c>
      <c r="H72">
        <f>IF('10_Analysis_Ready'!$A$55="",0,IF(OR(AND('10_Analysis_Ready'!$BJ$55="NO",OR('10_Analysis_Ready'!$BK$55="HIGH",'10_Analysis_Ready'!$BK$55="VERY HIGH")),AND(((OR('10_Analysis_Ready'!$AG$55="YES",'10_Analysis_Ready'!$AH$55="YES"))*1+('10_Analysis_Ready'!$AI$55="YES")+('10_Analysis_Ready'!$AJ$55="YES")+('10_Analysis_Ready'!$AK$55="YES")+('10_Analysis_Ready'!$AL$55="YES"))=0,'10_Analysis_Ready'!$BJ$55="YES")),1,0))</f>
        <v>0</v>
      </c>
      <c r="I72">
        <f>IF('10_Analysis_Ready'!$A$55="",0,IF(AND(((OR('10_Analysis_Ready'!$AG$55="YES",'10_Analysis_Ready'!$AH$55="YES"))*1+('10_Analysis_Ready'!$AI$55="YES")+('10_Analysis_Ready'!$AJ$55="YES")+('10_Analysis_Ready'!$AK$55="YES")+('10_Analysis_Ready'!$AL$55="YES"))=0,'10_Analysis_Ready'!$AM$55&lt;&gt;"N/A"),1,0))</f>
        <v>0</v>
      </c>
      <c r="J72">
        <f>IF('10_Analysis_Ready'!$A$55="",0,IF(('28_Taxonomy_Coding'!$G$55="NONE")&lt;&gt;(((OR('10_Analysis_Ready'!$AG$55="YES",'10_Analysis_Ready'!$AH$55="YES"))*1+('10_Analysis_Ready'!$AI$55="YES")+('10_Analysis_Ready'!$AJ$55="YES")+('10_Analysis_Ready'!$AK$55="YES")+('10_Analysis_Ready'!$AL$55="YES"))=0),1,0))</f>
        <v>0</v>
      </c>
    </row>
    <row r="73" spans="1:10">
      <c r="A73">
        <v>56</v>
      </c>
      <c r="B73" t="str">
        <f>IF('10_Analysis_Ready'!$A$56="","",'10_Analysis_Ready'!$A$56)</f>
        <v>R0081</v>
      </c>
      <c r="C73">
        <f>IF('10_Analysis_Ready'!$A$56="",0,IF(AND('28_Taxonomy_Coding'!$A$56='10_Analysis_Ready'!$A$56,'14_Generalization_Map'!$A$56='10_Analysis_Ready'!$A$56),0,1))</f>
        <v>0</v>
      </c>
      <c r="D73">
        <f>IF('10_Analysis_Ready'!$A$56="",0,IF(COUNTIFS('06_Full_Text_Screening'!$A:$A,'10_Analysis_Ready'!$A$56,'06_Full_Text_Screening'!$J:$J,"INCLUDE")=1,0,1))</f>
        <v>0</v>
      </c>
      <c r="E73">
        <f>IF('10_Analysis_Ready'!$A$56="",0,IF(OR(AND(((OR('10_Analysis_Ready'!$AG$56="YES",'10_Analysis_Ready'!$AH$56="YES"))*1+('10_Analysis_Ready'!$AI$56="YES")+('10_Analysis_Ready'!$AJ$56="YES")+('10_Analysis_Ready'!$AK$56="YES")+('10_Analysis_Ready'!$AL$56="YES"))=0,'10_Analysis_Ready'!$AF$56&lt;&gt;"NONE"),AND(((OR('10_Analysis_Ready'!$AG$56="YES",'10_Analysis_Ready'!$AH$56="YES"))*1+('10_Analysis_Ready'!$AI$56="YES")+('10_Analysis_Ready'!$AJ$56="YES")+('10_Analysis_Ready'!$AK$56="YES")+('10_Analysis_Ready'!$AL$56="YES"))=1,OR('10_Analysis_Ready'!$AF$56="NONE",'10_Analysis_Ready'!$AF$56="MULTIPLE")),AND(((OR('10_Analysis_Ready'!$AG$56="YES",'10_Analysis_Ready'!$AH$56="YES"))*1+('10_Analysis_Ready'!$AI$56="YES")+('10_Analysis_Ready'!$AJ$56="YES")+('10_Analysis_Ready'!$AK$56="YES")+('10_Analysis_Ready'!$AL$56="YES"))&gt;=2,'10_Analysis_Ready'!$AF$56&lt;&gt;"MULTIPLE")),1,0))</f>
        <v>0</v>
      </c>
      <c r="F73">
        <f>IF('10_Analysis_Ready'!$A$56="",0,IF(AND('10_Analysis_Ready'!$AO$56="NO",COUNTIF('10_Analysis_Ready'!$AP$56:$AU$56,"YES")&gt;0),1,0))</f>
        <v>0</v>
      </c>
      <c r="G73">
        <f>IF('10_Analysis_Ready'!$A$56="",0,IF(OR(AND('10_Analysis_Ready'!$Y$56="GAN",'10_Analysis_Ready'!$AA$56="YES"),AND('10_Analysis_Ready'!$Y$56="DIFFUSION",'10_Analysis_Ready'!$Z$56="YES"),AND('10_Analysis_Ready'!$Y$56="GAN+DIFFUSION",OR('10_Analysis_Ready'!$Z$56&lt;&gt;"YES",'10_Analysis_Ready'!$AA$56&lt;&gt;"YES"))),1,0))</f>
        <v>0</v>
      </c>
      <c r="H73">
        <f>IF('10_Analysis_Ready'!$A$56="",0,IF(OR(AND('10_Analysis_Ready'!$BJ$56="NO",OR('10_Analysis_Ready'!$BK$56="HIGH",'10_Analysis_Ready'!$BK$56="VERY HIGH")),AND(((OR('10_Analysis_Ready'!$AG$56="YES",'10_Analysis_Ready'!$AH$56="YES"))*1+('10_Analysis_Ready'!$AI$56="YES")+('10_Analysis_Ready'!$AJ$56="YES")+('10_Analysis_Ready'!$AK$56="YES")+('10_Analysis_Ready'!$AL$56="YES"))=0,'10_Analysis_Ready'!$BJ$56="YES")),1,0))</f>
        <v>0</v>
      </c>
      <c r="I73">
        <f>IF('10_Analysis_Ready'!$A$56="",0,IF(AND(((OR('10_Analysis_Ready'!$AG$56="YES",'10_Analysis_Ready'!$AH$56="YES"))*1+('10_Analysis_Ready'!$AI$56="YES")+('10_Analysis_Ready'!$AJ$56="YES")+('10_Analysis_Ready'!$AK$56="YES")+('10_Analysis_Ready'!$AL$56="YES"))=0,'10_Analysis_Ready'!$AM$56&lt;&gt;"N/A"),1,0))</f>
        <v>0</v>
      </c>
      <c r="J73">
        <f>IF('10_Analysis_Ready'!$A$56="",0,IF(('28_Taxonomy_Coding'!$G$56="NONE")&lt;&gt;(((OR('10_Analysis_Ready'!$AG$56="YES",'10_Analysis_Ready'!$AH$56="YES"))*1+('10_Analysis_Ready'!$AI$56="YES")+('10_Analysis_Ready'!$AJ$56="YES")+('10_Analysis_Ready'!$AK$56="YES")+('10_Analysis_Ready'!$AL$56="YES"))=0),1,0))</f>
        <v>0</v>
      </c>
    </row>
    <row r="74" spans="1:10">
      <c r="A74">
        <v>57</v>
      </c>
      <c r="B74" t="str">
        <f>IF('10_Analysis_Ready'!$A$57="","",'10_Analysis_Ready'!$A$57)</f>
        <v>R0082</v>
      </c>
      <c r="C74">
        <f>IF('10_Analysis_Ready'!$A$57="",0,IF(AND('28_Taxonomy_Coding'!$A$57='10_Analysis_Ready'!$A$57,'14_Generalization_Map'!$A$57='10_Analysis_Ready'!$A$57),0,1))</f>
        <v>0</v>
      </c>
      <c r="D74">
        <f>IF('10_Analysis_Ready'!$A$57="",0,IF(COUNTIFS('06_Full_Text_Screening'!$A:$A,'10_Analysis_Ready'!$A$57,'06_Full_Text_Screening'!$J:$J,"INCLUDE")=1,0,1))</f>
        <v>0</v>
      </c>
      <c r="E74">
        <f>IF('10_Analysis_Ready'!$A$57="",0,IF(OR(AND(((OR('10_Analysis_Ready'!$AG$57="YES",'10_Analysis_Ready'!$AH$57="YES"))*1+('10_Analysis_Ready'!$AI$57="YES")+('10_Analysis_Ready'!$AJ$57="YES")+('10_Analysis_Ready'!$AK$57="YES")+('10_Analysis_Ready'!$AL$57="YES"))=0,'10_Analysis_Ready'!$AF$57&lt;&gt;"NONE"),AND(((OR('10_Analysis_Ready'!$AG$57="YES",'10_Analysis_Ready'!$AH$57="YES"))*1+('10_Analysis_Ready'!$AI$57="YES")+('10_Analysis_Ready'!$AJ$57="YES")+('10_Analysis_Ready'!$AK$57="YES")+('10_Analysis_Ready'!$AL$57="YES"))=1,OR('10_Analysis_Ready'!$AF$57="NONE",'10_Analysis_Ready'!$AF$57="MULTIPLE")),AND(((OR('10_Analysis_Ready'!$AG$57="YES",'10_Analysis_Ready'!$AH$57="YES"))*1+('10_Analysis_Ready'!$AI$57="YES")+('10_Analysis_Ready'!$AJ$57="YES")+('10_Analysis_Ready'!$AK$57="YES")+('10_Analysis_Ready'!$AL$57="YES"))&gt;=2,'10_Analysis_Ready'!$AF$57&lt;&gt;"MULTIPLE")),1,0))</f>
        <v>0</v>
      </c>
      <c r="F74">
        <f>IF('10_Analysis_Ready'!$A$57="",0,IF(AND('10_Analysis_Ready'!$AO$57="NO",COUNTIF('10_Analysis_Ready'!$AP$57:$AU$57,"YES")&gt;0),1,0))</f>
        <v>0</v>
      </c>
      <c r="G74">
        <f>IF('10_Analysis_Ready'!$A$57="",0,IF(OR(AND('10_Analysis_Ready'!$Y$57="GAN",'10_Analysis_Ready'!$AA$57="YES"),AND('10_Analysis_Ready'!$Y$57="DIFFUSION",'10_Analysis_Ready'!$Z$57="YES"),AND('10_Analysis_Ready'!$Y$57="GAN+DIFFUSION",OR('10_Analysis_Ready'!$Z$57&lt;&gt;"YES",'10_Analysis_Ready'!$AA$57&lt;&gt;"YES"))),1,0))</f>
        <v>0</v>
      </c>
      <c r="H74">
        <f>IF('10_Analysis_Ready'!$A$57="",0,IF(OR(AND('10_Analysis_Ready'!$BJ$57="NO",OR('10_Analysis_Ready'!$BK$57="HIGH",'10_Analysis_Ready'!$BK$57="VERY HIGH")),AND(((OR('10_Analysis_Ready'!$AG$57="YES",'10_Analysis_Ready'!$AH$57="YES"))*1+('10_Analysis_Ready'!$AI$57="YES")+('10_Analysis_Ready'!$AJ$57="YES")+('10_Analysis_Ready'!$AK$57="YES")+('10_Analysis_Ready'!$AL$57="YES"))=0,'10_Analysis_Ready'!$BJ$57="YES")),1,0))</f>
        <v>0</v>
      </c>
      <c r="I74">
        <f>IF('10_Analysis_Ready'!$A$57="",0,IF(AND(((OR('10_Analysis_Ready'!$AG$57="YES",'10_Analysis_Ready'!$AH$57="YES"))*1+('10_Analysis_Ready'!$AI$57="YES")+('10_Analysis_Ready'!$AJ$57="YES")+('10_Analysis_Ready'!$AK$57="YES")+('10_Analysis_Ready'!$AL$57="YES"))=0,'10_Analysis_Ready'!$AM$57&lt;&gt;"N/A"),1,0))</f>
        <v>0</v>
      </c>
      <c r="J74">
        <f>IF('10_Analysis_Ready'!$A$57="",0,IF(('28_Taxonomy_Coding'!$G$57="NONE")&lt;&gt;(((OR('10_Analysis_Ready'!$AG$57="YES",'10_Analysis_Ready'!$AH$57="YES"))*1+('10_Analysis_Ready'!$AI$57="YES")+('10_Analysis_Ready'!$AJ$57="YES")+('10_Analysis_Ready'!$AK$57="YES")+('10_Analysis_Ready'!$AL$57="YES"))=0),1,0))</f>
        <v>0</v>
      </c>
    </row>
    <row r="75" spans="1:10">
      <c r="A75">
        <v>58</v>
      </c>
      <c r="B75" t="str">
        <f>IF('10_Analysis_Ready'!$A$58="","",'10_Analysis_Ready'!$A$58)</f>
        <v>R0083</v>
      </c>
      <c r="C75">
        <f>IF('10_Analysis_Ready'!$A$58="",0,IF(AND('28_Taxonomy_Coding'!$A$58='10_Analysis_Ready'!$A$58,'14_Generalization_Map'!$A$58='10_Analysis_Ready'!$A$58),0,1))</f>
        <v>0</v>
      </c>
      <c r="D75">
        <f>IF('10_Analysis_Ready'!$A$58="",0,IF(COUNTIFS('06_Full_Text_Screening'!$A:$A,'10_Analysis_Ready'!$A$58,'06_Full_Text_Screening'!$J:$J,"INCLUDE")=1,0,1))</f>
        <v>0</v>
      </c>
      <c r="E75">
        <f>IF('10_Analysis_Ready'!$A$58="",0,IF(OR(AND(((OR('10_Analysis_Ready'!$AG$58="YES",'10_Analysis_Ready'!$AH$58="YES"))*1+('10_Analysis_Ready'!$AI$58="YES")+('10_Analysis_Ready'!$AJ$58="YES")+('10_Analysis_Ready'!$AK$58="YES")+('10_Analysis_Ready'!$AL$58="YES"))=0,'10_Analysis_Ready'!$AF$58&lt;&gt;"NONE"),AND(((OR('10_Analysis_Ready'!$AG$58="YES",'10_Analysis_Ready'!$AH$58="YES"))*1+('10_Analysis_Ready'!$AI$58="YES")+('10_Analysis_Ready'!$AJ$58="YES")+('10_Analysis_Ready'!$AK$58="YES")+('10_Analysis_Ready'!$AL$58="YES"))=1,OR('10_Analysis_Ready'!$AF$58="NONE",'10_Analysis_Ready'!$AF$58="MULTIPLE")),AND(((OR('10_Analysis_Ready'!$AG$58="YES",'10_Analysis_Ready'!$AH$58="YES"))*1+('10_Analysis_Ready'!$AI$58="YES")+('10_Analysis_Ready'!$AJ$58="YES")+('10_Analysis_Ready'!$AK$58="YES")+('10_Analysis_Ready'!$AL$58="YES"))&gt;=2,'10_Analysis_Ready'!$AF$58&lt;&gt;"MULTIPLE")),1,0))</f>
        <v>0</v>
      </c>
      <c r="F75">
        <f>IF('10_Analysis_Ready'!$A$58="",0,IF(AND('10_Analysis_Ready'!$AO$58="NO",COUNTIF('10_Analysis_Ready'!$AP$58:$AU$58,"YES")&gt;0),1,0))</f>
        <v>0</v>
      </c>
      <c r="G75">
        <f>IF('10_Analysis_Ready'!$A$58="",0,IF(OR(AND('10_Analysis_Ready'!$Y$58="GAN",'10_Analysis_Ready'!$AA$58="YES"),AND('10_Analysis_Ready'!$Y$58="DIFFUSION",'10_Analysis_Ready'!$Z$58="YES"),AND('10_Analysis_Ready'!$Y$58="GAN+DIFFUSION",OR('10_Analysis_Ready'!$Z$58&lt;&gt;"YES",'10_Analysis_Ready'!$AA$58&lt;&gt;"YES"))),1,0))</f>
        <v>0</v>
      </c>
      <c r="H75">
        <f>IF('10_Analysis_Ready'!$A$58="",0,IF(OR(AND('10_Analysis_Ready'!$BJ$58="NO",OR('10_Analysis_Ready'!$BK$58="HIGH",'10_Analysis_Ready'!$BK$58="VERY HIGH")),AND(((OR('10_Analysis_Ready'!$AG$58="YES",'10_Analysis_Ready'!$AH$58="YES"))*1+('10_Analysis_Ready'!$AI$58="YES")+('10_Analysis_Ready'!$AJ$58="YES")+('10_Analysis_Ready'!$AK$58="YES")+('10_Analysis_Ready'!$AL$58="YES"))=0,'10_Analysis_Ready'!$BJ$58="YES")),1,0))</f>
        <v>0</v>
      </c>
      <c r="I75">
        <f>IF('10_Analysis_Ready'!$A$58="",0,IF(AND(((OR('10_Analysis_Ready'!$AG$58="YES",'10_Analysis_Ready'!$AH$58="YES"))*1+('10_Analysis_Ready'!$AI$58="YES")+('10_Analysis_Ready'!$AJ$58="YES")+('10_Analysis_Ready'!$AK$58="YES")+('10_Analysis_Ready'!$AL$58="YES"))=0,'10_Analysis_Ready'!$AM$58&lt;&gt;"N/A"),1,0))</f>
        <v>0</v>
      </c>
      <c r="J75">
        <f>IF('10_Analysis_Ready'!$A$58="",0,IF(('28_Taxonomy_Coding'!$G$58="NONE")&lt;&gt;(((OR('10_Analysis_Ready'!$AG$58="YES",'10_Analysis_Ready'!$AH$58="YES"))*1+('10_Analysis_Ready'!$AI$58="YES")+('10_Analysis_Ready'!$AJ$58="YES")+('10_Analysis_Ready'!$AK$58="YES")+('10_Analysis_Ready'!$AL$58="YES"))=0),1,0))</f>
        <v>0</v>
      </c>
    </row>
    <row r="76" spans="1:10">
      <c r="A76">
        <v>59</v>
      </c>
      <c r="B76" t="str">
        <f>IF('10_Analysis_Ready'!$A$59="","",'10_Analysis_Ready'!$A$59)</f>
        <v>R0085</v>
      </c>
      <c r="C76">
        <f>IF('10_Analysis_Ready'!$A$59="",0,IF(AND('28_Taxonomy_Coding'!$A$59='10_Analysis_Ready'!$A$59,'14_Generalization_Map'!$A$59='10_Analysis_Ready'!$A$59),0,1))</f>
        <v>0</v>
      </c>
      <c r="D76">
        <f>IF('10_Analysis_Ready'!$A$59="",0,IF(COUNTIFS('06_Full_Text_Screening'!$A:$A,'10_Analysis_Ready'!$A$59,'06_Full_Text_Screening'!$J:$J,"INCLUDE")=1,0,1))</f>
        <v>0</v>
      </c>
      <c r="E76">
        <f>IF('10_Analysis_Ready'!$A$59="",0,IF(OR(AND(((OR('10_Analysis_Ready'!$AG$59="YES",'10_Analysis_Ready'!$AH$59="YES"))*1+('10_Analysis_Ready'!$AI$59="YES")+('10_Analysis_Ready'!$AJ$59="YES")+('10_Analysis_Ready'!$AK$59="YES")+('10_Analysis_Ready'!$AL$59="YES"))=0,'10_Analysis_Ready'!$AF$59&lt;&gt;"NONE"),AND(((OR('10_Analysis_Ready'!$AG$59="YES",'10_Analysis_Ready'!$AH$59="YES"))*1+('10_Analysis_Ready'!$AI$59="YES")+('10_Analysis_Ready'!$AJ$59="YES")+('10_Analysis_Ready'!$AK$59="YES")+('10_Analysis_Ready'!$AL$59="YES"))=1,OR('10_Analysis_Ready'!$AF$59="NONE",'10_Analysis_Ready'!$AF$59="MULTIPLE")),AND(((OR('10_Analysis_Ready'!$AG$59="YES",'10_Analysis_Ready'!$AH$59="YES"))*1+('10_Analysis_Ready'!$AI$59="YES")+('10_Analysis_Ready'!$AJ$59="YES")+('10_Analysis_Ready'!$AK$59="YES")+('10_Analysis_Ready'!$AL$59="YES"))&gt;=2,'10_Analysis_Ready'!$AF$59&lt;&gt;"MULTIPLE")),1,0))</f>
        <v>0</v>
      </c>
      <c r="F76">
        <f>IF('10_Analysis_Ready'!$A$59="",0,IF(AND('10_Analysis_Ready'!$AO$59="NO",COUNTIF('10_Analysis_Ready'!$AP$59:$AU$59,"YES")&gt;0),1,0))</f>
        <v>0</v>
      </c>
      <c r="G76">
        <f>IF('10_Analysis_Ready'!$A$59="",0,IF(OR(AND('10_Analysis_Ready'!$Y$59="GAN",'10_Analysis_Ready'!$AA$59="YES"),AND('10_Analysis_Ready'!$Y$59="DIFFUSION",'10_Analysis_Ready'!$Z$59="YES"),AND('10_Analysis_Ready'!$Y$59="GAN+DIFFUSION",OR('10_Analysis_Ready'!$Z$59&lt;&gt;"YES",'10_Analysis_Ready'!$AA$59&lt;&gt;"YES"))),1,0))</f>
        <v>0</v>
      </c>
      <c r="H76">
        <f>IF('10_Analysis_Ready'!$A$59="",0,IF(OR(AND('10_Analysis_Ready'!$BJ$59="NO",OR('10_Analysis_Ready'!$BK$59="HIGH",'10_Analysis_Ready'!$BK$59="VERY HIGH")),AND(((OR('10_Analysis_Ready'!$AG$59="YES",'10_Analysis_Ready'!$AH$59="YES"))*1+('10_Analysis_Ready'!$AI$59="YES")+('10_Analysis_Ready'!$AJ$59="YES")+('10_Analysis_Ready'!$AK$59="YES")+('10_Analysis_Ready'!$AL$59="YES"))=0,'10_Analysis_Ready'!$BJ$59="YES")),1,0))</f>
        <v>0</v>
      </c>
      <c r="I76">
        <f>IF('10_Analysis_Ready'!$A$59="",0,IF(AND(((OR('10_Analysis_Ready'!$AG$59="YES",'10_Analysis_Ready'!$AH$59="YES"))*1+('10_Analysis_Ready'!$AI$59="YES")+('10_Analysis_Ready'!$AJ$59="YES")+('10_Analysis_Ready'!$AK$59="YES")+('10_Analysis_Ready'!$AL$59="YES"))=0,'10_Analysis_Ready'!$AM$59&lt;&gt;"N/A"),1,0))</f>
        <v>0</v>
      </c>
      <c r="J76">
        <f>IF('10_Analysis_Ready'!$A$59="",0,IF(('28_Taxonomy_Coding'!$G$59="NONE")&lt;&gt;(((OR('10_Analysis_Ready'!$AG$59="YES",'10_Analysis_Ready'!$AH$59="YES"))*1+('10_Analysis_Ready'!$AI$59="YES")+('10_Analysis_Ready'!$AJ$59="YES")+('10_Analysis_Ready'!$AK$59="YES")+('10_Analysis_Ready'!$AL$59="YES"))=0),1,0))</f>
        <v>0</v>
      </c>
    </row>
    <row r="77" spans="1:10">
      <c r="A77">
        <v>60</v>
      </c>
      <c r="B77" t="str">
        <f>IF('10_Analysis_Ready'!$A$60="","",'10_Analysis_Ready'!$A$60)</f>
        <v>R0086</v>
      </c>
      <c r="C77">
        <f>IF('10_Analysis_Ready'!$A$60="",0,IF(AND('28_Taxonomy_Coding'!$A$60='10_Analysis_Ready'!$A$60,'14_Generalization_Map'!$A$60='10_Analysis_Ready'!$A$60),0,1))</f>
        <v>0</v>
      </c>
      <c r="D77">
        <f>IF('10_Analysis_Ready'!$A$60="",0,IF(COUNTIFS('06_Full_Text_Screening'!$A:$A,'10_Analysis_Ready'!$A$60,'06_Full_Text_Screening'!$J:$J,"INCLUDE")=1,0,1))</f>
        <v>0</v>
      </c>
      <c r="E77">
        <f>IF('10_Analysis_Ready'!$A$60="",0,IF(OR(AND(((OR('10_Analysis_Ready'!$AG$60="YES",'10_Analysis_Ready'!$AH$60="YES"))*1+('10_Analysis_Ready'!$AI$60="YES")+('10_Analysis_Ready'!$AJ$60="YES")+('10_Analysis_Ready'!$AK$60="YES")+('10_Analysis_Ready'!$AL$60="YES"))=0,'10_Analysis_Ready'!$AF$60&lt;&gt;"NONE"),AND(((OR('10_Analysis_Ready'!$AG$60="YES",'10_Analysis_Ready'!$AH$60="YES"))*1+('10_Analysis_Ready'!$AI$60="YES")+('10_Analysis_Ready'!$AJ$60="YES")+('10_Analysis_Ready'!$AK$60="YES")+('10_Analysis_Ready'!$AL$60="YES"))=1,OR('10_Analysis_Ready'!$AF$60="NONE",'10_Analysis_Ready'!$AF$60="MULTIPLE")),AND(((OR('10_Analysis_Ready'!$AG$60="YES",'10_Analysis_Ready'!$AH$60="YES"))*1+('10_Analysis_Ready'!$AI$60="YES")+('10_Analysis_Ready'!$AJ$60="YES")+('10_Analysis_Ready'!$AK$60="YES")+('10_Analysis_Ready'!$AL$60="YES"))&gt;=2,'10_Analysis_Ready'!$AF$60&lt;&gt;"MULTIPLE")),1,0))</f>
        <v>0</v>
      </c>
      <c r="F77">
        <f>IF('10_Analysis_Ready'!$A$60="",0,IF(AND('10_Analysis_Ready'!$AO$60="NO",COUNTIF('10_Analysis_Ready'!$AP$60:$AU$60,"YES")&gt;0),1,0))</f>
        <v>0</v>
      </c>
      <c r="G77">
        <f>IF('10_Analysis_Ready'!$A$60="",0,IF(OR(AND('10_Analysis_Ready'!$Y$60="GAN",'10_Analysis_Ready'!$AA$60="YES"),AND('10_Analysis_Ready'!$Y$60="DIFFUSION",'10_Analysis_Ready'!$Z$60="YES"),AND('10_Analysis_Ready'!$Y$60="GAN+DIFFUSION",OR('10_Analysis_Ready'!$Z$60&lt;&gt;"YES",'10_Analysis_Ready'!$AA$60&lt;&gt;"YES"))),1,0))</f>
        <v>0</v>
      </c>
      <c r="H77">
        <f>IF('10_Analysis_Ready'!$A$60="",0,IF(OR(AND('10_Analysis_Ready'!$BJ$60="NO",OR('10_Analysis_Ready'!$BK$60="HIGH",'10_Analysis_Ready'!$BK$60="VERY HIGH")),AND(((OR('10_Analysis_Ready'!$AG$60="YES",'10_Analysis_Ready'!$AH$60="YES"))*1+('10_Analysis_Ready'!$AI$60="YES")+('10_Analysis_Ready'!$AJ$60="YES")+('10_Analysis_Ready'!$AK$60="YES")+('10_Analysis_Ready'!$AL$60="YES"))=0,'10_Analysis_Ready'!$BJ$60="YES")),1,0))</f>
        <v>0</v>
      </c>
      <c r="I77">
        <f>IF('10_Analysis_Ready'!$A$60="",0,IF(AND(((OR('10_Analysis_Ready'!$AG$60="YES",'10_Analysis_Ready'!$AH$60="YES"))*1+('10_Analysis_Ready'!$AI$60="YES")+('10_Analysis_Ready'!$AJ$60="YES")+('10_Analysis_Ready'!$AK$60="YES")+('10_Analysis_Ready'!$AL$60="YES"))=0,'10_Analysis_Ready'!$AM$60&lt;&gt;"N/A"),1,0))</f>
        <v>0</v>
      </c>
      <c r="J77">
        <f>IF('10_Analysis_Ready'!$A$60="",0,IF(('28_Taxonomy_Coding'!$G$60="NONE")&lt;&gt;(((OR('10_Analysis_Ready'!$AG$60="YES",'10_Analysis_Ready'!$AH$60="YES"))*1+('10_Analysis_Ready'!$AI$60="YES")+('10_Analysis_Ready'!$AJ$60="YES")+('10_Analysis_Ready'!$AK$60="YES")+('10_Analysis_Ready'!$AL$60="YES"))=0),1,0))</f>
        <v>0</v>
      </c>
    </row>
    <row r="78" spans="1:10">
      <c r="A78">
        <v>61</v>
      </c>
      <c r="B78" t="str">
        <f>IF('10_Analysis_Ready'!$A$61="","",'10_Analysis_Ready'!$A$61)</f>
        <v>R0089</v>
      </c>
      <c r="C78">
        <f>IF('10_Analysis_Ready'!$A$61="",0,IF(AND('28_Taxonomy_Coding'!$A$61='10_Analysis_Ready'!$A$61,'14_Generalization_Map'!$A$61='10_Analysis_Ready'!$A$61),0,1))</f>
        <v>0</v>
      </c>
      <c r="D78">
        <f>IF('10_Analysis_Ready'!$A$61="",0,IF(COUNTIFS('06_Full_Text_Screening'!$A:$A,'10_Analysis_Ready'!$A$61,'06_Full_Text_Screening'!$J:$J,"INCLUDE")=1,0,1))</f>
        <v>0</v>
      </c>
      <c r="E78">
        <f>IF('10_Analysis_Ready'!$A$61="",0,IF(OR(AND(((OR('10_Analysis_Ready'!$AG$61="YES",'10_Analysis_Ready'!$AH$61="YES"))*1+('10_Analysis_Ready'!$AI$61="YES")+('10_Analysis_Ready'!$AJ$61="YES")+('10_Analysis_Ready'!$AK$61="YES")+('10_Analysis_Ready'!$AL$61="YES"))=0,'10_Analysis_Ready'!$AF$61&lt;&gt;"NONE"),AND(((OR('10_Analysis_Ready'!$AG$61="YES",'10_Analysis_Ready'!$AH$61="YES"))*1+('10_Analysis_Ready'!$AI$61="YES")+('10_Analysis_Ready'!$AJ$61="YES")+('10_Analysis_Ready'!$AK$61="YES")+('10_Analysis_Ready'!$AL$61="YES"))=1,OR('10_Analysis_Ready'!$AF$61="NONE",'10_Analysis_Ready'!$AF$61="MULTIPLE")),AND(((OR('10_Analysis_Ready'!$AG$61="YES",'10_Analysis_Ready'!$AH$61="YES"))*1+('10_Analysis_Ready'!$AI$61="YES")+('10_Analysis_Ready'!$AJ$61="YES")+('10_Analysis_Ready'!$AK$61="YES")+('10_Analysis_Ready'!$AL$61="YES"))&gt;=2,'10_Analysis_Ready'!$AF$61&lt;&gt;"MULTIPLE")),1,0))</f>
        <v>0</v>
      </c>
      <c r="F78">
        <f>IF('10_Analysis_Ready'!$A$61="",0,IF(AND('10_Analysis_Ready'!$AO$61="NO",COUNTIF('10_Analysis_Ready'!$AP$61:$AU$61,"YES")&gt;0),1,0))</f>
        <v>0</v>
      </c>
      <c r="G78">
        <f>IF('10_Analysis_Ready'!$A$61="",0,IF(OR(AND('10_Analysis_Ready'!$Y$61="GAN",'10_Analysis_Ready'!$AA$61="YES"),AND('10_Analysis_Ready'!$Y$61="DIFFUSION",'10_Analysis_Ready'!$Z$61="YES"),AND('10_Analysis_Ready'!$Y$61="GAN+DIFFUSION",OR('10_Analysis_Ready'!$Z$61&lt;&gt;"YES",'10_Analysis_Ready'!$AA$61&lt;&gt;"YES"))),1,0))</f>
        <v>0</v>
      </c>
      <c r="H78">
        <f>IF('10_Analysis_Ready'!$A$61="",0,IF(OR(AND('10_Analysis_Ready'!$BJ$61="NO",OR('10_Analysis_Ready'!$BK$61="HIGH",'10_Analysis_Ready'!$BK$61="VERY HIGH")),AND(((OR('10_Analysis_Ready'!$AG$61="YES",'10_Analysis_Ready'!$AH$61="YES"))*1+('10_Analysis_Ready'!$AI$61="YES")+('10_Analysis_Ready'!$AJ$61="YES")+('10_Analysis_Ready'!$AK$61="YES")+('10_Analysis_Ready'!$AL$61="YES"))=0,'10_Analysis_Ready'!$BJ$61="YES")),1,0))</f>
        <v>0</v>
      </c>
      <c r="I78">
        <f>IF('10_Analysis_Ready'!$A$61="",0,IF(AND(((OR('10_Analysis_Ready'!$AG$61="YES",'10_Analysis_Ready'!$AH$61="YES"))*1+('10_Analysis_Ready'!$AI$61="YES")+('10_Analysis_Ready'!$AJ$61="YES")+('10_Analysis_Ready'!$AK$61="YES")+('10_Analysis_Ready'!$AL$61="YES"))=0,'10_Analysis_Ready'!$AM$61&lt;&gt;"N/A"),1,0))</f>
        <v>0</v>
      </c>
      <c r="J78">
        <f>IF('10_Analysis_Ready'!$A$61="",0,IF(('28_Taxonomy_Coding'!$G$61="NONE")&lt;&gt;(((OR('10_Analysis_Ready'!$AG$61="YES",'10_Analysis_Ready'!$AH$61="YES"))*1+('10_Analysis_Ready'!$AI$61="YES")+('10_Analysis_Ready'!$AJ$61="YES")+('10_Analysis_Ready'!$AK$61="YES")+('10_Analysis_Ready'!$AL$61="YES"))=0),1,0))</f>
        <v>0</v>
      </c>
    </row>
    <row r="79" spans="1:10">
      <c r="A79">
        <v>62</v>
      </c>
      <c r="B79" t="str">
        <f>IF('10_Analysis_Ready'!$A$62="","",'10_Analysis_Ready'!$A$62)</f>
        <v>R0090</v>
      </c>
      <c r="C79">
        <f>IF('10_Analysis_Ready'!$A$62="",0,IF(AND('28_Taxonomy_Coding'!$A$62='10_Analysis_Ready'!$A$62,'14_Generalization_Map'!$A$62='10_Analysis_Ready'!$A$62),0,1))</f>
        <v>0</v>
      </c>
      <c r="D79">
        <f>IF('10_Analysis_Ready'!$A$62="",0,IF(COUNTIFS('06_Full_Text_Screening'!$A:$A,'10_Analysis_Ready'!$A$62,'06_Full_Text_Screening'!$J:$J,"INCLUDE")=1,0,1))</f>
        <v>0</v>
      </c>
      <c r="E79">
        <f>IF('10_Analysis_Ready'!$A$62="",0,IF(OR(AND(((OR('10_Analysis_Ready'!$AG$62="YES",'10_Analysis_Ready'!$AH$62="YES"))*1+('10_Analysis_Ready'!$AI$62="YES")+('10_Analysis_Ready'!$AJ$62="YES")+('10_Analysis_Ready'!$AK$62="YES")+('10_Analysis_Ready'!$AL$62="YES"))=0,'10_Analysis_Ready'!$AF$62&lt;&gt;"NONE"),AND(((OR('10_Analysis_Ready'!$AG$62="YES",'10_Analysis_Ready'!$AH$62="YES"))*1+('10_Analysis_Ready'!$AI$62="YES")+('10_Analysis_Ready'!$AJ$62="YES")+('10_Analysis_Ready'!$AK$62="YES")+('10_Analysis_Ready'!$AL$62="YES"))=1,OR('10_Analysis_Ready'!$AF$62="NONE",'10_Analysis_Ready'!$AF$62="MULTIPLE")),AND(((OR('10_Analysis_Ready'!$AG$62="YES",'10_Analysis_Ready'!$AH$62="YES"))*1+('10_Analysis_Ready'!$AI$62="YES")+('10_Analysis_Ready'!$AJ$62="YES")+('10_Analysis_Ready'!$AK$62="YES")+('10_Analysis_Ready'!$AL$62="YES"))&gt;=2,'10_Analysis_Ready'!$AF$62&lt;&gt;"MULTIPLE")),1,0))</f>
        <v>0</v>
      </c>
      <c r="F79">
        <f>IF('10_Analysis_Ready'!$A$62="",0,IF(AND('10_Analysis_Ready'!$AO$62="NO",COUNTIF('10_Analysis_Ready'!$AP$62:$AU$62,"YES")&gt;0),1,0))</f>
        <v>0</v>
      </c>
      <c r="G79">
        <f>IF('10_Analysis_Ready'!$A$62="",0,IF(OR(AND('10_Analysis_Ready'!$Y$62="GAN",'10_Analysis_Ready'!$AA$62="YES"),AND('10_Analysis_Ready'!$Y$62="DIFFUSION",'10_Analysis_Ready'!$Z$62="YES"),AND('10_Analysis_Ready'!$Y$62="GAN+DIFFUSION",OR('10_Analysis_Ready'!$Z$62&lt;&gt;"YES",'10_Analysis_Ready'!$AA$62&lt;&gt;"YES"))),1,0))</f>
        <v>0</v>
      </c>
      <c r="H79">
        <f>IF('10_Analysis_Ready'!$A$62="",0,IF(OR(AND('10_Analysis_Ready'!$BJ$62="NO",OR('10_Analysis_Ready'!$BK$62="HIGH",'10_Analysis_Ready'!$BK$62="VERY HIGH")),AND(((OR('10_Analysis_Ready'!$AG$62="YES",'10_Analysis_Ready'!$AH$62="YES"))*1+('10_Analysis_Ready'!$AI$62="YES")+('10_Analysis_Ready'!$AJ$62="YES")+('10_Analysis_Ready'!$AK$62="YES")+('10_Analysis_Ready'!$AL$62="YES"))=0,'10_Analysis_Ready'!$BJ$62="YES")),1,0))</f>
        <v>0</v>
      </c>
      <c r="I79">
        <f>IF('10_Analysis_Ready'!$A$62="",0,IF(AND(((OR('10_Analysis_Ready'!$AG$62="YES",'10_Analysis_Ready'!$AH$62="YES"))*1+('10_Analysis_Ready'!$AI$62="YES")+('10_Analysis_Ready'!$AJ$62="YES")+('10_Analysis_Ready'!$AK$62="YES")+('10_Analysis_Ready'!$AL$62="YES"))=0,'10_Analysis_Ready'!$AM$62&lt;&gt;"N/A"),1,0))</f>
        <v>0</v>
      </c>
      <c r="J79">
        <f>IF('10_Analysis_Ready'!$A$62="",0,IF(('28_Taxonomy_Coding'!$G$62="NONE")&lt;&gt;(((OR('10_Analysis_Ready'!$AG$62="YES",'10_Analysis_Ready'!$AH$62="YES"))*1+('10_Analysis_Ready'!$AI$62="YES")+('10_Analysis_Ready'!$AJ$62="YES")+('10_Analysis_Ready'!$AK$62="YES")+('10_Analysis_Ready'!$AL$62="YES"))=0),1,0))</f>
        <v>0</v>
      </c>
    </row>
    <row r="80" spans="1:10">
      <c r="A80">
        <v>63</v>
      </c>
      <c r="B80" t="str">
        <f>IF('10_Analysis_Ready'!$A$63="","",'10_Analysis_Ready'!$A$63)</f>
        <v>R0091</v>
      </c>
      <c r="C80">
        <f>IF('10_Analysis_Ready'!$A$63="",0,IF(AND('28_Taxonomy_Coding'!$A$63='10_Analysis_Ready'!$A$63,'14_Generalization_Map'!$A$63='10_Analysis_Ready'!$A$63),0,1))</f>
        <v>0</v>
      </c>
      <c r="D80">
        <f>IF('10_Analysis_Ready'!$A$63="",0,IF(COUNTIFS('06_Full_Text_Screening'!$A:$A,'10_Analysis_Ready'!$A$63,'06_Full_Text_Screening'!$J:$J,"INCLUDE")=1,0,1))</f>
        <v>0</v>
      </c>
      <c r="E80">
        <f>IF('10_Analysis_Ready'!$A$63="",0,IF(OR(AND(((OR('10_Analysis_Ready'!$AG$63="YES",'10_Analysis_Ready'!$AH$63="YES"))*1+('10_Analysis_Ready'!$AI$63="YES")+('10_Analysis_Ready'!$AJ$63="YES")+('10_Analysis_Ready'!$AK$63="YES")+('10_Analysis_Ready'!$AL$63="YES"))=0,'10_Analysis_Ready'!$AF$63&lt;&gt;"NONE"),AND(((OR('10_Analysis_Ready'!$AG$63="YES",'10_Analysis_Ready'!$AH$63="YES"))*1+('10_Analysis_Ready'!$AI$63="YES")+('10_Analysis_Ready'!$AJ$63="YES")+('10_Analysis_Ready'!$AK$63="YES")+('10_Analysis_Ready'!$AL$63="YES"))=1,OR('10_Analysis_Ready'!$AF$63="NONE",'10_Analysis_Ready'!$AF$63="MULTIPLE")),AND(((OR('10_Analysis_Ready'!$AG$63="YES",'10_Analysis_Ready'!$AH$63="YES"))*1+('10_Analysis_Ready'!$AI$63="YES")+('10_Analysis_Ready'!$AJ$63="YES")+('10_Analysis_Ready'!$AK$63="YES")+('10_Analysis_Ready'!$AL$63="YES"))&gt;=2,'10_Analysis_Ready'!$AF$63&lt;&gt;"MULTIPLE")),1,0))</f>
        <v>0</v>
      </c>
      <c r="F80">
        <f>IF('10_Analysis_Ready'!$A$63="",0,IF(AND('10_Analysis_Ready'!$AO$63="NO",COUNTIF('10_Analysis_Ready'!$AP$63:$AU$63,"YES")&gt;0),1,0))</f>
        <v>0</v>
      </c>
      <c r="G80">
        <f>IF('10_Analysis_Ready'!$A$63="",0,IF(OR(AND('10_Analysis_Ready'!$Y$63="GAN",'10_Analysis_Ready'!$AA$63="YES"),AND('10_Analysis_Ready'!$Y$63="DIFFUSION",'10_Analysis_Ready'!$Z$63="YES"),AND('10_Analysis_Ready'!$Y$63="GAN+DIFFUSION",OR('10_Analysis_Ready'!$Z$63&lt;&gt;"YES",'10_Analysis_Ready'!$AA$63&lt;&gt;"YES"))),1,0))</f>
        <v>0</v>
      </c>
      <c r="H80">
        <f>IF('10_Analysis_Ready'!$A$63="",0,IF(OR(AND('10_Analysis_Ready'!$BJ$63="NO",OR('10_Analysis_Ready'!$BK$63="HIGH",'10_Analysis_Ready'!$BK$63="VERY HIGH")),AND(((OR('10_Analysis_Ready'!$AG$63="YES",'10_Analysis_Ready'!$AH$63="YES"))*1+('10_Analysis_Ready'!$AI$63="YES")+('10_Analysis_Ready'!$AJ$63="YES")+('10_Analysis_Ready'!$AK$63="YES")+('10_Analysis_Ready'!$AL$63="YES"))=0,'10_Analysis_Ready'!$BJ$63="YES")),1,0))</f>
        <v>0</v>
      </c>
      <c r="I80">
        <f>IF('10_Analysis_Ready'!$A$63="",0,IF(AND(((OR('10_Analysis_Ready'!$AG$63="YES",'10_Analysis_Ready'!$AH$63="YES"))*1+('10_Analysis_Ready'!$AI$63="YES")+('10_Analysis_Ready'!$AJ$63="YES")+('10_Analysis_Ready'!$AK$63="YES")+('10_Analysis_Ready'!$AL$63="YES"))=0,'10_Analysis_Ready'!$AM$63&lt;&gt;"N/A"),1,0))</f>
        <v>0</v>
      </c>
      <c r="J80">
        <f>IF('10_Analysis_Ready'!$A$63="",0,IF(('28_Taxonomy_Coding'!$G$63="NONE")&lt;&gt;(((OR('10_Analysis_Ready'!$AG$63="YES",'10_Analysis_Ready'!$AH$63="YES"))*1+('10_Analysis_Ready'!$AI$63="YES")+('10_Analysis_Ready'!$AJ$63="YES")+('10_Analysis_Ready'!$AK$63="YES")+('10_Analysis_Ready'!$AL$63="YES"))=0),1,0))</f>
        <v>0</v>
      </c>
    </row>
    <row r="81" spans="1:10">
      <c r="A81">
        <v>64</v>
      </c>
      <c r="B81" t="str">
        <f>IF('10_Analysis_Ready'!$A$64="","",'10_Analysis_Ready'!$A$64)</f>
        <v>R0095</v>
      </c>
      <c r="C81">
        <f>IF('10_Analysis_Ready'!$A$64="",0,IF(AND('28_Taxonomy_Coding'!$A$64='10_Analysis_Ready'!$A$64,'14_Generalization_Map'!$A$64='10_Analysis_Ready'!$A$64),0,1))</f>
        <v>0</v>
      </c>
      <c r="D81">
        <f>IF('10_Analysis_Ready'!$A$64="",0,IF(COUNTIFS('06_Full_Text_Screening'!$A:$A,'10_Analysis_Ready'!$A$64,'06_Full_Text_Screening'!$J:$J,"INCLUDE")=1,0,1))</f>
        <v>0</v>
      </c>
      <c r="E81">
        <f>IF('10_Analysis_Ready'!$A$64="",0,IF(OR(AND(((OR('10_Analysis_Ready'!$AG$64="YES",'10_Analysis_Ready'!$AH$64="YES"))*1+('10_Analysis_Ready'!$AI$64="YES")+('10_Analysis_Ready'!$AJ$64="YES")+('10_Analysis_Ready'!$AK$64="YES")+('10_Analysis_Ready'!$AL$64="YES"))=0,'10_Analysis_Ready'!$AF$64&lt;&gt;"NONE"),AND(((OR('10_Analysis_Ready'!$AG$64="YES",'10_Analysis_Ready'!$AH$64="YES"))*1+('10_Analysis_Ready'!$AI$64="YES")+('10_Analysis_Ready'!$AJ$64="YES")+('10_Analysis_Ready'!$AK$64="YES")+('10_Analysis_Ready'!$AL$64="YES"))=1,OR('10_Analysis_Ready'!$AF$64="NONE",'10_Analysis_Ready'!$AF$64="MULTIPLE")),AND(((OR('10_Analysis_Ready'!$AG$64="YES",'10_Analysis_Ready'!$AH$64="YES"))*1+('10_Analysis_Ready'!$AI$64="YES")+('10_Analysis_Ready'!$AJ$64="YES")+('10_Analysis_Ready'!$AK$64="YES")+('10_Analysis_Ready'!$AL$64="YES"))&gt;=2,'10_Analysis_Ready'!$AF$64&lt;&gt;"MULTIPLE")),1,0))</f>
        <v>0</v>
      </c>
      <c r="F81">
        <f>IF('10_Analysis_Ready'!$A$64="",0,IF(AND('10_Analysis_Ready'!$AO$64="NO",COUNTIF('10_Analysis_Ready'!$AP$64:$AU$64,"YES")&gt;0),1,0))</f>
        <v>0</v>
      </c>
      <c r="G81">
        <f>IF('10_Analysis_Ready'!$A$64="",0,IF(OR(AND('10_Analysis_Ready'!$Y$64="GAN",'10_Analysis_Ready'!$AA$64="YES"),AND('10_Analysis_Ready'!$Y$64="DIFFUSION",'10_Analysis_Ready'!$Z$64="YES"),AND('10_Analysis_Ready'!$Y$64="GAN+DIFFUSION",OR('10_Analysis_Ready'!$Z$64&lt;&gt;"YES",'10_Analysis_Ready'!$AA$64&lt;&gt;"YES"))),1,0))</f>
        <v>0</v>
      </c>
      <c r="H81">
        <f>IF('10_Analysis_Ready'!$A$64="",0,IF(OR(AND('10_Analysis_Ready'!$BJ$64="NO",OR('10_Analysis_Ready'!$BK$64="HIGH",'10_Analysis_Ready'!$BK$64="VERY HIGH")),AND(((OR('10_Analysis_Ready'!$AG$64="YES",'10_Analysis_Ready'!$AH$64="YES"))*1+('10_Analysis_Ready'!$AI$64="YES")+('10_Analysis_Ready'!$AJ$64="YES")+('10_Analysis_Ready'!$AK$64="YES")+('10_Analysis_Ready'!$AL$64="YES"))=0,'10_Analysis_Ready'!$BJ$64="YES")),1,0))</f>
        <v>0</v>
      </c>
      <c r="I81">
        <f>IF('10_Analysis_Ready'!$A$64="",0,IF(AND(((OR('10_Analysis_Ready'!$AG$64="YES",'10_Analysis_Ready'!$AH$64="YES"))*1+('10_Analysis_Ready'!$AI$64="YES")+('10_Analysis_Ready'!$AJ$64="YES")+('10_Analysis_Ready'!$AK$64="YES")+('10_Analysis_Ready'!$AL$64="YES"))=0,'10_Analysis_Ready'!$AM$64&lt;&gt;"N/A"),1,0))</f>
        <v>0</v>
      </c>
      <c r="J81">
        <f>IF('10_Analysis_Ready'!$A$64="",0,IF(('28_Taxonomy_Coding'!$G$64="NONE")&lt;&gt;(((OR('10_Analysis_Ready'!$AG$64="YES",'10_Analysis_Ready'!$AH$64="YES"))*1+('10_Analysis_Ready'!$AI$64="YES")+('10_Analysis_Ready'!$AJ$64="YES")+('10_Analysis_Ready'!$AK$64="YES")+('10_Analysis_Ready'!$AL$64="YES"))=0),1,0))</f>
        <v>0</v>
      </c>
    </row>
    <row r="82" spans="1:10">
      <c r="A82">
        <v>65</v>
      </c>
      <c r="B82" t="str">
        <f>IF('10_Analysis_Ready'!$A$65="","",'10_Analysis_Ready'!$A$65)</f>
        <v>R0096</v>
      </c>
      <c r="C82">
        <f>IF('10_Analysis_Ready'!$A$65="",0,IF(AND('28_Taxonomy_Coding'!$A$65='10_Analysis_Ready'!$A$65,'14_Generalization_Map'!$A$65='10_Analysis_Ready'!$A$65),0,1))</f>
        <v>0</v>
      </c>
      <c r="D82">
        <f>IF('10_Analysis_Ready'!$A$65="",0,IF(COUNTIFS('06_Full_Text_Screening'!$A:$A,'10_Analysis_Ready'!$A$65,'06_Full_Text_Screening'!$J:$J,"INCLUDE")=1,0,1))</f>
        <v>0</v>
      </c>
      <c r="E82">
        <f>IF('10_Analysis_Ready'!$A$65="",0,IF(OR(AND(((OR('10_Analysis_Ready'!$AG$65="YES",'10_Analysis_Ready'!$AH$65="YES"))*1+('10_Analysis_Ready'!$AI$65="YES")+('10_Analysis_Ready'!$AJ$65="YES")+('10_Analysis_Ready'!$AK$65="YES")+('10_Analysis_Ready'!$AL$65="YES"))=0,'10_Analysis_Ready'!$AF$65&lt;&gt;"NONE"),AND(((OR('10_Analysis_Ready'!$AG$65="YES",'10_Analysis_Ready'!$AH$65="YES"))*1+('10_Analysis_Ready'!$AI$65="YES")+('10_Analysis_Ready'!$AJ$65="YES")+('10_Analysis_Ready'!$AK$65="YES")+('10_Analysis_Ready'!$AL$65="YES"))=1,OR('10_Analysis_Ready'!$AF$65="NONE",'10_Analysis_Ready'!$AF$65="MULTIPLE")),AND(((OR('10_Analysis_Ready'!$AG$65="YES",'10_Analysis_Ready'!$AH$65="YES"))*1+('10_Analysis_Ready'!$AI$65="YES")+('10_Analysis_Ready'!$AJ$65="YES")+('10_Analysis_Ready'!$AK$65="YES")+('10_Analysis_Ready'!$AL$65="YES"))&gt;=2,'10_Analysis_Ready'!$AF$65&lt;&gt;"MULTIPLE")),1,0))</f>
        <v>0</v>
      </c>
      <c r="F82">
        <f>IF('10_Analysis_Ready'!$A$65="",0,IF(AND('10_Analysis_Ready'!$AO$65="NO",COUNTIF('10_Analysis_Ready'!$AP$65:$AU$65,"YES")&gt;0),1,0))</f>
        <v>0</v>
      </c>
      <c r="G82">
        <f>IF('10_Analysis_Ready'!$A$65="",0,IF(OR(AND('10_Analysis_Ready'!$Y$65="GAN",'10_Analysis_Ready'!$AA$65="YES"),AND('10_Analysis_Ready'!$Y$65="DIFFUSION",'10_Analysis_Ready'!$Z$65="YES"),AND('10_Analysis_Ready'!$Y$65="GAN+DIFFUSION",OR('10_Analysis_Ready'!$Z$65&lt;&gt;"YES",'10_Analysis_Ready'!$AA$65&lt;&gt;"YES"))),1,0))</f>
        <v>0</v>
      </c>
      <c r="H82">
        <f>IF('10_Analysis_Ready'!$A$65="",0,IF(OR(AND('10_Analysis_Ready'!$BJ$65="NO",OR('10_Analysis_Ready'!$BK$65="HIGH",'10_Analysis_Ready'!$BK$65="VERY HIGH")),AND(((OR('10_Analysis_Ready'!$AG$65="YES",'10_Analysis_Ready'!$AH$65="YES"))*1+('10_Analysis_Ready'!$AI$65="YES")+('10_Analysis_Ready'!$AJ$65="YES")+('10_Analysis_Ready'!$AK$65="YES")+('10_Analysis_Ready'!$AL$65="YES"))=0,'10_Analysis_Ready'!$BJ$65="YES")),1,0))</f>
        <v>0</v>
      </c>
      <c r="I82">
        <f>IF('10_Analysis_Ready'!$A$65="",0,IF(AND(((OR('10_Analysis_Ready'!$AG$65="YES",'10_Analysis_Ready'!$AH$65="YES"))*1+('10_Analysis_Ready'!$AI$65="YES")+('10_Analysis_Ready'!$AJ$65="YES")+('10_Analysis_Ready'!$AK$65="YES")+('10_Analysis_Ready'!$AL$65="YES"))=0,'10_Analysis_Ready'!$AM$65&lt;&gt;"N/A"),1,0))</f>
        <v>0</v>
      </c>
      <c r="J82">
        <f>IF('10_Analysis_Ready'!$A$65="",0,IF(('28_Taxonomy_Coding'!$G$65="NONE")&lt;&gt;(((OR('10_Analysis_Ready'!$AG$65="YES",'10_Analysis_Ready'!$AH$65="YES"))*1+('10_Analysis_Ready'!$AI$65="YES")+('10_Analysis_Ready'!$AJ$65="YES")+('10_Analysis_Ready'!$AK$65="YES")+('10_Analysis_Ready'!$AL$65="YES"))=0),1,0))</f>
        <v>0</v>
      </c>
    </row>
    <row r="83" spans="1:10">
      <c r="A83">
        <v>66</v>
      </c>
      <c r="B83" t="str">
        <f>IF('10_Analysis_Ready'!$A$66="","",'10_Analysis_Ready'!$A$66)</f>
        <v>R0097</v>
      </c>
      <c r="C83">
        <f>IF('10_Analysis_Ready'!$A$66="",0,IF(AND('28_Taxonomy_Coding'!$A$66='10_Analysis_Ready'!$A$66,'14_Generalization_Map'!$A$66='10_Analysis_Ready'!$A$66),0,1))</f>
        <v>0</v>
      </c>
      <c r="D83">
        <f>IF('10_Analysis_Ready'!$A$66="",0,IF(COUNTIFS('06_Full_Text_Screening'!$A:$A,'10_Analysis_Ready'!$A$66,'06_Full_Text_Screening'!$J:$J,"INCLUDE")=1,0,1))</f>
        <v>0</v>
      </c>
      <c r="E83">
        <f>IF('10_Analysis_Ready'!$A$66="",0,IF(OR(AND(((OR('10_Analysis_Ready'!$AG$66="YES",'10_Analysis_Ready'!$AH$66="YES"))*1+('10_Analysis_Ready'!$AI$66="YES")+('10_Analysis_Ready'!$AJ$66="YES")+('10_Analysis_Ready'!$AK$66="YES")+('10_Analysis_Ready'!$AL$66="YES"))=0,'10_Analysis_Ready'!$AF$66&lt;&gt;"NONE"),AND(((OR('10_Analysis_Ready'!$AG$66="YES",'10_Analysis_Ready'!$AH$66="YES"))*1+('10_Analysis_Ready'!$AI$66="YES")+('10_Analysis_Ready'!$AJ$66="YES")+('10_Analysis_Ready'!$AK$66="YES")+('10_Analysis_Ready'!$AL$66="YES"))=1,OR('10_Analysis_Ready'!$AF$66="NONE",'10_Analysis_Ready'!$AF$66="MULTIPLE")),AND(((OR('10_Analysis_Ready'!$AG$66="YES",'10_Analysis_Ready'!$AH$66="YES"))*1+('10_Analysis_Ready'!$AI$66="YES")+('10_Analysis_Ready'!$AJ$66="YES")+('10_Analysis_Ready'!$AK$66="YES")+('10_Analysis_Ready'!$AL$66="YES"))&gt;=2,'10_Analysis_Ready'!$AF$66&lt;&gt;"MULTIPLE")),1,0))</f>
        <v>0</v>
      </c>
      <c r="F83">
        <f>IF('10_Analysis_Ready'!$A$66="",0,IF(AND('10_Analysis_Ready'!$AO$66="NO",COUNTIF('10_Analysis_Ready'!$AP$66:$AU$66,"YES")&gt;0),1,0))</f>
        <v>0</v>
      </c>
      <c r="G83">
        <f>IF('10_Analysis_Ready'!$A$66="",0,IF(OR(AND('10_Analysis_Ready'!$Y$66="GAN",'10_Analysis_Ready'!$AA$66="YES"),AND('10_Analysis_Ready'!$Y$66="DIFFUSION",'10_Analysis_Ready'!$Z$66="YES"),AND('10_Analysis_Ready'!$Y$66="GAN+DIFFUSION",OR('10_Analysis_Ready'!$Z$66&lt;&gt;"YES",'10_Analysis_Ready'!$AA$66&lt;&gt;"YES"))),1,0))</f>
        <v>0</v>
      </c>
      <c r="H83">
        <f>IF('10_Analysis_Ready'!$A$66="",0,IF(OR(AND('10_Analysis_Ready'!$BJ$66="NO",OR('10_Analysis_Ready'!$BK$66="HIGH",'10_Analysis_Ready'!$BK$66="VERY HIGH")),AND(((OR('10_Analysis_Ready'!$AG$66="YES",'10_Analysis_Ready'!$AH$66="YES"))*1+('10_Analysis_Ready'!$AI$66="YES")+('10_Analysis_Ready'!$AJ$66="YES")+('10_Analysis_Ready'!$AK$66="YES")+('10_Analysis_Ready'!$AL$66="YES"))=0,'10_Analysis_Ready'!$BJ$66="YES")),1,0))</f>
        <v>0</v>
      </c>
      <c r="I83">
        <f>IF('10_Analysis_Ready'!$A$66="",0,IF(AND(((OR('10_Analysis_Ready'!$AG$66="YES",'10_Analysis_Ready'!$AH$66="YES"))*1+('10_Analysis_Ready'!$AI$66="YES")+('10_Analysis_Ready'!$AJ$66="YES")+('10_Analysis_Ready'!$AK$66="YES")+('10_Analysis_Ready'!$AL$66="YES"))=0,'10_Analysis_Ready'!$AM$66&lt;&gt;"N/A"),1,0))</f>
        <v>0</v>
      </c>
      <c r="J83">
        <f>IF('10_Analysis_Ready'!$A$66="",0,IF(('28_Taxonomy_Coding'!$G$66="NONE")&lt;&gt;(((OR('10_Analysis_Ready'!$AG$66="YES",'10_Analysis_Ready'!$AH$66="YES"))*1+('10_Analysis_Ready'!$AI$66="YES")+('10_Analysis_Ready'!$AJ$66="YES")+('10_Analysis_Ready'!$AK$66="YES")+('10_Analysis_Ready'!$AL$66="YES"))=0),1,0))</f>
        <v>0</v>
      </c>
    </row>
    <row r="84" spans="1:10">
      <c r="A84">
        <v>67</v>
      </c>
      <c r="B84" t="str">
        <f>IF('10_Analysis_Ready'!$A$67="","",'10_Analysis_Ready'!$A$67)</f>
        <v>R0098</v>
      </c>
      <c r="C84">
        <f>IF('10_Analysis_Ready'!$A$67="",0,IF(AND('28_Taxonomy_Coding'!$A$67='10_Analysis_Ready'!$A$67,'14_Generalization_Map'!$A$67='10_Analysis_Ready'!$A$67),0,1))</f>
        <v>0</v>
      </c>
      <c r="D84">
        <f>IF('10_Analysis_Ready'!$A$67="",0,IF(COUNTIFS('06_Full_Text_Screening'!$A:$A,'10_Analysis_Ready'!$A$67,'06_Full_Text_Screening'!$J:$J,"INCLUDE")=1,0,1))</f>
        <v>0</v>
      </c>
      <c r="E84">
        <f>IF('10_Analysis_Ready'!$A$67="",0,IF(OR(AND(((OR('10_Analysis_Ready'!$AG$67="YES",'10_Analysis_Ready'!$AH$67="YES"))*1+('10_Analysis_Ready'!$AI$67="YES")+('10_Analysis_Ready'!$AJ$67="YES")+('10_Analysis_Ready'!$AK$67="YES")+('10_Analysis_Ready'!$AL$67="YES"))=0,'10_Analysis_Ready'!$AF$67&lt;&gt;"NONE"),AND(((OR('10_Analysis_Ready'!$AG$67="YES",'10_Analysis_Ready'!$AH$67="YES"))*1+('10_Analysis_Ready'!$AI$67="YES")+('10_Analysis_Ready'!$AJ$67="YES")+('10_Analysis_Ready'!$AK$67="YES")+('10_Analysis_Ready'!$AL$67="YES"))=1,OR('10_Analysis_Ready'!$AF$67="NONE",'10_Analysis_Ready'!$AF$67="MULTIPLE")),AND(((OR('10_Analysis_Ready'!$AG$67="YES",'10_Analysis_Ready'!$AH$67="YES"))*1+('10_Analysis_Ready'!$AI$67="YES")+('10_Analysis_Ready'!$AJ$67="YES")+('10_Analysis_Ready'!$AK$67="YES")+('10_Analysis_Ready'!$AL$67="YES"))&gt;=2,'10_Analysis_Ready'!$AF$67&lt;&gt;"MULTIPLE")),1,0))</f>
        <v>0</v>
      </c>
      <c r="F84">
        <f>IF('10_Analysis_Ready'!$A$67="",0,IF(AND('10_Analysis_Ready'!$AO$67="NO",COUNTIF('10_Analysis_Ready'!$AP$67:$AU$67,"YES")&gt;0),1,0))</f>
        <v>0</v>
      </c>
      <c r="G84">
        <f>IF('10_Analysis_Ready'!$A$67="",0,IF(OR(AND('10_Analysis_Ready'!$Y$67="GAN",'10_Analysis_Ready'!$AA$67="YES"),AND('10_Analysis_Ready'!$Y$67="DIFFUSION",'10_Analysis_Ready'!$Z$67="YES"),AND('10_Analysis_Ready'!$Y$67="GAN+DIFFUSION",OR('10_Analysis_Ready'!$Z$67&lt;&gt;"YES",'10_Analysis_Ready'!$AA$67&lt;&gt;"YES"))),1,0))</f>
        <v>0</v>
      </c>
      <c r="H84">
        <f>IF('10_Analysis_Ready'!$A$67="",0,IF(OR(AND('10_Analysis_Ready'!$BJ$67="NO",OR('10_Analysis_Ready'!$BK$67="HIGH",'10_Analysis_Ready'!$BK$67="VERY HIGH")),AND(((OR('10_Analysis_Ready'!$AG$67="YES",'10_Analysis_Ready'!$AH$67="YES"))*1+('10_Analysis_Ready'!$AI$67="YES")+('10_Analysis_Ready'!$AJ$67="YES")+('10_Analysis_Ready'!$AK$67="YES")+('10_Analysis_Ready'!$AL$67="YES"))=0,'10_Analysis_Ready'!$BJ$67="YES")),1,0))</f>
        <v>0</v>
      </c>
      <c r="I84">
        <f>IF('10_Analysis_Ready'!$A$67="",0,IF(AND(((OR('10_Analysis_Ready'!$AG$67="YES",'10_Analysis_Ready'!$AH$67="YES"))*1+('10_Analysis_Ready'!$AI$67="YES")+('10_Analysis_Ready'!$AJ$67="YES")+('10_Analysis_Ready'!$AK$67="YES")+('10_Analysis_Ready'!$AL$67="YES"))=0,'10_Analysis_Ready'!$AM$67&lt;&gt;"N/A"),1,0))</f>
        <v>0</v>
      </c>
      <c r="J84">
        <f>IF('10_Analysis_Ready'!$A$67="",0,IF(('28_Taxonomy_Coding'!$G$67="NONE")&lt;&gt;(((OR('10_Analysis_Ready'!$AG$67="YES",'10_Analysis_Ready'!$AH$67="YES"))*1+('10_Analysis_Ready'!$AI$67="YES")+('10_Analysis_Ready'!$AJ$67="YES")+('10_Analysis_Ready'!$AK$67="YES")+('10_Analysis_Ready'!$AL$67="YES"))=0),1,0))</f>
        <v>0</v>
      </c>
    </row>
    <row r="85" spans="1:10">
      <c r="A85">
        <v>68</v>
      </c>
      <c r="B85" t="str">
        <f>IF('10_Analysis_Ready'!$A$68="","",'10_Analysis_Ready'!$A$68)</f>
        <v>R0099</v>
      </c>
      <c r="C85">
        <f>IF('10_Analysis_Ready'!$A$68="",0,IF(AND('28_Taxonomy_Coding'!$A$68='10_Analysis_Ready'!$A$68,'14_Generalization_Map'!$A$68='10_Analysis_Ready'!$A$68),0,1))</f>
        <v>0</v>
      </c>
      <c r="D85">
        <f>IF('10_Analysis_Ready'!$A$68="",0,IF(COUNTIFS('06_Full_Text_Screening'!$A:$A,'10_Analysis_Ready'!$A$68,'06_Full_Text_Screening'!$J:$J,"INCLUDE")=1,0,1))</f>
        <v>0</v>
      </c>
      <c r="E85">
        <f>IF('10_Analysis_Ready'!$A$68="",0,IF(OR(AND(((OR('10_Analysis_Ready'!$AG$68="YES",'10_Analysis_Ready'!$AH$68="YES"))*1+('10_Analysis_Ready'!$AI$68="YES")+('10_Analysis_Ready'!$AJ$68="YES")+('10_Analysis_Ready'!$AK$68="YES")+('10_Analysis_Ready'!$AL$68="YES"))=0,'10_Analysis_Ready'!$AF$68&lt;&gt;"NONE"),AND(((OR('10_Analysis_Ready'!$AG$68="YES",'10_Analysis_Ready'!$AH$68="YES"))*1+('10_Analysis_Ready'!$AI$68="YES")+('10_Analysis_Ready'!$AJ$68="YES")+('10_Analysis_Ready'!$AK$68="YES")+('10_Analysis_Ready'!$AL$68="YES"))=1,OR('10_Analysis_Ready'!$AF$68="NONE",'10_Analysis_Ready'!$AF$68="MULTIPLE")),AND(((OR('10_Analysis_Ready'!$AG$68="YES",'10_Analysis_Ready'!$AH$68="YES"))*1+('10_Analysis_Ready'!$AI$68="YES")+('10_Analysis_Ready'!$AJ$68="YES")+('10_Analysis_Ready'!$AK$68="YES")+('10_Analysis_Ready'!$AL$68="YES"))&gt;=2,'10_Analysis_Ready'!$AF$68&lt;&gt;"MULTIPLE")),1,0))</f>
        <v>0</v>
      </c>
      <c r="F85">
        <f>IF('10_Analysis_Ready'!$A$68="",0,IF(AND('10_Analysis_Ready'!$AO$68="NO",COUNTIF('10_Analysis_Ready'!$AP$68:$AU$68,"YES")&gt;0),1,0))</f>
        <v>0</v>
      </c>
      <c r="G85">
        <f>IF('10_Analysis_Ready'!$A$68="",0,IF(OR(AND('10_Analysis_Ready'!$Y$68="GAN",'10_Analysis_Ready'!$AA$68="YES"),AND('10_Analysis_Ready'!$Y$68="DIFFUSION",'10_Analysis_Ready'!$Z$68="YES"),AND('10_Analysis_Ready'!$Y$68="GAN+DIFFUSION",OR('10_Analysis_Ready'!$Z$68&lt;&gt;"YES",'10_Analysis_Ready'!$AA$68&lt;&gt;"YES"))),1,0))</f>
        <v>0</v>
      </c>
      <c r="H85">
        <f>IF('10_Analysis_Ready'!$A$68="",0,IF(OR(AND('10_Analysis_Ready'!$BJ$68="NO",OR('10_Analysis_Ready'!$BK$68="HIGH",'10_Analysis_Ready'!$BK$68="VERY HIGH")),AND(((OR('10_Analysis_Ready'!$AG$68="YES",'10_Analysis_Ready'!$AH$68="YES"))*1+('10_Analysis_Ready'!$AI$68="YES")+('10_Analysis_Ready'!$AJ$68="YES")+('10_Analysis_Ready'!$AK$68="YES")+('10_Analysis_Ready'!$AL$68="YES"))=0,'10_Analysis_Ready'!$BJ$68="YES")),1,0))</f>
        <v>0</v>
      </c>
      <c r="I85">
        <f>IF('10_Analysis_Ready'!$A$68="",0,IF(AND(((OR('10_Analysis_Ready'!$AG$68="YES",'10_Analysis_Ready'!$AH$68="YES"))*1+('10_Analysis_Ready'!$AI$68="YES")+('10_Analysis_Ready'!$AJ$68="YES")+('10_Analysis_Ready'!$AK$68="YES")+('10_Analysis_Ready'!$AL$68="YES"))=0,'10_Analysis_Ready'!$AM$68&lt;&gt;"N/A"),1,0))</f>
        <v>0</v>
      </c>
      <c r="J85">
        <f>IF('10_Analysis_Ready'!$A$68="",0,IF(('28_Taxonomy_Coding'!$G$68="NONE")&lt;&gt;(((OR('10_Analysis_Ready'!$AG$68="YES",'10_Analysis_Ready'!$AH$68="YES"))*1+('10_Analysis_Ready'!$AI$68="YES")+('10_Analysis_Ready'!$AJ$68="YES")+('10_Analysis_Ready'!$AK$68="YES")+('10_Analysis_Ready'!$AL$68="YES"))=0),1,0))</f>
        <v>0</v>
      </c>
    </row>
    <row r="86" spans="1:10">
      <c r="A86">
        <v>69</v>
      </c>
      <c r="B86" t="str">
        <f>IF('10_Analysis_Ready'!$A$69="","",'10_Analysis_Ready'!$A$69)</f>
        <v>R0101</v>
      </c>
      <c r="C86">
        <f>IF('10_Analysis_Ready'!$A$69="",0,IF(AND('28_Taxonomy_Coding'!$A$69='10_Analysis_Ready'!$A$69,'14_Generalization_Map'!$A$69='10_Analysis_Ready'!$A$69),0,1))</f>
        <v>0</v>
      </c>
      <c r="D86">
        <f>IF('10_Analysis_Ready'!$A$69="",0,IF(COUNTIFS('06_Full_Text_Screening'!$A:$A,'10_Analysis_Ready'!$A$69,'06_Full_Text_Screening'!$J:$J,"INCLUDE")=1,0,1))</f>
        <v>0</v>
      </c>
      <c r="E86">
        <f>IF('10_Analysis_Ready'!$A$69="",0,IF(OR(AND(((OR('10_Analysis_Ready'!$AG$69="YES",'10_Analysis_Ready'!$AH$69="YES"))*1+('10_Analysis_Ready'!$AI$69="YES")+('10_Analysis_Ready'!$AJ$69="YES")+('10_Analysis_Ready'!$AK$69="YES")+('10_Analysis_Ready'!$AL$69="YES"))=0,'10_Analysis_Ready'!$AF$69&lt;&gt;"NONE"),AND(((OR('10_Analysis_Ready'!$AG$69="YES",'10_Analysis_Ready'!$AH$69="YES"))*1+('10_Analysis_Ready'!$AI$69="YES")+('10_Analysis_Ready'!$AJ$69="YES")+('10_Analysis_Ready'!$AK$69="YES")+('10_Analysis_Ready'!$AL$69="YES"))=1,OR('10_Analysis_Ready'!$AF$69="NONE",'10_Analysis_Ready'!$AF$69="MULTIPLE")),AND(((OR('10_Analysis_Ready'!$AG$69="YES",'10_Analysis_Ready'!$AH$69="YES"))*1+('10_Analysis_Ready'!$AI$69="YES")+('10_Analysis_Ready'!$AJ$69="YES")+('10_Analysis_Ready'!$AK$69="YES")+('10_Analysis_Ready'!$AL$69="YES"))&gt;=2,'10_Analysis_Ready'!$AF$69&lt;&gt;"MULTIPLE")),1,0))</f>
        <v>0</v>
      </c>
      <c r="F86">
        <f>IF('10_Analysis_Ready'!$A$69="",0,IF(AND('10_Analysis_Ready'!$AO$69="NO",COUNTIF('10_Analysis_Ready'!$AP$69:$AU$69,"YES")&gt;0),1,0))</f>
        <v>0</v>
      </c>
      <c r="G86">
        <f>IF('10_Analysis_Ready'!$A$69="",0,IF(OR(AND('10_Analysis_Ready'!$Y$69="GAN",'10_Analysis_Ready'!$AA$69="YES"),AND('10_Analysis_Ready'!$Y$69="DIFFUSION",'10_Analysis_Ready'!$Z$69="YES"),AND('10_Analysis_Ready'!$Y$69="GAN+DIFFUSION",OR('10_Analysis_Ready'!$Z$69&lt;&gt;"YES",'10_Analysis_Ready'!$AA$69&lt;&gt;"YES"))),1,0))</f>
        <v>0</v>
      </c>
      <c r="H86">
        <f>IF('10_Analysis_Ready'!$A$69="",0,IF(OR(AND('10_Analysis_Ready'!$BJ$69="NO",OR('10_Analysis_Ready'!$BK$69="HIGH",'10_Analysis_Ready'!$BK$69="VERY HIGH")),AND(((OR('10_Analysis_Ready'!$AG$69="YES",'10_Analysis_Ready'!$AH$69="YES"))*1+('10_Analysis_Ready'!$AI$69="YES")+('10_Analysis_Ready'!$AJ$69="YES")+('10_Analysis_Ready'!$AK$69="YES")+('10_Analysis_Ready'!$AL$69="YES"))=0,'10_Analysis_Ready'!$BJ$69="YES")),1,0))</f>
        <v>0</v>
      </c>
      <c r="I86">
        <f>IF('10_Analysis_Ready'!$A$69="",0,IF(AND(((OR('10_Analysis_Ready'!$AG$69="YES",'10_Analysis_Ready'!$AH$69="YES"))*1+('10_Analysis_Ready'!$AI$69="YES")+('10_Analysis_Ready'!$AJ$69="YES")+('10_Analysis_Ready'!$AK$69="YES")+('10_Analysis_Ready'!$AL$69="YES"))=0,'10_Analysis_Ready'!$AM$69&lt;&gt;"N/A"),1,0))</f>
        <v>0</v>
      </c>
      <c r="J86">
        <f>IF('10_Analysis_Ready'!$A$69="",0,IF(('28_Taxonomy_Coding'!$G$69="NONE")&lt;&gt;(((OR('10_Analysis_Ready'!$AG$69="YES",'10_Analysis_Ready'!$AH$69="YES"))*1+('10_Analysis_Ready'!$AI$69="YES")+('10_Analysis_Ready'!$AJ$69="YES")+('10_Analysis_Ready'!$AK$69="YES")+('10_Analysis_Ready'!$AL$69="YES"))=0),1,0))</f>
        <v>0</v>
      </c>
    </row>
    <row r="87" spans="1:10">
      <c r="A87">
        <v>70</v>
      </c>
      <c r="B87" t="str">
        <f>IF('10_Analysis_Ready'!$A$70="","",'10_Analysis_Ready'!$A$70)</f>
        <v>R0104</v>
      </c>
      <c r="C87">
        <f>IF('10_Analysis_Ready'!$A$70="",0,IF(AND('28_Taxonomy_Coding'!$A$70='10_Analysis_Ready'!$A$70,'14_Generalization_Map'!$A$70='10_Analysis_Ready'!$A$70),0,1))</f>
        <v>0</v>
      </c>
      <c r="D87">
        <f>IF('10_Analysis_Ready'!$A$70="",0,IF(COUNTIFS('06_Full_Text_Screening'!$A:$A,'10_Analysis_Ready'!$A$70,'06_Full_Text_Screening'!$J:$J,"INCLUDE")=1,0,1))</f>
        <v>0</v>
      </c>
      <c r="E87">
        <f>IF('10_Analysis_Ready'!$A$70="",0,IF(OR(AND(((OR('10_Analysis_Ready'!$AG$70="YES",'10_Analysis_Ready'!$AH$70="YES"))*1+('10_Analysis_Ready'!$AI$70="YES")+('10_Analysis_Ready'!$AJ$70="YES")+('10_Analysis_Ready'!$AK$70="YES")+('10_Analysis_Ready'!$AL$70="YES"))=0,'10_Analysis_Ready'!$AF$70&lt;&gt;"NONE"),AND(((OR('10_Analysis_Ready'!$AG$70="YES",'10_Analysis_Ready'!$AH$70="YES"))*1+('10_Analysis_Ready'!$AI$70="YES")+('10_Analysis_Ready'!$AJ$70="YES")+('10_Analysis_Ready'!$AK$70="YES")+('10_Analysis_Ready'!$AL$70="YES"))=1,OR('10_Analysis_Ready'!$AF$70="NONE",'10_Analysis_Ready'!$AF$70="MULTIPLE")),AND(((OR('10_Analysis_Ready'!$AG$70="YES",'10_Analysis_Ready'!$AH$70="YES"))*1+('10_Analysis_Ready'!$AI$70="YES")+('10_Analysis_Ready'!$AJ$70="YES")+('10_Analysis_Ready'!$AK$70="YES")+('10_Analysis_Ready'!$AL$70="YES"))&gt;=2,'10_Analysis_Ready'!$AF$70&lt;&gt;"MULTIPLE")),1,0))</f>
        <v>0</v>
      </c>
      <c r="F87">
        <f>IF('10_Analysis_Ready'!$A$70="",0,IF(AND('10_Analysis_Ready'!$AO$70="NO",COUNTIF('10_Analysis_Ready'!$AP$70:$AU$70,"YES")&gt;0),1,0))</f>
        <v>0</v>
      </c>
      <c r="G87">
        <f>IF('10_Analysis_Ready'!$A$70="",0,IF(OR(AND('10_Analysis_Ready'!$Y$70="GAN",'10_Analysis_Ready'!$AA$70="YES"),AND('10_Analysis_Ready'!$Y$70="DIFFUSION",'10_Analysis_Ready'!$Z$70="YES"),AND('10_Analysis_Ready'!$Y$70="GAN+DIFFUSION",OR('10_Analysis_Ready'!$Z$70&lt;&gt;"YES",'10_Analysis_Ready'!$AA$70&lt;&gt;"YES"))),1,0))</f>
        <v>0</v>
      </c>
      <c r="H87">
        <f>IF('10_Analysis_Ready'!$A$70="",0,IF(OR(AND('10_Analysis_Ready'!$BJ$70="NO",OR('10_Analysis_Ready'!$BK$70="HIGH",'10_Analysis_Ready'!$BK$70="VERY HIGH")),AND(((OR('10_Analysis_Ready'!$AG$70="YES",'10_Analysis_Ready'!$AH$70="YES"))*1+('10_Analysis_Ready'!$AI$70="YES")+('10_Analysis_Ready'!$AJ$70="YES")+('10_Analysis_Ready'!$AK$70="YES")+('10_Analysis_Ready'!$AL$70="YES"))=0,'10_Analysis_Ready'!$BJ$70="YES")),1,0))</f>
        <v>0</v>
      </c>
      <c r="I87">
        <f>IF('10_Analysis_Ready'!$A$70="",0,IF(AND(((OR('10_Analysis_Ready'!$AG$70="YES",'10_Analysis_Ready'!$AH$70="YES"))*1+('10_Analysis_Ready'!$AI$70="YES")+('10_Analysis_Ready'!$AJ$70="YES")+('10_Analysis_Ready'!$AK$70="YES")+('10_Analysis_Ready'!$AL$70="YES"))=0,'10_Analysis_Ready'!$AM$70&lt;&gt;"N/A"),1,0))</f>
        <v>0</v>
      </c>
      <c r="J87">
        <f>IF('10_Analysis_Ready'!$A$70="",0,IF(('28_Taxonomy_Coding'!$G$70="NONE")&lt;&gt;(((OR('10_Analysis_Ready'!$AG$70="YES",'10_Analysis_Ready'!$AH$70="YES"))*1+('10_Analysis_Ready'!$AI$70="YES")+('10_Analysis_Ready'!$AJ$70="YES")+('10_Analysis_Ready'!$AK$70="YES")+('10_Analysis_Ready'!$AL$70="YES"))=0),1,0))</f>
        <v>0</v>
      </c>
    </row>
    <row r="88" spans="1:10">
      <c r="A88">
        <v>71</v>
      </c>
      <c r="B88" t="str">
        <f>IF('10_Analysis_Ready'!$A$71="","",'10_Analysis_Ready'!$A$71)</f>
        <v>R0105</v>
      </c>
      <c r="C88">
        <f>IF('10_Analysis_Ready'!$A$71="",0,IF(AND('28_Taxonomy_Coding'!$A$71='10_Analysis_Ready'!$A$71,'14_Generalization_Map'!$A$71='10_Analysis_Ready'!$A$71),0,1))</f>
        <v>0</v>
      </c>
      <c r="D88">
        <f>IF('10_Analysis_Ready'!$A$71="",0,IF(COUNTIFS('06_Full_Text_Screening'!$A:$A,'10_Analysis_Ready'!$A$71,'06_Full_Text_Screening'!$J:$J,"INCLUDE")=1,0,1))</f>
        <v>0</v>
      </c>
      <c r="E88">
        <f>IF('10_Analysis_Ready'!$A$71="",0,IF(OR(AND(((OR('10_Analysis_Ready'!$AG$71="YES",'10_Analysis_Ready'!$AH$71="YES"))*1+('10_Analysis_Ready'!$AI$71="YES")+('10_Analysis_Ready'!$AJ$71="YES")+('10_Analysis_Ready'!$AK$71="YES")+('10_Analysis_Ready'!$AL$71="YES"))=0,'10_Analysis_Ready'!$AF$71&lt;&gt;"NONE"),AND(((OR('10_Analysis_Ready'!$AG$71="YES",'10_Analysis_Ready'!$AH$71="YES"))*1+('10_Analysis_Ready'!$AI$71="YES")+('10_Analysis_Ready'!$AJ$71="YES")+('10_Analysis_Ready'!$AK$71="YES")+('10_Analysis_Ready'!$AL$71="YES"))=1,OR('10_Analysis_Ready'!$AF$71="NONE",'10_Analysis_Ready'!$AF$71="MULTIPLE")),AND(((OR('10_Analysis_Ready'!$AG$71="YES",'10_Analysis_Ready'!$AH$71="YES"))*1+('10_Analysis_Ready'!$AI$71="YES")+('10_Analysis_Ready'!$AJ$71="YES")+('10_Analysis_Ready'!$AK$71="YES")+('10_Analysis_Ready'!$AL$71="YES"))&gt;=2,'10_Analysis_Ready'!$AF$71&lt;&gt;"MULTIPLE")),1,0))</f>
        <v>0</v>
      </c>
      <c r="F88">
        <f>IF('10_Analysis_Ready'!$A$71="",0,IF(AND('10_Analysis_Ready'!$AO$71="NO",COUNTIF('10_Analysis_Ready'!$AP$71:$AU$71,"YES")&gt;0),1,0))</f>
        <v>0</v>
      </c>
      <c r="G88">
        <f>IF('10_Analysis_Ready'!$A$71="",0,IF(OR(AND('10_Analysis_Ready'!$Y$71="GAN",'10_Analysis_Ready'!$AA$71="YES"),AND('10_Analysis_Ready'!$Y$71="DIFFUSION",'10_Analysis_Ready'!$Z$71="YES"),AND('10_Analysis_Ready'!$Y$71="GAN+DIFFUSION",OR('10_Analysis_Ready'!$Z$71&lt;&gt;"YES",'10_Analysis_Ready'!$AA$71&lt;&gt;"YES"))),1,0))</f>
        <v>0</v>
      </c>
      <c r="H88">
        <f>IF('10_Analysis_Ready'!$A$71="",0,IF(OR(AND('10_Analysis_Ready'!$BJ$71="NO",OR('10_Analysis_Ready'!$BK$71="HIGH",'10_Analysis_Ready'!$BK$71="VERY HIGH")),AND(((OR('10_Analysis_Ready'!$AG$71="YES",'10_Analysis_Ready'!$AH$71="YES"))*1+('10_Analysis_Ready'!$AI$71="YES")+('10_Analysis_Ready'!$AJ$71="YES")+('10_Analysis_Ready'!$AK$71="YES")+('10_Analysis_Ready'!$AL$71="YES"))=0,'10_Analysis_Ready'!$BJ$71="YES")),1,0))</f>
        <v>0</v>
      </c>
      <c r="I88">
        <f>IF('10_Analysis_Ready'!$A$71="",0,IF(AND(((OR('10_Analysis_Ready'!$AG$71="YES",'10_Analysis_Ready'!$AH$71="YES"))*1+('10_Analysis_Ready'!$AI$71="YES")+('10_Analysis_Ready'!$AJ$71="YES")+('10_Analysis_Ready'!$AK$71="YES")+('10_Analysis_Ready'!$AL$71="YES"))=0,'10_Analysis_Ready'!$AM$71&lt;&gt;"N/A"),1,0))</f>
        <v>0</v>
      </c>
      <c r="J88">
        <f>IF('10_Analysis_Ready'!$A$71="",0,IF(('28_Taxonomy_Coding'!$G$71="NONE")&lt;&gt;(((OR('10_Analysis_Ready'!$AG$71="YES",'10_Analysis_Ready'!$AH$71="YES"))*1+('10_Analysis_Ready'!$AI$71="YES")+('10_Analysis_Ready'!$AJ$71="YES")+('10_Analysis_Ready'!$AK$71="YES")+('10_Analysis_Ready'!$AL$71="YES"))=0),1,0))</f>
        <v>0</v>
      </c>
    </row>
    <row r="89" spans="1:10">
      <c r="A89">
        <v>72</v>
      </c>
      <c r="B89" t="str">
        <f>IF('10_Analysis_Ready'!$A$72="","",'10_Analysis_Ready'!$A$72)</f>
        <v>R0106</v>
      </c>
      <c r="C89">
        <f>IF('10_Analysis_Ready'!$A$72="",0,IF(AND('28_Taxonomy_Coding'!$A$72='10_Analysis_Ready'!$A$72,'14_Generalization_Map'!$A$72='10_Analysis_Ready'!$A$72),0,1))</f>
        <v>0</v>
      </c>
      <c r="D89">
        <f>IF('10_Analysis_Ready'!$A$72="",0,IF(COUNTIFS('06_Full_Text_Screening'!$A:$A,'10_Analysis_Ready'!$A$72,'06_Full_Text_Screening'!$J:$J,"INCLUDE")=1,0,1))</f>
        <v>0</v>
      </c>
      <c r="E89">
        <f>IF('10_Analysis_Ready'!$A$72="",0,IF(OR(AND(((OR('10_Analysis_Ready'!$AG$72="YES",'10_Analysis_Ready'!$AH$72="YES"))*1+('10_Analysis_Ready'!$AI$72="YES")+('10_Analysis_Ready'!$AJ$72="YES")+('10_Analysis_Ready'!$AK$72="YES")+('10_Analysis_Ready'!$AL$72="YES"))=0,'10_Analysis_Ready'!$AF$72&lt;&gt;"NONE"),AND(((OR('10_Analysis_Ready'!$AG$72="YES",'10_Analysis_Ready'!$AH$72="YES"))*1+('10_Analysis_Ready'!$AI$72="YES")+('10_Analysis_Ready'!$AJ$72="YES")+('10_Analysis_Ready'!$AK$72="YES")+('10_Analysis_Ready'!$AL$72="YES"))=1,OR('10_Analysis_Ready'!$AF$72="NONE",'10_Analysis_Ready'!$AF$72="MULTIPLE")),AND(((OR('10_Analysis_Ready'!$AG$72="YES",'10_Analysis_Ready'!$AH$72="YES"))*1+('10_Analysis_Ready'!$AI$72="YES")+('10_Analysis_Ready'!$AJ$72="YES")+('10_Analysis_Ready'!$AK$72="YES")+('10_Analysis_Ready'!$AL$72="YES"))&gt;=2,'10_Analysis_Ready'!$AF$72&lt;&gt;"MULTIPLE")),1,0))</f>
        <v>0</v>
      </c>
      <c r="F89">
        <f>IF('10_Analysis_Ready'!$A$72="",0,IF(AND('10_Analysis_Ready'!$AO$72="NO",COUNTIF('10_Analysis_Ready'!$AP$72:$AU$72,"YES")&gt;0),1,0))</f>
        <v>0</v>
      </c>
      <c r="G89">
        <f>IF('10_Analysis_Ready'!$A$72="",0,IF(OR(AND('10_Analysis_Ready'!$Y$72="GAN",'10_Analysis_Ready'!$AA$72="YES"),AND('10_Analysis_Ready'!$Y$72="DIFFUSION",'10_Analysis_Ready'!$Z$72="YES"),AND('10_Analysis_Ready'!$Y$72="GAN+DIFFUSION",OR('10_Analysis_Ready'!$Z$72&lt;&gt;"YES",'10_Analysis_Ready'!$AA$72&lt;&gt;"YES"))),1,0))</f>
        <v>0</v>
      </c>
      <c r="H89">
        <f>IF('10_Analysis_Ready'!$A$72="",0,IF(OR(AND('10_Analysis_Ready'!$BJ$72="NO",OR('10_Analysis_Ready'!$BK$72="HIGH",'10_Analysis_Ready'!$BK$72="VERY HIGH")),AND(((OR('10_Analysis_Ready'!$AG$72="YES",'10_Analysis_Ready'!$AH$72="YES"))*1+('10_Analysis_Ready'!$AI$72="YES")+('10_Analysis_Ready'!$AJ$72="YES")+('10_Analysis_Ready'!$AK$72="YES")+('10_Analysis_Ready'!$AL$72="YES"))=0,'10_Analysis_Ready'!$BJ$72="YES")),1,0))</f>
        <v>0</v>
      </c>
      <c r="I89">
        <f>IF('10_Analysis_Ready'!$A$72="",0,IF(AND(((OR('10_Analysis_Ready'!$AG$72="YES",'10_Analysis_Ready'!$AH$72="YES"))*1+('10_Analysis_Ready'!$AI$72="YES")+('10_Analysis_Ready'!$AJ$72="YES")+('10_Analysis_Ready'!$AK$72="YES")+('10_Analysis_Ready'!$AL$72="YES"))=0,'10_Analysis_Ready'!$AM$72&lt;&gt;"N/A"),1,0))</f>
        <v>0</v>
      </c>
      <c r="J89">
        <f>IF('10_Analysis_Ready'!$A$72="",0,IF(('28_Taxonomy_Coding'!$G$72="NONE")&lt;&gt;(((OR('10_Analysis_Ready'!$AG$72="YES",'10_Analysis_Ready'!$AH$72="YES"))*1+('10_Analysis_Ready'!$AI$72="YES")+('10_Analysis_Ready'!$AJ$72="YES")+('10_Analysis_Ready'!$AK$72="YES")+('10_Analysis_Ready'!$AL$72="YES"))=0),1,0))</f>
        <v>0</v>
      </c>
    </row>
    <row r="90" spans="1:10">
      <c r="A90">
        <v>73</v>
      </c>
      <c r="B90" t="str">
        <f>IF('10_Analysis_Ready'!$A$73="","",'10_Analysis_Ready'!$A$73)</f>
        <v>R0108</v>
      </c>
      <c r="C90">
        <f>IF('10_Analysis_Ready'!$A$73="",0,IF(AND('28_Taxonomy_Coding'!$A$73='10_Analysis_Ready'!$A$73,'14_Generalization_Map'!$A$73='10_Analysis_Ready'!$A$73),0,1))</f>
        <v>0</v>
      </c>
      <c r="D90">
        <f>IF('10_Analysis_Ready'!$A$73="",0,IF(COUNTIFS('06_Full_Text_Screening'!$A:$A,'10_Analysis_Ready'!$A$73,'06_Full_Text_Screening'!$J:$J,"INCLUDE")=1,0,1))</f>
        <v>0</v>
      </c>
      <c r="E90">
        <f>IF('10_Analysis_Ready'!$A$73="",0,IF(OR(AND(((OR('10_Analysis_Ready'!$AG$73="YES",'10_Analysis_Ready'!$AH$73="YES"))*1+('10_Analysis_Ready'!$AI$73="YES")+('10_Analysis_Ready'!$AJ$73="YES")+('10_Analysis_Ready'!$AK$73="YES")+('10_Analysis_Ready'!$AL$73="YES"))=0,'10_Analysis_Ready'!$AF$73&lt;&gt;"NONE"),AND(((OR('10_Analysis_Ready'!$AG$73="YES",'10_Analysis_Ready'!$AH$73="YES"))*1+('10_Analysis_Ready'!$AI$73="YES")+('10_Analysis_Ready'!$AJ$73="YES")+('10_Analysis_Ready'!$AK$73="YES")+('10_Analysis_Ready'!$AL$73="YES"))=1,OR('10_Analysis_Ready'!$AF$73="NONE",'10_Analysis_Ready'!$AF$73="MULTIPLE")),AND(((OR('10_Analysis_Ready'!$AG$73="YES",'10_Analysis_Ready'!$AH$73="YES"))*1+('10_Analysis_Ready'!$AI$73="YES")+('10_Analysis_Ready'!$AJ$73="YES")+('10_Analysis_Ready'!$AK$73="YES")+('10_Analysis_Ready'!$AL$73="YES"))&gt;=2,'10_Analysis_Ready'!$AF$73&lt;&gt;"MULTIPLE")),1,0))</f>
        <v>0</v>
      </c>
      <c r="F90">
        <f>IF('10_Analysis_Ready'!$A$73="",0,IF(AND('10_Analysis_Ready'!$AO$73="NO",COUNTIF('10_Analysis_Ready'!$AP$73:$AU$73,"YES")&gt;0),1,0))</f>
        <v>0</v>
      </c>
      <c r="G90">
        <f>IF('10_Analysis_Ready'!$A$73="",0,IF(OR(AND('10_Analysis_Ready'!$Y$73="GAN",'10_Analysis_Ready'!$AA$73="YES"),AND('10_Analysis_Ready'!$Y$73="DIFFUSION",'10_Analysis_Ready'!$Z$73="YES"),AND('10_Analysis_Ready'!$Y$73="GAN+DIFFUSION",OR('10_Analysis_Ready'!$Z$73&lt;&gt;"YES",'10_Analysis_Ready'!$AA$73&lt;&gt;"YES"))),1,0))</f>
        <v>0</v>
      </c>
      <c r="H90">
        <f>IF('10_Analysis_Ready'!$A$73="",0,IF(OR(AND('10_Analysis_Ready'!$BJ$73="NO",OR('10_Analysis_Ready'!$BK$73="HIGH",'10_Analysis_Ready'!$BK$73="VERY HIGH")),AND(((OR('10_Analysis_Ready'!$AG$73="YES",'10_Analysis_Ready'!$AH$73="YES"))*1+('10_Analysis_Ready'!$AI$73="YES")+('10_Analysis_Ready'!$AJ$73="YES")+('10_Analysis_Ready'!$AK$73="YES")+('10_Analysis_Ready'!$AL$73="YES"))=0,'10_Analysis_Ready'!$BJ$73="YES")),1,0))</f>
        <v>0</v>
      </c>
      <c r="I90">
        <f>IF('10_Analysis_Ready'!$A$73="",0,IF(AND(((OR('10_Analysis_Ready'!$AG$73="YES",'10_Analysis_Ready'!$AH$73="YES"))*1+('10_Analysis_Ready'!$AI$73="YES")+('10_Analysis_Ready'!$AJ$73="YES")+('10_Analysis_Ready'!$AK$73="YES")+('10_Analysis_Ready'!$AL$73="YES"))=0,'10_Analysis_Ready'!$AM$73&lt;&gt;"N/A"),1,0))</f>
        <v>0</v>
      </c>
      <c r="J90">
        <f>IF('10_Analysis_Ready'!$A$73="",0,IF(('28_Taxonomy_Coding'!$G$73="NONE")&lt;&gt;(((OR('10_Analysis_Ready'!$AG$73="YES",'10_Analysis_Ready'!$AH$73="YES"))*1+('10_Analysis_Ready'!$AI$73="YES")+('10_Analysis_Ready'!$AJ$73="YES")+('10_Analysis_Ready'!$AK$73="YES")+('10_Analysis_Ready'!$AL$73="YES"))=0),1,0))</f>
        <v>0</v>
      </c>
    </row>
    <row r="91" spans="1:10">
      <c r="A91">
        <v>74</v>
      </c>
      <c r="B91" t="str">
        <f>IF('10_Analysis_Ready'!$A$74="","",'10_Analysis_Ready'!$A$74)</f>
        <v>R0109</v>
      </c>
      <c r="C91">
        <f>IF('10_Analysis_Ready'!$A$74="",0,IF(AND('28_Taxonomy_Coding'!$A$74='10_Analysis_Ready'!$A$74,'14_Generalization_Map'!$A$74='10_Analysis_Ready'!$A$74),0,1))</f>
        <v>0</v>
      </c>
      <c r="D91">
        <f>IF('10_Analysis_Ready'!$A$74="",0,IF(COUNTIFS('06_Full_Text_Screening'!$A:$A,'10_Analysis_Ready'!$A$74,'06_Full_Text_Screening'!$J:$J,"INCLUDE")=1,0,1))</f>
        <v>0</v>
      </c>
      <c r="E91">
        <f>IF('10_Analysis_Ready'!$A$74="",0,IF(OR(AND(((OR('10_Analysis_Ready'!$AG$74="YES",'10_Analysis_Ready'!$AH$74="YES"))*1+('10_Analysis_Ready'!$AI$74="YES")+('10_Analysis_Ready'!$AJ$74="YES")+('10_Analysis_Ready'!$AK$74="YES")+('10_Analysis_Ready'!$AL$74="YES"))=0,'10_Analysis_Ready'!$AF$74&lt;&gt;"NONE"),AND(((OR('10_Analysis_Ready'!$AG$74="YES",'10_Analysis_Ready'!$AH$74="YES"))*1+('10_Analysis_Ready'!$AI$74="YES")+('10_Analysis_Ready'!$AJ$74="YES")+('10_Analysis_Ready'!$AK$74="YES")+('10_Analysis_Ready'!$AL$74="YES"))=1,OR('10_Analysis_Ready'!$AF$74="NONE",'10_Analysis_Ready'!$AF$74="MULTIPLE")),AND(((OR('10_Analysis_Ready'!$AG$74="YES",'10_Analysis_Ready'!$AH$74="YES"))*1+('10_Analysis_Ready'!$AI$74="YES")+('10_Analysis_Ready'!$AJ$74="YES")+('10_Analysis_Ready'!$AK$74="YES")+('10_Analysis_Ready'!$AL$74="YES"))&gt;=2,'10_Analysis_Ready'!$AF$74&lt;&gt;"MULTIPLE")),1,0))</f>
        <v>0</v>
      </c>
      <c r="F91">
        <f>IF('10_Analysis_Ready'!$A$74="",0,IF(AND('10_Analysis_Ready'!$AO$74="NO",COUNTIF('10_Analysis_Ready'!$AP$74:$AU$74,"YES")&gt;0),1,0))</f>
        <v>0</v>
      </c>
      <c r="G91">
        <f>IF('10_Analysis_Ready'!$A$74="",0,IF(OR(AND('10_Analysis_Ready'!$Y$74="GAN",'10_Analysis_Ready'!$AA$74="YES"),AND('10_Analysis_Ready'!$Y$74="DIFFUSION",'10_Analysis_Ready'!$Z$74="YES"),AND('10_Analysis_Ready'!$Y$74="GAN+DIFFUSION",OR('10_Analysis_Ready'!$Z$74&lt;&gt;"YES",'10_Analysis_Ready'!$AA$74&lt;&gt;"YES"))),1,0))</f>
        <v>0</v>
      </c>
      <c r="H91">
        <f>IF('10_Analysis_Ready'!$A$74="",0,IF(OR(AND('10_Analysis_Ready'!$BJ$74="NO",OR('10_Analysis_Ready'!$BK$74="HIGH",'10_Analysis_Ready'!$BK$74="VERY HIGH")),AND(((OR('10_Analysis_Ready'!$AG$74="YES",'10_Analysis_Ready'!$AH$74="YES"))*1+('10_Analysis_Ready'!$AI$74="YES")+('10_Analysis_Ready'!$AJ$74="YES")+('10_Analysis_Ready'!$AK$74="YES")+('10_Analysis_Ready'!$AL$74="YES"))=0,'10_Analysis_Ready'!$BJ$74="YES")),1,0))</f>
        <v>0</v>
      </c>
      <c r="I91">
        <f>IF('10_Analysis_Ready'!$A$74="",0,IF(AND(((OR('10_Analysis_Ready'!$AG$74="YES",'10_Analysis_Ready'!$AH$74="YES"))*1+('10_Analysis_Ready'!$AI$74="YES")+('10_Analysis_Ready'!$AJ$74="YES")+('10_Analysis_Ready'!$AK$74="YES")+('10_Analysis_Ready'!$AL$74="YES"))=0,'10_Analysis_Ready'!$AM$74&lt;&gt;"N/A"),1,0))</f>
        <v>0</v>
      </c>
      <c r="J91">
        <f>IF('10_Analysis_Ready'!$A$74="",0,IF(('28_Taxonomy_Coding'!$G$74="NONE")&lt;&gt;(((OR('10_Analysis_Ready'!$AG$74="YES",'10_Analysis_Ready'!$AH$74="YES"))*1+('10_Analysis_Ready'!$AI$74="YES")+('10_Analysis_Ready'!$AJ$74="YES")+('10_Analysis_Ready'!$AK$74="YES")+('10_Analysis_Ready'!$AL$74="YES"))=0),1,0))</f>
        <v>0</v>
      </c>
    </row>
    <row r="92" spans="1:10">
      <c r="A92">
        <v>75</v>
      </c>
      <c r="B92" t="str">
        <f>IF('10_Analysis_Ready'!$A$75="","",'10_Analysis_Ready'!$A$75)</f>
        <v>R0113</v>
      </c>
      <c r="C92">
        <f>IF('10_Analysis_Ready'!$A$75="",0,IF(AND('28_Taxonomy_Coding'!$A$75='10_Analysis_Ready'!$A$75,'14_Generalization_Map'!$A$75='10_Analysis_Ready'!$A$75),0,1))</f>
        <v>0</v>
      </c>
      <c r="D92">
        <f>IF('10_Analysis_Ready'!$A$75="",0,IF(COUNTIFS('06_Full_Text_Screening'!$A:$A,'10_Analysis_Ready'!$A$75,'06_Full_Text_Screening'!$J:$J,"INCLUDE")=1,0,1))</f>
        <v>0</v>
      </c>
      <c r="E92">
        <f>IF('10_Analysis_Ready'!$A$75="",0,IF(OR(AND(((OR('10_Analysis_Ready'!$AG$75="YES",'10_Analysis_Ready'!$AH$75="YES"))*1+('10_Analysis_Ready'!$AI$75="YES")+('10_Analysis_Ready'!$AJ$75="YES")+('10_Analysis_Ready'!$AK$75="YES")+('10_Analysis_Ready'!$AL$75="YES"))=0,'10_Analysis_Ready'!$AF$75&lt;&gt;"NONE"),AND(((OR('10_Analysis_Ready'!$AG$75="YES",'10_Analysis_Ready'!$AH$75="YES"))*1+('10_Analysis_Ready'!$AI$75="YES")+('10_Analysis_Ready'!$AJ$75="YES")+('10_Analysis_Ready'!$AK$75="YES")+('10_Analysis_Ready'!$AL$75="YES"))=1,OR('10_Analysis_Ready'!$AF$75="NONE",'10_Analysis_Ready'!$AF$75="MULTIPLE")),AND(((OR('10_Analysis_Ready'!$AG$75="YES",'10_Analysis_Ready'!$AH$75="YES"))*1+('10_Analysis_Ready'!$AI$75="YES")+('10_Analysis_Ready'!$AJ$75="YES")+('10_Analysis_Ready'!$AK$75="YES")+('10_Analysis_Ready'!$AL$75="YES"))&gt;=2,'10_Analysis_Ready'!$AF$75&lt;&gt;"MULTIPLE")),1,0))</f>
        <v>0</v>
      </c>
      <c r="F92">
        <f>IF('10_Analysis_Ready'!$A$75="",0,IF(AND('10_Analysis_Ready'!$AO$75="NO",COUNTIF('10_Analysis_Ready'!$AP$75:$AU$75,"YES")&gt;0),1,0))</f>
        <v>0</v>
      </c>
      <c r="G92">
        <f>IF('10_Analysis_Ready'!$A$75="",0,IF(OR(AND('10_Analysis_Ready'!$Y$75="GAN",'10_Analysis_Ready'!$AA$75="YES"),AND('10_Analysis_Ready'!$Y$75="DIFFUSION",'10_Analysis_Ready'!$Z$75="YES"),AND('10_Analysis_Ready'!$Y$75="GAN+DIFFUSION",OR('10_Analysis_Ready'!$Z$75&lt;&gt;"YES",'10_Analysis_Ready'!$AA$75&lt;&gt;"YES"))),1,0))</f>
        <v>0</v>
      </c>
      <c r="H92">
        <f>IF('10_Analysis_Ready'!$A$75="",0,IF(OR(AND('10_Analysis_Ready'!$BJ$75="NO",OR('10_Analysis_Ready'!$BK$75="HIGH",'10_Analysis_Ready'!$BK$75="VERY HIGH")),AND(((OR('10_Analysis_Ready'!$AG$75="YES",'10_Analysis_Ready'!$AH$75="YES"))*1+('10_Analysis_Ready'!$AI$75="YES")+('10_Analysis_Ready'!$AJ$75="YES")+('10_Analysis_Ready'!$AK$75="YES")+('10_Analysis_Ready'!$AL$75="YES"))=0,'10_Analysis_Ready'!$BJ$75="YES")),1,0))</f>
        <v>0</v>
      </c>
      <c r="I92">
        <f>IF('10_Analysis_Ready'!$A$75="",0,IF(AND(((OR('10_Analysis_Ready'!$AG$75="YES",'10_Analysis_Ready'!$AH$75="YES"))*1+('10_Analysis_Ready'!$AI$75="YES")+('10_Analysis_Ready'!$AJ$75="YES")+('10_Analysis_Ready'!$AK$75="YES")+('10_Analysis_Ready'!$AL$75="YES"))=0,'10_Analysis_Ready'!$AM$75&lt;&gt;"N/A"),1,0))</f>
        <v>0</v>
      </c>
      <c r="J92">
        <f>IF('10_Analysis_Ready'!$A$75="",0,IF(('28_Taxonomy_Coding'!$G$75="NONE")&lt;&gt;(((OR('10_Analysis_Ready'!$AG$75="YES",'10_Analysis_Ready'!$AH$75="YES"))*1+('10_Analysis_Ready'!$AI$75="YES")+('10_Analysis_Ready'!$AJ$75="YES")+('10_Analysis_Ready'!$AK$75="YES")+('10_Analysis_Ready'!$AL$75="YES"))=0),1,0))</f>
        <v>0</v>
      </c>
    </row>
    <row r="93" spans="1:10">
      <c r="A93">
        <v>76</v>
      </c>
      <c r="B93" t="str">
        <f>IF('10_Analysis_Ready'!$A$76="","",'10_Analysis_Ready'!$A$76)</f>
        <v>R0114</v>
      </c>
      <c r="C93">
        <f>IF('10_Analysis_Ready'!$A$76="",0,IF(AND('28_Taxonomy_Coding'!$A$76='10_Analysis_Ready'!$A$76,'14_Generalization_Map'!$A$76='10_Analysis_Ready'!$A$76),0,1))</f>
        <v>0</v>
      </c>
      <c r="D93">
        <f>IF('10_Analysis_Ready'!$A$76="",0,IF(COUNTIFS('06_Full_Text_Screening'!$A:$A,'10_Analysis_Ready'!$A$76,'06_Full_Text_Screening'!$J:$J,"INCLUDE")=1,0,1))</f>
        <v>0</v>
      </c>
      <c r="E93">
        <f>IF('10_Analysis_Ready'!$A$76="",0,IF(OR(AND(((OR('10_Analysis_Ready'!$AG$76="YES",'10_Analysis_Ready'!$AH$76="YES"))*1+('10_Analysis_Ready'!$AI$76="YES")+('10_Analysis_Ready'!$AJ$76="YES")+('10_Analysis_Ready'!$AK$76="YES")+('10_Analysis_Ready'!$AL$76="YES"))=0,'10_Analysis_Ready'!$AF$76&lt;&gt;"NONE"),AND(((OR('10_Analysis_Ready'!$AG$76="YES",'10_Analysis_Ready'!$AH$76="YES"))*1+('10_Analysis_Ready'!$AI$76="YES")+('10_Analysis_Ready'!$AJ$76="YES")+('10_Analysis_Ready'!$AK$76="YES")+('10_Analysis_Ready'!$AL$76="YES"))=1,OR('10_Analysis_Ready'!$AF$76="NONE",'10_Analysis_Ready'!$AF$76="MULTIPLE")),AND(((OR('10_Analysis_Ready'!$AG$76="YES",'10_Analysis_Ready'!$AH$76="YES"))*1+('10_Analysis_Ready'!$AI$76="YES")+('10_Analysis_Ready'!$AJ$76="YES")+('10_Analysis_Ready'!$AK$76="YES")+('10_Analysis_Ready'!$AL$76="YES"))&gt;=2,'10_Analysis_Ready'!$AF$76&lt;&gt;"MULTIPLE")),1,0))</f>
        <v>0</v>
      </c>
      <c r="F93">
        <f>IF('10_Analysis_Ready'!$A$76="",0,IF(AND('10_Analysis_Ready'!$AO$76="NO",COUNTIF('10_Analysis_Ready'!$AP$76:$AU$76,"YES")&gt;0),1,0))</f>
        <v>0</v>
      </c>
      <c r="G93">
        <f>IF('10_Analysis_Ready'!$A$76="",0,IF(OR(AND('10_Analysis_Ready'!$Y$76="GAN",'10_Analysis_Ready'!$AA$76="YES"),AND('10_Analysis_Ready'!$Y$76="DIFFUSION",'10_Analysis_Ready'!$Z$76="YES"),AND('10_Analysis_Ready'!$Y$76="GAN+DIFFUSION",OR('10_Analysis_Ready'!$Z$76&lt;&gt;"YES",'10_Analysis_Ready'!$AA$76&lt;&gt;"YES"))),1,0))</f>
        <v>0</v>
      </c>
      <c r="H93">
        <f>IF('10_Analysis_Ready'!$A$76="",0,IF(OR(AND('10_Analysis_Ready'!$BJ$76="NO",OR('10_Analysis_Ready'!$BK$76="HIGH",'10_Analysis_Ready'!$BK$76="VERY HIGH")),AND(((OR('10_Analysis_Ready'!$AG$76="YES",'10_Analysis_Ready'!$AH$76="YES"))*1+('10_Analysis_Ready'!$AI$76="YES")+('10_Analysis_Ready'!$AJ$76="YES")+('10_Analysis_Ready'!$AK$76="YES")+('10_Analysis_Ready'!$AL$76="YES"))=0,'10_Analysis_Ready'!$BJ$76="YES")),1,0))</f>
        <v>0</v>
      </c>
      <c r="I93">
        <f>IF('10_Analysis_Ready'!$A$76="",0,IF(AND(((OR('10_Analysis_Ready'!$AG$76="YES",'10_Analysis_Ready'!$AH$76="YES"))*1+('10_Analysis_Ready'!$AI$76="YES")+('10_Analysis_Ready'!$AJ$76="YES")+('10_Analysis_Ready'!$AK$76="YES")+('10_Analysis_Ready'!$AL$76="YES"))=0,'10_Analysis_Ready'!$AM$76&lt;&gt;"N/A"),1,0))</f>
        <v>0</v>
      </c>
      <c r="J93">
        <f>IF('10_Analysis_Ready'!$A$76="",0,IF(('28_Taxonomy_Coding'!$G$76="NONE")&lt;&gt;(((OR('10_Analysis_Ready'!$AG$76="YES",'10_Analysis_Ready'!$AH$76="YES"))*1+('10_Analysis_Ready'!$AI$76="YES")+('10_Analysis_Ready'!$AJ$76="YES")+('10_Analysis_Ready'!$AK$76="YES")+('10_Analysis_Ready'!$AL$76="YES"))=0),1,0))</f>
        <v>0</v>
      </c>
    </row>
    <row r="94" spans="1:10">
      <c r="A94">
        <v>77</v>
      </c>
      <c r="B94" t="str">
        <f>IF('10_Analysis_Ready'!$A$77="","",'10_Analysis_Ready'!$A$77)</f>
        <v>R0115</v>
      </c>
      <c r="C94">
        <f>IF('10_Analysis_Ready'!$A$77="",0,IF(AND('28_Taxonomy_Coding'!$A$77='10_Analysis_Ready'!$A$77,'14_Generalization_Map'!$A$77='10_Analysis_Ready'!$A$77),0,1))</f>
        <v>0</v>
      </c>
      <c r="D94">
        <f>IF('10_Analysis_Ready'!$A$77="",0,IF(COUNTIFS('06_Full_Text_Screening'!$A:$A,'10_Analysis_Ready'!$A$77,'06_Full_Text_Screening'!$J:$J,"INCLUDE")=1,0,1))</f>
        <v>0</v>
      </c>
      <c r="E94">
        <f>IF('10_Analysis_Ready'!$A$77="",0,IF(OR(AND(((OR('10_Analysis_Ready'!$AG$77="YES",'10_Analysis_Ready'!$AH$77="YES"))*1+('10_Analysis_Ready'!$AI$77="YES")+('10_Analysis_Ready'!$AJ$77="YES")+('10_Analysis_Ready'!$AK$77="YES")+('10_Analysis_Ready'!$AL$77="YES"))=0,'10_Analysis_Ready'!$AF$77&lt;&gt;"NONE"),AND(((OR('10_Analysis_Ready'!$AG$77="YES",'10_Analysis_Ready'!$AH$77="YES"))*1+('10_Analysis_Ready'!$AI$77="YES")+('10_Analysis_Ready'!$AJ$77="YES")+('10_Analysis_Ready'!$AK$77="YES")+('10_Analysis_Ready'!$AL$77="YES"))=1,OR('10_Analysis_Ready'!$AF$77="NONE",'10_Analysis_Ready'!$AF$77="MULTIPLE")),AND(((OR('10_Analysis_Ready'!$AG$77="YES",'10_Analysis_Ready'!$AH$77="YES"))*1+('10_Analysis_Ready'!$AI$77="YES")+('10_Analysis_Ready'!$AJ$77="YES")+('10_Analysis_Ready'!$AK$77="YES")+('10_Analysis_Ready'!$AL$77="YES"))&gt;=2,'10_Analysis_Ready'!$AF$77&lt;&gt;"MULTIPLE")),1,0))</f>
        <v>0</v>
      </c>
      <c r="F94">
        <f>IF('10_Analysis_Ready'!$A$77="",0,IF(AND('10_Analysis_Ready'!$AO$77="NO",COUNTIF('10_Analysis_Ready'!$AP$77:$AU$77,"YES")&gt;0),1,0))</f>
        <v>0</v>
      </c>
      <c r="G94">
        <f>IF('10_Analysis_Ready'!$A$77="",0,IF(OR(AND('10_Analysis_Ready'!$Y$77="GAN",'10_Analysis_Ready'!$AA$77="YES"),AND('10_Analysis_Ready'!$Y$77="DIFFUSION",'10_Analysis_Ready'!$Z$77="YES"),AND('10_Analysis_Ready'!$Y$77="GAN+DIFFUSION",OR('10_Analysis_Ready'!$Z$77&lt;&gt;"YES",'10_Analysis_Ready'!$AA$77&lt;&gt;"YES"))),1,0))</f>
        <v>0</v>
      </c>
      <c r="H94">
        <f>IF('10_Analysis_Ready'!$A$77="",0,IF(OR(AND('10_Analysis_Ready'!$BJ$77="NO",OR('10_Analysis_Ready'!$BK$77="HIGH",'10_Analysis_Ready'!$BK$77="VERY HIGH")),AND(((OR('10_Analysis_Ready'!$AG$77="YES",'10_Analysis_Ready'!$AH$77="YES"))*1+('10_Analysis_Ready'!$AI$77="YES")+('10_Analysis_Ready'!$AJ$77="YES")+('10_Analysis_Ready'!$AK$77="YES")+('10_Analysis_Ready'!$AL$77="YES"))=0,'10_Analysis_Ready'!$BJ$77="YES")),1,0))</f>
        <v>0</v>
      </c>
      <c r="I94">
        <f>IF('10_Analysis_Ready'!$A$77="",0,IF(AND(((OR('10_Analysis_Ready'!$AG$77="YES",'10_Analysis_Ready'!$AH$77="YES"))*1+('10_Analysis_Ready'!$AI$77="YES")+('10_Analysis_Ready'!$AJ$77="YES")+('10_Analysis_Ready'!$AK$77="YES")+('10_Analysis_Ready'!$AL$77="YES"))=0,'10_Analysis_Ready'!$AM$77&lt;&gt;"N/A"),1,0))</f>
        <v>0</v>
      </c>
      <c r="J94">
        <f>IF('10_Analysis_Ready'!$A$77="",0,IF(('28_Taxonomy_Coding'!$G$77="NONE")&lt;&gt;(((OR('10_Analysis_Ready'!$AG$77="YES",'10_Analysis_Ready'!$AH$77="YES"))*1+('10_Analysis_Ready'!$AI$77="YES")+('10_Analysis_Ready'!$AJ$77="YES")+('10_Analysis_Ready'!$AK$77="YES")+('10_Analysis_Ready'!$AL$77="YES"))=0),1,0))</f>
        <v>0</v>
      </c>
    </row>
    <row r="95" spans="1:10">
      <c r="A95">
        <v>78</v>
      </c>
      <c r="B95" t="str">
        <f>IF('10_Analysis_Ready'!$A$78="","",'10_Analysis_Ready'!$A$78)</f>
        <v>R0118</v>
      </c>
      <c r="C95">
        <f>IF('10_Analysis_Ready'!$A$78="",0,IF(AND('28_Taxonomy_Coding'!$A$78='10_Analysis_Ready'!$A$78,'14_Generalization_Map'!$A$78='10_Analysis_Ready'!$A$78),0,1))</f>
        <v>0</v>
      </c>
      <c r="D95">
        <f>IF('10_Analysis_Ready'!$A$78="",0,IF(COUNTIFS('06_Full_Text_Screening'!$A:$A,'10_Analysis_Ready'!$A$78,'06_Full_Text_Screening'!$J:$J,"INCLUDE")=1,0,1))</f>
        <v>0</v>
      </c>
      <c r="E95">
        <f>IF('10_Analysis_Ready'!$A$78="",0,IF(OR(AND(((OR('10_Analysis_Ready'!$AG$78="YES",'10_Analysis_Ready'!$AH$78="YES"))*1+('10_Analysis_Ready'!$AI$78="YES")+('10_Analysis_Ready'!$AJ$78="YES")+('10_Analysis_Ready'!$AK$78="YES")+('10_Analysis_Ready'!$AL$78="YES"))=0,'10_Analysis_Ready'!$AF$78&lt;&gt;"NONE"),AND(((OR('10_Analysis_Ready'!$AG$78="YES",'10_Analysis_Ready'!$AH$78="YES"))*1+('10_Analysis_Ready'!$AI$78="YES")+('10_Analysis_Ready'!$AJ$78="YES")+('10_Analysis_Ready'!$AK$78="YES")+('10_Analysis_Ready'!$AL$78="YES"))=1,OR('10_Analysis_Ready'!$AF$78="NONE",'10_Analysis_Ready'!$AF$78="MULTIPLE")),AND(((OR('10_Analysis_Ready'!$AG$78="YES",'10_Analysis_Ready'!$AH$78="YES"))*1+('10_Analysis_Ready'!$AI$78="YES")+('10_Analysis_Ready'!$AJ$78="YES")+('10_Analysis_Ready'!$AK$78="YES")+('10_Analysis_Ready'!$AL$78="YES"))&gt;=2,'10_Analysis_Ready'!$AF$78&lt;&gt;"MULTIPLE")),1,0))</f>
        <v>0</v>
      </c>
      <c r="F95">
        <f>IF('10_Analysis_Ready'!$A$78="",0,IF(AND('10_Analysis_Ready'!$AO$78="NO",COUNTIF('10_Analysis_Ready'!$AP$78:$AU$78,"YES")&gt;0),1,0))</f>
        <v>0</v>
      </c>
      <c r="G95">
        <f>IF('10_Analysis_Ready'!$A$78="",0,IF(OR(AND('10_Analysis_Ready'!$Y$78="GAN",'10_Analysis_Ready'!$AA$78="YES"),AND('10_Analysis_Ready'!$Y$78="DIFFUSION",'10_Analysis_Ready'!$Z$78="YES"),AND('10_Analysis_Ready'!$Y$78="GAN+DIFFUSION",OR('10_Analysis_Ready'!$Z$78&lt;&gt;"YES",'10_Analysis_Ready'!$AA$78&lt;&gt;"YES"))),1,0))</f>
        <v>0</v>
      </c>
      <c r="H95">
        <f>IF('10_Analysis_Ready'!$A$78="",0,IF(OR(AND('10_Analysis_Ready'!$BJ$78="NO",OR('10_Analysis_Ready'!$BK$78="HIGH",'10_Analysis_Ready'!$BK$78="VERY HIGH")),AND(((OR('10_Analysis_Ready'!$AG$78="YES",'10_Analysis_Ready'!$AH$78="YES"))*1+('10_Analysis_Ready'!$AI$78="YES")+('10_Analysis_Ready'!$AJ$78="YES")+('10_Analysis_Ready'!$AK$78="YES")+('10_Analysis_Ready'!$AL$78="YES"))=0,'10_Analysis_Ready'!$BJ$78="YES")),1,0))</f>
        <v>0</v>
      </c>
      <c r="I95">
        <f>IF('10_Analysis_Ready'!$A$78="",0,IF(AND(((OR('10_Analysis_Ready'!$AG$78="YES",'10_Analysis_Ready'!$AH$78="YES"))*1+('10_Analysis_Ready'!$AI$78="YES")+('10_Analysis_Ready'!$AJ$78="YES")+('10_Analysis_Ready'!$AK$78="YES")+('10_Analysis_Ready'!$AL$78="YES"))=0,'10_Analysis_Ready'!$AM$78&lt;&gt;"N/A"),1,0))</f>
        <v>0</v>
      </c>
      <c r="J95">
        <f>IF('10_Analysis_Ready'!$A$78="",0,IF(('28_Taxonomy_Coding'!$G$78="NONE")&lt;&gt;(((OR('10_Analysis_Ready'!$AG$78="YES",'10_Analysis_Ready'!$AH$78="YES"))*1+('10_Analysis_Ready'!$AI$78="YES")+('10_Analysis_Ready'!$AJ$78="YES")+('10_Analysis_Ready'!$AK$78="YES")+('10_Analysis_Ready'!$AL$78="YES"))=0),1,0))</f>
        <v>0</v>
      </c>
    </row>
    <row r="96" spans="1:10">
      <c r="A96">
        <v>79</v>
      </c>
      <c r="B96" t="str">
        <f>IF('10_Analysis_Ready'!$A$79="","",'10_Analysis_Ready'!$A$79)</f>
        <v>R0120</v>
      </c>
      <c r="C96">
        <f>IF('10_Analysis_Ready'!$A$79="",0,IF(AND('28_Taxonomy_Coding'!$A$79='10_Analysis_Ready'!$A$79,'14_Generalization_Map'!$A$79='10_Analysis_Ready'!$A$79),0,1))</f>
        <v>0</v>
      </c>
      <c r="D96">
        <f>IF('10_Analysis_Ready'!$A$79="",0,IF(COUNTIFS('06_Full_Text_Screening'!$A:$A,'10_Analysis_Ready'!$A$79,'06_Full_Text_Screening'!$J:$J,"INCLUDE")=1,0,1))</f>
        <v>0</v>
      </c>
      <c r="E96">
        <f>IF('10_Analysis_Ready'!$A$79="",0,IF(OR(AND(((OR('10_Analysis_Ready'!$AG$79="YES",'10_Analysis_Ready'!$AH$79="YES"))*1+('10_Analysis_Ready'!$AI$79="YES")+('10_Analysis_Ready'!$AJ$79="YES")+('10_Analysis_Ready'!$AK$79="YES")+('10_Analysis_Ready'!$AL$79="YES"))=0,'10_Analysis_Ready'!$AF$79&lt;&gt;"NONE"),AND(((OR('10_Analysis_Ready'!$AG$79="YES",'10_Analysis_Ready'!$AH$79="YES"))*1+('10_Analysis_Ready'!$AI$79="YES")+('10_Analysis_Ready'!$AJ$79="YES")+('10_Analysis_Ready'!$AK$79="YES")+('10_Analysis_Ready'!$AL$79="YES"))=1,OR('10_Analysis_Ready'!$AF$79="NONE",'10_Analysis_Ready'!$AF$79="MULTIPLE")),AND(((OR('10_Analysis_Ready'!$AG$79="YES",'10_Analysis_Ready'!$AH$79="YES"))*1+('10_Analysis_Ready'!$AI$79="YES")+('10_Analysis_Ready'!$AJ$79="YES")+('10_Analysis_Ready'!$AK$79="YES")+('10_Analysis_Ready'!$AL$79="YES"))&gt;=2,'10_Analysis_Ready'!$AF$79&lt;&gt;"MULTIPLE")),1,0))</f>
        <v>0</v>
      </c>
      <c r="F96">
        <f>IF('10_Analysis_Ready'!$A$79="",0,IF(AND('10_Analysis_Ready'!$AO$79="NO",COUNTIF('10_Analysis_Ready'!$AP$79:$AU$79,"YES")&gt;0),1,0))</f>
        <v>0</v>
      </c>
      <c r="G96">
        <f>IF('10_Analysis_Ready'!$A$79="",0,IF(OR(AND('10_Analysis_Ready'!$Y$79="GAN",'10_Analysis_Ready'!$AA$79="YES"),AND('10_Analysis_Ready'!$Y$79="DIFFUSION",'10_Analysis_Ready'!$Z$79="YES"),AND('10_Analysis_Ready'!$Y$79="GAN+DIFFUSION",OR('10_Analysis_Ready'!$Z$79&lt;&gt;"YES",'10_Analysis_Ready'!$AA$79&lt;&gt;"YES"))),1,0))</f>
        <v>0</v>
      </c>
      <c r="H96">
        <f>IF('10_Analysis_Ready'!$A$79="",0,IF(OR(AND('10_Analysis_Ready'!$BJ$79="NO",OR('10_Analysis_Ready'!$BK$79="HIGH",'10_Analysis_Ready'!$BK$79="VERY HIGH")),AND(((OR('10_Analysis_Ready'!$AG$79="YES",'10_Analysis_Ready'!$AH$79="YES"))*1+('10_Analysis_Ready'!$AI$79="YES")+('10_Analysis_Ready'!$AJ$79="YES")+('10_Analysis_Ready'!$AK$79="YES")+('10_Analysis_Ready'!$AL$79="YES"))=0,'10_Analysis_Ready'!$BJ$79="YES")),1,0))</f>
        <v>0</v>
      </c>
      <c r="I96">
        <f>IF('10_Analysis_Ready'!$A$79="",0,IF(AND(((OR('10_Analysis_Ready'!$AG$79="YES",'10_Analysis_Ready'!$AH$79="YES"))*1+('10_Analysis_Ready'!$AI$79="YES")+('10_Analysis_Ready'!$AJ$79="YES")+('10_Analysis_Ready'!$AK$79="YES")+('10_Analysis_Ready'!$AL$79="YES"))=0,'10_Analysis_Ready'!$AM$79&lt;&gt;"N/A"),1,0))</f>
        <v>0</v>
      </c>
      <c r="J96">
        <f>IF('10_Analysis_Ready'!$A$79="",0,IF(('28_Taxonomy_Coding'!$G$79="NONE")&lt;&gt;(((OR('10_Analysis_Ready'!$AG$79="YES",'10_Analysis_Ready'!$AH$79="YES"))*1+('10_Analysis_Ready'!$AI$79="YES")+('10_Analysis_Ready'!$AJ$79="YES")+('10_Analysis_Ready'!$AK$79="YES")+('10_Analysis_Ready'!$AL$79="YES"))=0),1,0))</f>
        <v>0</v>
      </c>
    </row>
    <row r="97" spans="1:10">
      <c r="A97">
        <v>80</v>
      </c>
      <c r="B97" t="str">
        <f>IF('10_Analysis_Ready'!$A$80="","",'10_Analysis_Ready'!$A$80)</f>
        <v>R0121</v>
      </c>
      <c r="C97">
        <f>IF('10_Analysis_Ready'!$A$80="",0,IF(AND('28_Taxonomy_Coding'!$A$80='10_Analysis_Ready'!$A$80,'14_Generalization_Map'!$A$80='10_Analysis_Ready'!$A$80),0,1))</f>
        <v>0</v>
      </c>
      <c r="D97">
        <f>IF('10_Analysis_Ready'!$A$80="",0,IF(COUNTIFS('06_Full_Text_Screening'!$A:$A,'10_Analysis_Ready'!$A$80,'06_Full_Text_Screening'!$J:$J,"INCLUDE")=1,0,1))</f>
        <v>0</v>
      </c>
      <c r="E97">
        <f>IF('10_Analysis_Ready'!$A$80="",0,IF(OR(AND(((OR('10_Analysis_Ready'!$AG$80="YES",'10_Analysis_Ready'!$AH$80="YES"))*1+('10_Analysis_Ready'!$AI$80="YES")+('10_Analysis_Ready'!$AJ$80="YES")+('10_Analysis_Ready'!$AK$80="YES")+('10_Analysis_Ready'!$AL$80="YES"))=0,'10_Analysis_Ready'!$AF$80&lt;&gt;"NONE"),AND(((OR('10_Analysis_Ready'!$AG$80="YES",'10_Analysis_Ready'!$AH$80="YES"))*1+('10_Analysis_Ready'!$AI$80="YES")+('10_Analysis_Ready'!$AJ$80="YES")+('10_Analysis_Ready'!$AK$80="YES")+('10_Analysis_Ready'!$AL$80="YES"))=1,OR('10_Analysis_Ready'!$AF$80="NONE",'10_Analysis_Ready'!$AF$80="MULTIPLE")),AND(((OR('10_Analysis_Ready'!$AG$80="YES",'10_Analysis_Ready'!$AH$80="YES"))*1+('10_Analysis_Ready'!$AI$80="YES")+('10_Analysis_Ready'!$AJ$80="YES")+('10_Analysis_Ready'!$AK$80="YES")+('10_Analysis_Ready'!$AL$80="YES"))&gt;=2,'10_Analysis_Ready'!$AF$80&lt;&gt;"MULTIPLE")),1,0))</f>
        <v>0</v>
      </c>
      <c r="F97">
        <f>IF('10_Analysis_Ready'!$A$80="",0,IF(AND('10_Analysis_Ready'!$AO$80="NO",COUNTIF('10_Analysis_Ready'!$AP$80:$AU$80,"YES")&gt;0),1,0))</f>
        <v>0</v>
      </c>
      <c r="G97">
        <f>IF('10_Analysis_Ready'!$A$80="",0,IF(OR(AND('10_Analysis_Ready'!$Y$80="GAN",'10_Analysis_Ready'!$AA$80="YES"),AND('10_Analysis_Ready'!$Y$80="DIFFUSION",'10_Analysis_Ready'!$Z$80="YES"),AND('10_Analysis_Ready'!$Y$80="GAN+DIFFUSION",OR('10_Analysis_Ready'!$Z$80&lt;&gt;"YES",'10_Analysis_Ready'!$AA$80&lt;&gt;"YES"))),1,0))</f>
        <v>0</v>
      </c>
      <c r="H97">
        <f>IF('10_Analysis_Ready'!$A$80="",0,IF(OR(AND('10_Analysis_Ready'!$BJ$80="NO",OR('10_Analysis_Ready'!$BK$80="HIGH",'10_Analysis_Ready'!$BK$80="VERY HIGH")),AND(((OR('10_Analysis_Ready'!$AG$80="YES",'10_Analysis_Ready'!$AH$80="YES"))*1+('10_Analysis_Ready'!$AI$80="YES")+('10_Analysis_Ready'!$AJ$80="YES")+('10_Analysis_Ready'!$AK$80="YES")+('10_Analysis_Ready'!$AL$80="YES"))=0,'10_Analysis_Ready'!$BJ$80="YES")),1,0))</f>
        <v>0</v>
      </c>
      <c r="I97">
        <f>IF('10_Analysis_Ready'!$A$80="",0,IF(AND(((OR('10_Analysis_Ready'!$AG$80="YES",'10_Analysis_Ready'!$AH$80="YES"))*1+('10_Analysis_Ready'!$AI$80="YES")+('10_Analysis_Ready'!$AJ$80="YES")+('10_Analysis_Ready'!$AK$80="YES")+('10_Analysis_Ready'!$AL$80="YES"))=0,'10_Analysis_Ready'!$AM$80&lt;&gt;"N/A"),1,0))</f>
        <v>0</v>
      </c>
      <c r="J97">
        <f>IF('10_Analysis_Ready'!$A$80="",0,IF(('28_Taxonomy_Coding'!$G$80="NONE")&lt;&gt;(((OR('10_Analysis_Ready'!$AG$80="YES",'10_Analysis_Ready'!$AH$80="YES"))*1+('10_Analysis_Ready'!$AI$80="YES")+('10_Analysis_Ready'!$AJ$80="YES")+('10_Analysis_Ready'!$AK$80="YES")+('10_Analysis_Ready'!$AL$80="YES"))=0),1,0))</f>
        <v>0</v>
      </c>
    </row>
    <row r="98" spans="1:10">
      <c r="A98">
        <v>81</v>
      </c>
      <c r="B98" t="str">
        <f>IF('10_Analysis_Ready'!$A$81="","",'10_Analysis_Ready'!$A$81)</f>
        <v>R0122</v>
      </c>
      <c r="C98">
        <f>IF('10_Analysis_Ready'!$A$81="",0,IF(AND('28_Taxonomy_Coding'!$A$81='10_Analysis_Ready'!$A$81,'14_Generalization_Map'!$A$81='10_Analysis_Ready'!$A$81),0,1))</f>
        <v>0</v>
      </c>
      <c r="D98">
        <f>IF('10_Analysis_Ready'!$A$81="",0,IF(COUNTIFS('06_Full_Text_Screening'!$A:$A,'10_Analysis_Ready'!$A$81,'06_Full_Text_Screening'!$J:$J,"INCLUDE")=1,0,1))</f>
        <v>0</v>
      </c>
      <c r="E98">
        <f>IF('10_Analysis_Ready'!$A$81="",0,IF(OR(AND(((OR('10_Analysis_Ready'!$AG$81="YES",'10_Analysis_Ready'!$AH$81="YES"))*1+('10_Analysis_Ready'!$AI$81="YES")+('10_Analysis_Ready'!$AJ$81="YES")+('10_Analysis_Ready'!$AK$81="YES")+('10_Analysis_Ready'!$AL$81="YES"))=0,'10_Analysis_Ready'!$AF$81&lt;&gt;"NONE"),AND(((OR('10_Analysis_Ready'!$AG$81="YES",'10_Analysis_Ready'!$AH$81="YES"))*1+('10_Analysis_Ready'!$AI$81="YES")+('10_Analysis_Ready'!$AJ$81="YES")+('10_Analysis_Ready'!$AK$81="YES")+('10_Analysis_Ready'!$AL$81="YES"))=1,OR('10_Analysis_Ready'!$AF$81="NONE",'10_Analysis_Ready'!$AF$81="MULTIPLE")),AND(((OR('10_Analysis_Ready'!$AG$81="YES",'10_Analysis_Ready'!$AH$81="YES"))*1+('10_Analysis_Ready'!$AI$81="YES")+('10_Analysis_Ready'!$AJ$81="YES")+('10_Analysis_Ready'!$AK$81="YES")+('10_Analysis_Ready'!$AL$81="YES"))&gt;=2,'10_Analysis_Ready'!$AF$81&lt;&gt;"MULTIPLE")),1,0))</f>
        <v>0</v>
      </c>
      <c r="F98">
        <f>IF('10_Analysis_Ready'!$A$81="",0,IF(AND('10_Analysis_Ready'!$AO$81="NO",COUNTIF('10_Analysis_Ready'!$AP$81:$AU$81,"YES")&gt;0),1,0))</f>
        <v>0</v>
      </c>
      <c r="G98">
        <f>IF('10_Analysis_Ready'!$A$81="",0,IF(OR(AND('10_Analysis_Ready'!$Y$81="GAN",'10_Analysis_Ready'!$AA$81="YES"),AND('10_Analysis_Ready'!$Y$81="DIFFUSION",'10_Analysis_Ready'!$Z$81="YES"),AND('10_Analysis_Ready'!$Y$81="GAN+DIFFUSION",OR('10_Analysis_Ready'!$Z$81&lt;&gt;"YES",'10_Analysis_Ready'!$AA$81&lt;&gt;"YES"))),1,0))</f>
        <v>0</v>
      </c>
      <c r="H98">
        <f>IF('10_Analysis_Ready'!$A$81="",0,IF(OR(AND('10_Analysis_Ready'!$BJ$81="NO",OR('10_Analysis_Ready'!$BK$81="HIGH",'10_Analysis_Ready'!$BK$81="VERY HIGH")),AND(((OR('10_Analysis_Ready'!$AG$81="YES",'10_Analysis_Ready'!$AH$81="YES"))*1+('10_Analysis_Ready'!$AI$81="YES")+('10_Analysis_Ready'!$AJ$81="YES")+('10_Analysis_Ready'!$AK$81="YES")+('10_Analysis_Ready'!$AL$81="YES"))=0,'10_Analysis_Ready'!$BJ$81="YES")),1,0))</f>
        <v>0</v>
      </c>
      <c r="I98">
        <f>IF('10_Analysis_Ready'!$A$81="",0,IF(AND(((OR('10_Analysis_Ready'!$AG$81="YES",'10_Analysis_Ready'!$AH$81="YES"))*1+('10_Analysis_Ready'!$AI$81="YES")+('10_Analysis_Ready'!$AJ$81="YES")+('10_Analysis_Ready'!$AK$81="YES")+('10_Analysis_Ready'!$AL$81="YES"))=0,'10_Analysis_Ready'!$AM$81&lt;&gt;"N/A"),1,0))</f>
        <v>0</v>
      </c>
      <c r="J98">
        <f>IF('10_Analysis_Ready'!$A$81="",0,IF(('28_Taxonomy_Coding'!$G$81="NONE")&lt;&gt;(((OR('10_Analysis_Ready'!$AG$81="YES",'10_Analysis_Ready'!$AH$81="YES"))*1+('10_Analysis_Ready'!$AI$81="YES")+('10_Analysis_Ready'!$AJ$81="YES")+('10_Analysis_Ready'!$AK$81="YES")+('10_Analysis_Ready'!$AL$81="YES"))=0),1,0))</f>
        <v>0</v>
      </c>
    </row>
    <row r="99" spans="1:10">
      <c r="A99">
        <v>82</v>
      </c>
      <c r="B99" t="str">
        <f>IF('10_Analysis_Ready'!$A$82="","",'10_Analysis_Ready'!$A$82)</f>
        <v>R0126</v>
      </c>
      <c r="C99">
        <f>IF('10_Analysis_Ready'!$A$82="",0,IF(AND('28_Taxonomy_Coding'!$A$82='10_Analysis_Ready'!$A$82,'14_Generalization_Map'!$A$82='10_Analysis_Ready'!$A$82),0,1))</f>
        <v>0</v>
      </c>
      <c r="D99">
        <f>IF('10_Analysis_Ready'!$A$82="",0,IF(COUNTIFS('06_Full_Text_Screening'!$A:$A,'10_Analysis_Ready'!$A$82,'06_Full_Text_Screening'!$J:$J,"INCLUDE")=1,0,1))</f>
        <v>0</v>
      </c>
      <c r="E99">
        <f>IF('10_Analysis_Ready'!$A$82="",0,IF(OR(AND(((OR('10_Analysis_Ready'!$AG$82="YES",'10_Analysis_Ready'!$AH$82="YES"))*1+('10_Analysis_Ready'!$AI$82="YES")+('10_Analysis_Ready'!$AJ$82="YES")+('10_Analysis_Ready'!$AK$82="YES")+('10_Analysis_Ready'!$AL$82="YES"))=0,'10_Analysis_Ready'!$AF$82&lt;&gt;"NONE"),AND(((OR('10_Analysis_Ready'!$AG$82="YES",'10_Analysis_Ready'!$AH$82="YES"))*1+('10_Analysis_Ready'!$AI$82="YES")+('10_Analysis_Ready'!$AJ$82="YES")+('10_Analysis_Ready'!$AK$82="YES")+('10_Analysis_Ready'!$AL$82="YES"))=1,OR('10_Analysis_Ready'!$AF$82="NONE",'10_Analysis_Ready'!$AF$82="MULTIPLE")),AND(((OR('10_Analysis_Ready'!$AG$82="YES",'10_Analysis_Ready'!$AH$82="YES"))*1+('10_Analysis_Ready'!$AI$82="YES")+('10_Analysis_Ready'!$AJ$82="YES")+('10_Analysis_Ready'!$AK$82="YES")+('10_Analysis_Ready'!$AL$82="YES"))&gt;=2,'10_Analysis_Ready'!$AF$82&lt;&gt;"MULTIPLE")),1,0))</f>
        <v>0</v>
      </c>
      <c r="F99">
        <f>IF('10_Analysis_Ready'!$A$82="",0,IF(AND('10_Analysis_Ready'!$AO$82="NO",COUNTIF('10_Analysis_Ready'!$AP$82:$AU$82,"YES")&gt;0),1,0))</f>
        <v>0</v>
      </c>
      <c r="G99">
        <f>IF('10_Analysis_Ready'!$A$82="",0,IF(OR(AND('10_Analysis_Ready'!$Y$82="GAN",'10_Analysis_Ready'!$AA$82="YES"),AND('10_Analysis_Ready'!$Y$82="DIFFUSION",'10_Analysis_Ready'!$Z$82="YES"),AND('10_Analysis_Ready'!$Y$82="GAN+DIFFUSION",OR('10_Analysis_Ready'!$Z$82&lt;&gt;"YES",'10_Analysis_Ready'!$AA$82&lt;&gt;"YES"))),1,0))</f>
        <v>0</v>
      </c>
      <c r="H99">
        <f>IF('10_Analysis_Ready'!$A$82="",0,IF(OR(AND('10_Analysis_Ready'!$BJ$82="NO",OR('10_Analysis_Ready'!$BK$82="HIGH",'10_Analysis_Ready'!$BK$82="VERY HIGH")),AND(((OR('10_Analysis_Ready'!$AG$82="YES",'10_Analysis_Ready'!$AH$82="YES"))*1+('10_Analysis_Ready'!$AI$82="YES")+('10_Analysis_Ready'!$AJ$82="YES")+('10_Analysis_Ready'!$AK$82="YES")+('10_Analysis_Ready'!$AL$82="YES"))=0,'10_Analysis_Ready'!$BJ$82="YES")),1,0))</f>
        <v>0</v>
      </c>
      <c r="I99">
        <f>IF('10_Analysis_Ready'!$A$82="",0,IF(AND(((OR('10_Analysis_Ready'!$AG$82="YES",'10_Analysis_Ready'!$AH$82="YES"))*1+('10_Analysis_Ready'!$AI$82="YES")+('10_Analysis_Ready'!$AJ$82="YES")+('10_Analysis_Ready'!$AK$82="YES")+('10_Analysis_Ready'!$AL$82="YES"))=0,'10_Analysis_Ready'!$AM$82&lt;&gt;"N/A"),1,0))</f>
        <v>0</v>
      </c>
      <c r="J99">
        <f>IF('10_Analysis_Ready'!$A$82="",0,IF(('28_Taxonomy_Coding'!$G$82="NONE")&lt;&gt;(((OR('10_Analysis_Ready'!$AG$82="YES",'10_Analysis_Ready'!$AH$82="YES"))*1+('10_Analysis_Ready'!$AI$82="YES")+('10_Analysis_Ready'!$AJ$82="YES")+('10_Analysis_Ready'!$AK$82="YES")+('10_Analysis_Ready'!$AL$82="YES"))=0),1,0))</f>
        <v>0</v>
      </c>
    </row>
    <row r="100" spans="1:10">
      <c r="A100">
        <v>83</v>
      </c>
      <c r="B100" t="str">
        <f>IF('10_Analysis_Ready'!$A$83="","",'10_Analysis_Ready'!$A$83)</f>
        <v>R0128</v>
      </c>
      <c r="C100">
        <f>IF('10_Analysis_Ready'!$A$83="",0,IF(AND('28_Taxonomy_Coding'!$A$83='10_Analysis_Ready'!$A$83,'14_Generalization_Map'!$A$83='10_Analysis_Ready'!$A$83),0,1))</f>
        <v>0</v>
      </c>
      <c r="D100">
        <f>IF('10_Analysis_Ready'!$A$83="",0,IF(COUNTIFS('06_Full_Text_Screening'!$A:$A,'10_Analysis_Ready'!$A$83,'06_Full_Text_Screening'!$J:$J,"INCLUDE")=1,0,1))</f>
        <v>0</v>
      </c>
      <c r="E100">
        <f>IF('10_Analysis_Ready'!$A$83="",0,IF(OR(AND(((OR('10_Analysis_Ready'!$AG$83="YES",'10_Analysis_Ready'!$AH$83="YES"))*1+('10_Analysis_Ready'!$AI$83="YES")+('10_Analysis_Ready'!$AJ$83="YES")+('10_Analysis_Ready'!$AK$83="YES")+('10_Analysis_Ready'!$AL$83="YES"))=0,'10_Analysis_Ready'!$AF$83&lt;&gt;"NONE"),AND(((OR('10_Analysis_Ready'!$AG$83="YES",'10_Analysis_Ready'!$AH$83="YES"))*1+('10_Analysis_Ready'!$AI$83="YES")+('10_Analysis_Ready'!$AJ$83="YES")+('10_Analysis_Ready'!$AK$83="YES")+('10_Analysis_Ready'!$AL$83="YES"))=1,OR('10_Analysis_Ready'!$AF$83="NONE",'10_Analysis_Ready'!$AF$83="MULTIPLE")),AND(((OR('10_Analysis_Ready'!$AG$83="YES",'10_Analysis_Ready'!$AH$83="YES"))*1+('10_Analysis_Ready'!$AI$83="YES")+('10_Analysis_Ready'!$AJ$83="YES")+('10_Analysis_Ready'!$AK$83="YES")+('10_Analysis_Ready'!$AL$83="YES"))&gt;=2,'10_Analysis_Ready'!$AF$83&lt;&gt;"MULTIPLE")),1,0))</f>
        <v>0</v>
      </c>
      <c r="F100">
        <f>IF('10_Analysis_Ready'!$A$83="",0,IF(AND('10_Analysis_Ready'!$AO$83="NO",COUNTIF('10_Analysis_Ready'!$AP$83:$AU$83,"YES")&gt;0),1,0))</f>
        <v>0</v>
      </c>
      <c r="G100">
        <f>IF('10_Analysis_Ready'!$A$83="",0,IF(OR(AND('10_Analysis_Ready'!$Y$83="GAN",'10_Analysis_Ready'!$AA$83="YES"),AND('10_Analysis_Ready'!$Y$83="DIFFUSION",'10_Analysis_Ready'!$Z$83="YES"),AND('10_Analysis_Ready'!$Y$83="GAN+DIFFUSION",OR('10_Analysis_Ready'!$Z$83&lt;&gt;"YES",'10_Analysis_Ready'!$AA$83&lt;&gt;"YES"))),1,0))</f>
        <v>0</v>
      </c>
      <c r="H100">
        <f>IF('10_Analysis_Ready'!$A$83="",0,IF(OR(AND('10_Analysis_Ready'!$BJ$83="NO",OR('10_Analysis_Ready'!$BK$83="HIGH",'10_Analysis_Ready'!$BK$83="VERY HIGH")),AND(((OR('10_Analysis_Ready'!$AG$83="YES",'10_Analysis_Ready'!$AH$83="YES"))*1+('10_Analysis_Ready'!$AI$83="YES")+('10_Analysis_Ready'!$AJ$83="YES")+('10_Analysis_Ready'!$AK$83="YES")+('10_Analysis_Ready'!$AL$83="YES"))=0,'10_Analysis_Ready'!$BJ$83="YES")),1,0))</f>
        <v>0</v>
      </c>
      <c r="I100">
        <f>IF('10_Analysis_Ready'!$A$83="",0,IF(AND(((OR('10_Analysis_Ready'!$AG$83="YES",'10_Analysis_Ready'!$AH$83="YES"))*1+('10_Analysis_Ready'!$AI$83="YES")+('10_Analysis_Ready'!$AJ$83="YES")+('10_Analysis_Ready'!$AK$83="YES")+('10_Analysis_Ready'!$AL$83="YES"))=0,'10_Analysis_Ready'!$AM$83&lt;&gt;"N/A"),1,0))</f>
        <v>0</v>
      </c>
      <c r="J100">
        <f>IF('10_Analysis_Ready'!$A$83="",0,IF(('28_Taxonomy_Coding'!$G$83="NONE")&lt;&gt;(((OR('10_Analysis_Ready'!$AG$83="YES",'10_Analysis_Ready'!$AH$83="YES"))*1+('10_Analysis_Ready'!$AI$83="YES")+('10_Analysis_Ready'!$AJ$83="YES")+('10_Analysis_Ready'!$AK$83="YES")+('10_Analysis_Ready'!$AL$83="YES"))=0),1,0))</f>
        <v>0</v>
      </c>
    </row>
    <row r="101" spans="1:10">
      <c r="A101">
        <v>84</v>
      </c>
      <c r="B101" t="str">
        <f>IF('10_Analysis_Ready'!$A$84="","",'10_Analysis_Ready'!$A$84)</f>
        <v>R0131</v>
      </c>
      <c r="C101">
        <f>IF('10_Analysis_Ready'!$A$84="",0,IF(AND('28_Taxonomy_Coding'!$A$84='10_Analysis_Ready'!$A$84,'14_Generalization_Map'!$A$84='10_Analysis_Ready'!$A$84),0,1))</f>
        <v>0</v>
      </c>
      <c r="D101">
        <f>IF('10_Analysis_Ready'!$A$84="",0,IF(COUNTIFS('06_Full_Text_Screening'!$A:$A,'10_Analysis_Ready'!$A$84,'06_Full_Text_Screening'!$J:$J,"INCLUDE")=1,0,1))</f>
        <v>0</v>
      </c>
      <c r="E101">
        <f>IF('10_Analysis_Ready'!$A$84="",0,IF(OR(AND(((OR('10_Analysis_Ready'!$AG$84="YES",'10_Analysis_Ready'!$AH$84="YES"))*1+('10_Analysis_Ready'!$AI$84="YES")+('10_Analysis_Ready'!$AJ$84="YES")+('10_Analysis_Ready'!$AK$84="YES")+('10_Analysis_Ready'!$AL$84="YES"))=0,'10_Analysis_Ready'!$AF$84&lt;&gt;"NONE"),AND(((OR('10_Analysis_Ready'!$AG$84="YES",'10_Analysis_Ready'!$AH$84="YES"))*1+('10_Analysis_Ready'!$AI$84="YES")+('10_Analysis_Ready'!$AJ$84="YES")+('10_Analysis_Ready'!$AK$84="YES")+('10_Analysis_Ready'!$AL$84="YES"))=1,OR('10_Analysis_Ready'!$AF$84="NONE",'10_Analysis_Ready'!$AF$84="MULTIPLE")),AND(((OR('10_Analysis_Ready'!$AG$84="YES",'10_Analysis_Ready'!$AH$84="YES"))*1+('10_Analysis_Ready'!$AI$84="YES")+('10_Analysis_Ready'!$AJ$84="YES")+('10_Analysis_Ready'!$AK$84="YES")+('10_Analysis_Ready'!$AL$84="YES"))&gt;=2,'10_Analysis_Ready'!$AF$84&lt;&gt;"MULTIPLE")),1,0))</f>
        <v>0</v>
      </c>
      <c r="F101">
        <f>IF('10_Analysis_Ready'!$A$84="",0,IF(AND('10_Analysis_Ready'!$AO$84="NO",COUNTIF('10_Analysis_Ready'!$AP$84:$AU$84,"YES")&gt;0),1,0))</f>
        <v>0</v>
      </c>
      <c r="G101">
        <f>IF('10_Analysis_Ready'!$A$84="",0,IF(OR(AND('10_Analysis_Ready'!$Y$84="GAN",'10_Analysis_Ready'!$AA$84="YES"),AND('10_Analysis_Ready'!$Y$84="DIFFUSION",'10_Analysis_Ready'!$Z$84="YES"),AND('10_Analysis_Ready'!$Y$84="GAN+DIFFUSION",OR('10_Analysis_Ready'!$Z$84&lt;&gt;"YES",'10_Analysis_Ready'!$AA$84&lt;&gt;"YES"))),1,0))</f>
        <v>0</v>
      </c>
      <c r="H101">
        <f>IF('10_Analysis_Ready'!$A$84="",0,IF(OR(AND('10_Analysis_Ready'!$BJ$84="NO",OR('10_Analysis_Ready'!$BK$84="HIGH",'10_Analysis_Ready'!$BK$84="VERY HIGH")),AND(((OR('10_Analysis_Ready'!$AG$84="YES",'10_Analysis_Ready'!$AH$84="YES"))*1+('10_Analysis_Ready'!$AI$84="YES")+('10_Analysis_Ready'!$AJ$84="YES")+('10_Analysis_Ready'!$AK$84="YES")+('10_Analysis_Ready'!$AL$84="YES"))=0,'10_Analysis_Ready'!$BJ$84="YES")),1,0))</f>
        <v>0</v>
      </c>
      <c r="I101">
        <f>IF('10_Analysis_Ready'!$A$84="",0,IF(AND(((OR('10_Analysis_Ready'!$AG$84="YES",'10_Analysis_Ready'!$AH$84="YES"))*1+('10_Analysis_Ready'!$AI$84="YES")+('10_Analysis_Ready'!$AJ$84="YES")+('10_Analysis_Ready'!$AK$84="YES")+('10_Analysis_Ready'!$AL$84="YES"))=0,'10_Analysis_Ready'!$AM$84&lt;&gt;"N/A"),1,0))</f>
        <v>0</v>
      </c>
      <c r="J101">
        <f>IF('10_Analysis_Ready'!$A$84="",0,IF(('28_Taxonomy_Coding'!$G$84="NONE")&lt;&gt;(((OR('10_Analysis_Ready'!$AG$84="YES",'10_Analysis_Ready'!$AH$84="YES"))*1+('10_Analysis_Ready'!$AI$84="YES")+('10_Analysis_Ready'!$AJ$84="YES")+('10_Analysis_Ready'!$AK$84="YES")+('10_Analysis_Ready'!$AL$84="YES"))=0),1,0))</f>
        <v>0</v>
      </c>
    </row>
    <row r="102" spans="1:10">
      <c r="A102">
        <v>85</v>
      </c>
      <c r="B102" t="str">
        <f>IF('10_Analysis_Ready'!$A$85="","",'10_Analysis_Ready'!$A$85)</f>
        <v>R0133</v>
      </c>
      <c r="C102">
        <f>IF('10_Analysis_Ready'!$A$85="",0,IF(AND('28_Taxonomy_Coding'!$A$85='10_Analysis_Ready'!$A$85,'14_Generalization_Map'!$A$85='10_Analysis_Ready'!$A$85),0,1))</f>
        <v>0</v>
      </c>
      <c r="D102">
        <f>IF('10_Analysis_Ready'!$A$85="",0,IF(COUNTIFS('06_Full_Text_Screening'!$A:$A,'10_Analysis_Ready'!$A$85,'06_Full_Text_Screening'!$J:$J,"INCLUDE")=1,0,1))</f>
        <v>0</v>
      </c>
      <c r="E102">
        <f>IF('10_Analysis_Ready'!$A$85="",0,IF(OR(AND(((OR('10_Analysis_Ready'!$AG$85="YES",'10_Analysis_Ready'!$AH$85="YES"))*1+('10_Analysis_Ready'!$AI$85="YES")+('10_Analysis_Ready'!$AJ$85="YES")+('10_Analysis_Ready'!$AK$85="YES")+('10_Analysis_Ready'!$AL$85="YES"))=0,'10_Analysis_Ready'!$AF$85&lt;&gt;"NONE"),AND(((OR('10_Analysis_Ready'!$AG$85="YES",'10_Analysis_Ready'!$AH$85="YES"))*1+('10_Analysis_Ready'!$AI$85="YES")+('10_Analysis_Ready'!$AJ$85="YES")+('10_Analysis_Ready'!$AK$85="YES")+('10_Analysis_Ready'!$AL$85="YES"))=1,OR('10_Analysis_Ready'!$AF$85="NONE",'10_Analysis_Ready'!$AF$85="MULTIPLE")),AND(((OR('10_Analysis_Ready'!$AG$85="YES",'10_Analysis_Ready'!$AH$85="YES"))*1+('10_Analysis_Ready'!$AI$85="YES")+('10_Analysis_Ready'!$AJ$85="YES")+('10_Analysis_Ready'!$AK$85="YES")+('10_Analysis_Ready'!$AL$85="YES"))&gt;=2,'10_Analysis_Ready'!$AF$85&lt;&gt;"MULTIPLE")),1,0))</f>
        <v>0</v>
      </c>
      <c r="F102">
        <f>IF('10_Analysis_Ready'!$A$85="",0,IF(AND('10_Analysis_Ready'!$AO$85="NO",COUNTIF('10_Analysis_Ready'!$AP$85:$AU$85,"YES")&gt;0),1,0))</f>
        <v>0</v>
      </c>
      <c r="G102">
        <f>IF('10_Analysis_Ready'!$A$85="",0,IF(OR(AND('10_Analysis_Ready'!$Y$85="GAN",'10_Analysis_Ready'!$AA$85="YES"),AND('10_Analysis_Ready'!$Y$85="DIFFUSION",'10_Analysis_Ready'!$Z$85="YES"),AND('10_Analysis_Ready'!$Y$85="GAN+DIFFUSION",OR('10_Analysis_Ready'!$Z$85&lt;&gt;"YES",'10_Analysis_Ready'!$AA$85&lt;&gt;"YES"))),1,0))</f>
        <v>0</v>
      </c>
      <c r="H102">
        <f>IF('10_Analysis_Ready'!$A$85="",0,IF(OR(AND('10_Analysis_Ready'!$BJ$85="NO",OR('10_Analysis_Ready'!$BK$85="HIGH",'10_Analysis_Ready'!$BK$85="VERY HIGH")),AND(((OR('10_Analysis_Ready'!$AG$85="YES",'10_Analysis_Ready'!$AH$85="YES"))*1+('10_Analysis_Ready'!$AI$85="YES")+('10_Analysis_Ready'!$AJ$85="YES")+('10_Analysis_Ready'!$AK$85="YES")+('10_Analysis_Ready'!$AL$85="YES"))=0,'10_Analysis_Ready'!$BJ$85="YES")),1,0))</f>
        <v>0</v>
      </c>
      <c r="I102">
        <f>IF('10_Analysis_Ready'!$A$85="",0,IF(AND(((OR('10_Analysis_Ready'!$AG$85="YES",'10_Analysis_Ready'!$AH$85="YES"))*1+('10_Analysis_Ready'!$AI$85="YES")+('10_Analysis_Ready'!$AJ$85="YES")+('10_Analysis_Ready'!$AK$85="YES")+('10_Analysis_Ready'!$AL$85="YES"))=0,'10_Analysis_Ready'!$AM$85&lt;&gt;"N/A"),1,0))</f>
        <v>0</v>
      </c>
      <c r="J102">
        <f>IF('10_Analysis_Ready'!$A$85="",0,IF(('28_Taxonomy_Coding'!$G$85="NONE")&lt;&gt;(((OR('10_Analysis_Ready'!$AG$85="YES",'10_Analysis_Ready'!$AH$85="YES"))*1+('10_Analysis_Ready'!$AI$85="YES")+('10_Analysis_Ready'!$AJ$85="YES")+('10_Analysis_Ready'!$AK$85="YES")+('10_Analysis_Ready'!$AL$85="YES"))=0),1,0))</f>
        <v>0</v>
      </c>
    </row>
    <row r="103" spans="1:10">
      <c r="A103">
        <v>86</v>
      </c>
      <c r="B103" t="str">
        <f>IF('10_Analysis_Ready'!$A$86="","",'10_Analysis_Ready'!$A$86)</f>
        <v>R0135</v>
      </c>
      <c r="C103">
        <f>IF('10_Analysis_Ready'!$A$86="",0,IF(AND('28_Taxonomy_Coding'!$A$86='10_Analysis_Ready'!$A$86,'14_Generalization_Map'!$A$86='10_Analysis_Ready'!$A$86),0,1))</f>
        <v>0</v>
      </c>
      <c r="D103">
        <f>IF('10_Analysis_Ready'!$A$86="",0,IF(COUNTIFS('06_Full_Text_Screening'!$A:$A,'10_Analysis_Ready'!$A$86,'06_Full_Text_Screening'!$J:$J,"INCLUDE")=1,0,1))</f>
        <v>0</v>
      </c>
      <c r="E103">
        <f>IF('10_Analysis_Ready'!$A$86="",0,IF(OR(AND(((OR('10_Analysis_Ready'!$AG$86="YES",'10_Analysis_Ready'!$AH$86="YES"))*1+('10_Analysis_Ready'!$AI$86="YES")+('10_Analysis_Ready'!$AJ$86="YES")+('10_Analysis_Ready'!$AK$86="YES")+('10_Analysis_Ready'!$AL$86="YES"))=0,'10_Analysis_Ready'!$AF$86&lt;&gt;"NONE"),AND(((OR('10_Analysis_Ready'!$AG$86="YES",'10_Analysis_Ready'!$AH$86="YES"))*1+('10_Analysis_Ready'!$AI$86="YES")+('10_Analysis_Ready'!$AJ$86="YES")+('10_Analysis_Ready'!$AK$86="YES")+('10_Analysis_Ready'!$AL$86="YES"))=1,OR('10_Analysis_Ready'!$AF$86="NONE",'10_Analysis_Ready'!$AF$86="MULTIPLE")),AND(((OR('10_Analysis_Ready'!$AG$86="YES",'10_Analysis_Ready'!$AH$86="YES"))*1+('10_Analysis_Ready'!$AI$86="YES")+('10_Analysis_Ready'!$AJ$86="YES")+('10_Analysis_Ready'!$AK$86="YES")+('10_Analysis_Ready'!$AL$86="YES"))&gt;=2,'10_Analysis_Ready'!$AF$86&lt;&gt;"MULTIPLE")),1,0))</f>
        <v>0</v>
      </c>
      <c r="F103">
        <f>IF('10_Analysis_Ready'!$A$86="",0,IF(AND('10_Analysis_Ready'!$AO$86="NO",COUNTIF('10_Analysis_Ready'!$AP$86:$AU$86,"YES")&gt;0),1,0))</f>
        <v>0</v>
      </c>
      <c r="G103">
        <f>IF('10_Analysis_Ready'!$A$86="",0,IF(OR(AND('10_Analysis_Ready'!$Y$86="GAN",'10_Analysis_Ready'!$AA$86="YES"),AND('10_Analysis_Ready'!$Y$86="DIFFUSION",'10_Analysis_Ready'!$Z$86="YES"),AND('10_Analysis_Ready'!$Y$86="GAN+DIFFUSION",OR('10_Analysis_Ready'!$Z$86&lt;&gt;"YES",'10_Analysis_Ready'!$AA$86&lt;&gt;"YES"))),1,0))</f>
        <v>0</v>
      </c>
      <c r="H103">
        <f>IF('10_Analysis_Ready'!$A$86="",0,IF(OR(AND('10_Analysis_Ready'!$BJ$86="NO",OR('10_Analysis_Ready'!$BK$86="HIGH",'10_Analysis_Ready'!$BK$86="VERY HIGH")),AND(((OR('10_Analysis_Ready'!$AG$86="YES",'10_Analysis_Ready'!$AH$86="YES"))*1+('10_Analysis_Ready'!$AI$86="YES")+('10_Analysis_Ready'!$AJ$86="YES")+('10_Analysis_Ready'!$AK$86="YES")+('10_Analysis_Ready'!$AL$86="YES"))=0,'10_Analysis_Ready'!$BJ$86="YES")),1,0))</f>
        <v>0</v>
      </c>
      <c r="I103">
        <f>IF('10_Analysis_Ready'!$A$86="",0,IF(AND(((OR('10_Analysis_Ready'!$AG$86="YES",'10_Analysis_Ready'!$AH$86="YES"))*1+('10_Analysis_Ready'!$AI$86="YES")+('10_Analysis_Ready'!$AJ$86="YES")+('10_Analysis_Ready'!$AK$86="YES")+('10_Analysis_Ready'!$AL$86="YES"))=0,'10_Analysis_Ready'!$AM$86&lt;&gt;"N/A"),1,0))</f>
        <v>0</v>
      </c>
      <c r="J103">
        <f>IF('10_Analysis_Ready'!$A$86="",0,IF(('28_Taxonomy_Coding'!$G$86="NONE")&lt;&gt;(((OR('10_Analysis_Ready'!$AG$86="YES",'10_Analysis_Ready'!$AH$86="YES"))*1+('10_Analysis_Ready'!$AI$86="YES")+('10_Analysis_Ready'!$AJ$86="YES")+('10_Analysis_Ready'!$AK$86="YES")+('10_Analysis_Ready'!$AL$86="YES"))=0),1,0))</f>
        <v>0</v>
      </c>
    </row>
    <row r="104" spans="1:10">
      <c r="A104">
        <v>87</v>
      </c>
      <c r="B104" t="str">
        <f>IF('10_Analysis_Ready'!$A$87="","",'10_Analysis_Ready'!$A$87)</f>
        <v>R0136</v>
      </c>
      <c r="C104">
        <f>IF('10_Analysis_Ready'!$A$87="",0,IF(AND('28_Taxonomy_Coding'!$A$87='10_Analysis_Ready'!$A$87,'14_Generalization_Map'!$A$87='10_Analysis_Ready'!$A$87),0,1))</f>
        <v>0</v>
      </c>
      <c r="D104">
        <f>IF('10_Analysis_Ready'!$A$87="",0,IF(COUNTIFS('06_Full_Text_Screening'!$A:$A,'10_Analysis_Ready'!$A$87,'06_Full_Text_Screening'!$J:$J,"INCLUDE")=1,0,1))</f>
        <v>0</v>
      </c>
      <c r="E104">
        <f>IF('10_Analysis_Ready'!$A$87="",0,IF(OR(AND(((OR('10_Analysis_Ready'!$AG$87="YES",'10_Analysis_Ready'!$AH$87="YES"))*1+('10_Analysis_Ready'!$AI$87="YES")+('10_Analysis_Ready'!$AJ$87="YES")+('10_Analysis_Ready'!$AK$87="YES")+('10_Analysis_Ready'!$AL$87="YES"))=0,'10_Analysis_Ready'!$AF$87&lt;&gt;"NONE"),AND(((OR('10_Analysis_Ready'!$AG$87="YES",'10_Analysis_Ready'!$AH$87="YES"))*1+('10_Analysis_Ready'!$AI$87="YES")+('10_Analysis_Ready'!$AJ$87="YES")+('10_Analysis_Ready'!$AK$87="YES")+('10_Analysis_Ready'!$AL$87="YES"))=1,OR('10_Analysis_Ready'!$AF$87="NONE",'10_Analysis_Ready'!$AF$87="MULTIPLE")),AND(((OR('10_Analysis_Ready'!$AG$87="YES",'10_Analysis_Ready'!$AH$87="YES"))*1+('10_Analysis_Ready'!$AI$87="YES")+('10_Analysis_Ready'!$AJ$87="YES")+('10_Analysis_Ready'!$AK$87="YES")+('10_Analysis_Ready'!$AL$87="YES"))&gt;=2,'10_Analysis_Ready'!$AF$87&lt;&gt;"MULTIPLE")),1,0))</f>
        <v>0</v>
      </c>
      <c r="F104">
        <f>IF('10_Analysis_Ready'!$A$87="",0,IF(AND('10_Analysis_Ready'!$AO$87="NO",COUNTIF('10_Analysis_Ready'!$AP$87:$AU$87,"YES")&gt;0),1,0))</f>
        <v>0</v>
      </c>
      <c r="G104">
        <f>IF('10_Analysis_Ready'!$A$87="",0,IF(OR(AND('10_Analysis_Ready'!$Y$87="GAN",'10_Analysis_Ready'!$AA$87="YES"),AND('10_Analysis_Ready'!$Y$87="DIFFUSION",'10_Analysis_Ready'!$Z$87="YES"),AND('10_Analysis_Ready'!$Y$87="GAN+DIFFUSION",OR('10_Analysis_Ready'!$Z$87&lt;&gt;"YES",'10_Analysis_Ready'!$AA$87&lt;&gt;"YES"))),1,0))</f>
        <v>0</v>
      </c>
      <c r="H104">
        <f>IF('10_Analysis_Ready'!$A$87="",0,IF(OR(AND('10_Analysis_Ready'!$BJ$87="NO",OR('10_Analysis_Ready'!$BK$87="HIGH",'10_Analysis_Ready'!$BK$87="VERY HIGH")),AND(((OR('10_Analysis_Ready'!$AG$87="YES",'10_Analysis_Ready'!$AH$87="YES"))*1+('10_Analysis_Ready'!$AI$87="YES")+('10_Analysis_Ready'!$AJ$87="YES")+('10_Analysis_Ready'!$AK$87="YES")+('10_Analysis_Ready'!$AL$87="YES"))=0,'10_Analysis_Ready'!$BJ$87="YES")),1,0))</f>
        <v>0</v>
      </c>
      <c r="I104">
        <f>IF('10_Analysis_Ready'!$A$87="",0,IF(AND(((OR('10_Analysis_Ready'!$AG$87="YES",'10_Analysis_Ready'!$AH$87="YES"))*1+('10_Analysis_Ready'!$AI$87="YES")+('10_Analysis_Ready'!$AJ$87="YES")+('10_Analysis_Ready'!$AK$87="YES")+('10_Analysis_Ready'!$AL$87="YES"))=0,'10_Analysis_Ready'!$AM$87&lt;&gt;"N/A"),1,0))</f>
        <v>0</v>
      </c>
      <c r="J104">
        <f>IF('10_Analysis_Ready'!$A$87="",0,IF(('28_Taxonomy_Coding'!$G$87="NONE")&lt;&gt;(((OR('10_Analysis_Ready'!$AG$87="YES",'10_Analysis_Ready'!$AH$87="YES"))*1+('10_Analysis_Ready'!$AI$87="YES")+('10_Analysis_Ready'!$AJ$87="YES")+('10_Analysis_Ready'!$AK$87="YES")+('10_Analysis_Ready'!$AL$87="YES"))=0),1,0))</f>
        <v>0</v>
      </c>
    </row>
    <row r="105" spans="1:10">
      <c r="A105">
        <v>88</v>
      </c>
      <c r="B105" t="str">
        <f>IF('10_Analysis_Ready'!$A$88="","",'10_Analysis_Ready'!$A$88)</f>
        <v>R0144</v>
      </c>
      <c r="C105">
        <f>IF('10_Analysis_Ready'!$A$88="",0,IF(AND('28_Taxonomy_Coding'!$A$88='10_Analysis_Ready'!$A$88,'14_Generalization_Map'!$A$88='10_Analysis_Ready'!$A$88),0,1))</f>
        <v>0</v>
      </c>
      <c r="D105">
        <f>IF('10_Analysis_Ready'!$A$88="",0,IF(COUNTIFS('06_Full_Text_Screening'!$A:$A,'10_Analysis_Ready'!$A$88,'06_Full_Text_Screening'!$J:$J,"INCLUDE")=1,0,1))</f>
        <v>0</v>
      </c>
      <c r="E105">
        <f>IF('10_Analysis_Ready'!$A$88="",0,IF(OR(AND(((OR('10_Analysis_Ready'!$AG$88="YES",'10_Analysis_Ready'!$AH$88="YES"))*1+('10_Analysis_Ready'!$AI$88="YES")+('10_Analysis_Ready'!$AJ$88="YES")+('10_Analysis_Ready'!$AK$88="YES")+('10_Analysis_Ready'!$AL$88="YES"))=0,'10_Analysis_Ready'!$AF$88&lt;&gt;"NONE"),AND(((OR('10_Analysis_Ready'!$AG$88="YES",'10_Analysis_Ready'!$AH$88="YES"))*1+('10_Analysis_Ready'!$AI$88="YES")+('10_Analysis_Ready'!$AJ$88="YES")+('10_Analysis_Ready'!$AK$88="YES")+('10_Analysis_Ready'!$AL$88="YES"))=1,OR('10_Analysis_Ready'!$AF$88="NONE",'10_Analysis_Ready'!$AF$88="MULTIPLE")),AND(((OR('10_Analysis_Ready'!$AG$88="YES",'10_Analysis_Ready'!$AH$88="YES"))*1+('10_Analysis_Ready'!$AI$88="YES")+('10_Analysis_Ready'!$AJ$88="YES")+('10_Analysis_Ready'!$AK$88="YES")+('10_Analysis_Ready'!$AL$88="YES"))&gt;=2,'10_Analysis_Ready'!$AF$88&lt;&gt;"MULTIPLE")),1,0))</f>
        <v>0</v>
      </c>
      <c r="F105">
        <f>IF('10_Analysis_Ready'!$A$88="",0,IF(AND('10_Analysis_Ready'!$AO$88="NO",COUNTIF('10_Analysis_Ready'!$AP$88:$AU$88,"YES")&gt;0),1,0))</f>
        <v>0</v>
      </c>
      <c r="G105">
        <f>IF('10_Analysis_Ready'!$A$88="",0,IF(OR(AND('10_Analysis_Ready'!$Y$88="GAN",'10_Analysis_Ready'!$AA$88="YES"),AND('10_Analysis_Ready'!$Y$88="DIFFUSION",'10_Analysis_Ready'!$Z$88="YES"),AND('10_Analysis_Ready'!$Y$88="GAN+DIFFUSION",OR('10_Analysis_Ready'!$Z$88&lt;&gt;"YES",'10_Analysis_Ready'!$AA$88&lt;&gt;"YES"))),1,0))</f>
        <v>0</v>
      </c>
      <c r="H105">
        <f>IF('10_Analysis_Ready'!$A$88="",0,IF(OR(AND('10_Analysis_Ready'!$BJ$88="NO",OR('10_Analysis_Ready'!$BK$88="HIGH",'10_Analysis_Ready'!$BK$88="VERY HIGH")),AND(((OR('10_Analysis_Ready'!$AG$88="YES",'10_Analysis_Ready'!$AH$88="YES"))*1+('10_Analysis_Ready'!$AI$88="YES")+('10_Analysis_Ready'!$AJ$88="YES")+('10_Analysis_Ready'!$AK$88="YES")+('10_Analysis_Ready'!$AL$88="YES"))=0,'10_Analysis_Ready'!$BJ$88="YES")),1,0))</f>
        <v>0</v>
      </c>
      <c r="I105">
        <f>IF('10_Analysis_Ready'!$A$88="",0,IF(AND(((OR('10_Analysis_Ready'!$AG$88="YES",'10_Analysis_Ready'!$AH$88="YES"))*1+('10_Analysis_Ready'!$AI$88="YES")+('10_Analysis_Ready'!$AJ$88="YES")+('10_Analysis_Ready'!$AK$88="YES")+('10_Analysis_Ready'!$AL$88="YES"))=0,'10_Analysis_Ready'!$AM$88&lt;&gt;"N/A"),1,0))</f>
        <v>0</v>
      </c>
      <c r="J105">
        <f>IF('10_Analysis_Ready'!$A$88="",0,IF(('28_Taxonomy_Coding'!$G$88="NONE")&lt;&gt;(((OR('10_Analysis_Ready'!$AG$88="YES",'10_Analysis_Ready'!$AH$88="YES"))*1+('10_Analysis_Ready'!$AI$88="YES")+('10_Analysis_Ready'!$AJ$88="YES")+('10_Analysis_Ready'!$AK$88="YES")+('10_Analysis_Ready'!$AL$88="YES"))=0),1,0))</f>
        <v>0</v>
      </c>
    </row>
    <row r="106" spans="1:10">
      <c r="A106">
        <v>89</v>
      </c>
      <c r="B106" t="str">
        <f>IF('10_Analysis_Ready'!$A$89="","",'10_Analysis_Ready'!$A$89)</f>
        <v>R0147</v>
      </c>
      <c r="C106">
        <f>IF('10_Analysis_Ready'!$A$89="",0,IF(AND('28_Taxonomy_Coding'!$A$89='10_Analysis_Ready'!$A$89,'14_Generalization_Map'!$A$89='10_Analysis_Ready'!$A$89),0,1))</f>
        <v>0</v>
      </c>
      <c r="D106">
        <f>IF('10_Analysis_Ready'!$A$89="",0,IF(COUNTIFS('06_Full_Text_Screening'!$A:$A,'10_Analysis_Ready'!$A$89,'06_Full_Text_Screening'!$J:$J,"INCLUDE")=1,0,1))</f>
        <v>0</v>
      </c>
      <c r="E106">
        <f>IF('10_Analysis_Ready'!$A$89="",0,IF(OR(AND(((OR('10_Analysis_Ready'!$AG$89="YES",'10_Analysis_Ready'!$AH$89="YES"))*1+('10_Analysis_Ready'!$AI$89="YES")+('10_Analysis_Ready'!$AJ$89="YES")+('10_Analysis_Ready'!$AK$89="YES")+('10_Analysis_Ready'!$AL$89="YES"))=0,'10_Analysis_Ready'!$AF$89&lt;&gt;"NONE"),AND(((OR('10_Analysis_Ready'!$AG$89="YES",'10_Analysis_Ready'!$AH$89="YES"))*1+('10_Analysis_Ready'!$AI$89="YES")+('10_Analysis_Ready'!$AJ$89="YES")+('10_Analysis_Ready'!$AK$89="YES")+('10_Analysis_Ready'!$AL$89="YES"))=1,OR('10_Analysis_Ready'!$AF$89="NONE",'10_Analysis_Ready'!$AF$89="MULTIPLE")),AND(((OR('10_Analysis_Ready'!$AG$89="YES",'10_Analysis_Ready'!$AH$89="YES"))*1+('10_Analysis_Ready'!$AI$89="YES")+('10_Analysis_Ready'!$AJ$89="YES")+('10_Analysis_Ready'!$AK$89="YES")+('10_Analysis_Ready'!$AL$89="YES"))&gt;=2,'10_Analysis_Ready'!$AF$89&lt;&gt;"MULTIPLE")),1,0))</f>
        <v>0</v>
      </c>
      <c r="F106">
        <f>IF('10_Analysis_Ready'!$A$89="",0,IF(AND('10_Analysis_Ready'!$AO$89="NO",COUNTIF('10_Analysis_Ready'!$AP$89:$AU$89,"YES")&gt;0),1,0))</f>
        <v>0</v>
      </c>
      <c r="G106">
        <f>IF('10_Analysis_Ready'!$A$89="",0,IF(OR(AND('10_Analysis_Ready'!$Y$89="GAN",'10_Analysis_Ready'!$AA$89="YES"),AND('10_Analysis_Ready'!$Y$89="DIFFUSION",'10_Analysis_Ready'!$Z$89="YES"),AND('10_Analysis_Ready'!$Y$89="GAN+DIFFUSION",OR('10_Analysis_Ready'!$Z$89&lt;&gt;"YES",'10_Analysis_Ready'!$AA$89&lt;&gt;"YES"))),1,0))</f>
        <v>0</v>
      </c>
      <c r="H106">
        <f>IF('10_Analysis_Ready'!$A$89="",0,IF(OR(AND('10_Analysis_Ready'!$BJ$89="NO",OR('10_Analysis_Ready'!$BK$89="HIGH",'10_Analysis_Ready'!$BK$89="VERY HIGH")),AND(((OR('10_Analysis_Ready'!$AG$89="YES",'10_Analysis_Ready'!$AH$89="YES"))*1+('10_Analysis_Ready'!$AI$89="YES")+('10_Analysis_Ready'!$AJ$89="YES")+('10_Analysis_Ready'!$AK$89="YES")+('10_Analysis_Ready'!$AL$89="YES"))=0,'10_Analysis_Ready'!$BJ$89="YES")),1,0))</f>
        <v>0</v>
      </c>
      <c r="I106">
        <f>IF('10_Analysis_Ready'!$A$89="",0,IF(AND(((OR('10_Analysis_Ready'!$AG$89="YES",'10_Analysis_Ready'!$AH$89="YES"))*1+('10_Analysis_Ready'!$AI$89="YES")+('10_Analysis_Ready'!$AJ$89="YES")+('10_Analysis_Ready'!$AK$89="YES")+('10_Analysis_Ready'!$AL$89="YES"))=0,'10_Analysis_Ready'!$AM$89&lt;&gt;"N/A"),1,0))</f>
        <v>0</v>
      </c>
      <c r="J106">
        <f>IF('10_Analysis_Ready'!$A$89="",0,IF(('28_Taxonomy_Coding'!$G$89="NONE")&lt;&gt;(((OR('10_Analysis_Ready'!$AG$89="YES",'10_Analysis_Ready'!$AH$89="YES"))*1+('10_Analysis_Ready'!$AI$89="YES")+('10_Analysis_Ready'!$AJ$89="YES")+('10_Analysis_Ready'!$AK$89="YES")+('10_Analysis_Ready'!$AL$89="YES"))=0),1,0))</f>
        <v>0</v>
      </c>
    </row>
    <row r="107" spans="1:10">
      <c r="A107">
        <v>90</v>
      </c>
      <c r="B107" t="str">
        <f>IF('10_Analysis_Ready'!$A$90="","",'10_Analysis_Ready'!$A$90)</f>
        <v>R0148</v>
      </c>
      <c r="C107">
        <f>IF('10_Analysis_Ready'!$A$90="",0,IF(AND('28_Taxonomy_Coding'!$A$90='10_Analysis_Ready'!$A$90,'14_Generalization_Map'!$A$90='10_Analysis_Ready'!$A$90),0,1))</f>
        <v>0</v>
      </c>
      <c r="D107">
        <f>IF('10_Analysis_Ready'!$A$90="",0,IF(COUNTIFS('06_Full_Text_Screening'!$A:$A,'10_Analysis_Ready'!$A$90,'06_Full_Text_Screening'!$J:$J,"INCLUDE")=1,0,1))</f>
        <v>0</v>
      </c>
      <c r="E107">
        <f>IF('10_Analysis_Ready'!$A$90="",0,IF(OR(AND(((OR('10_Analysis_Ready'!$AG$90="YES",'10_Analysis_Ready'!$AH$90="YES"))*1+('10_Analysis_Ready'!$AI$90="YES")+('10_Analysis_Ready'!$AJ$90="YES")+('10_Analysis_Ready'!$AK$90="YES")+('10_Analysis_Ready'!$AL$90="YES"))=0,'10_Analysis_Ready'!$AF$90&lt;&gt;"NONE"),AND(((OR('10_Analysis_Ready'!$AG$90="YES",'10_Analysis_Ready'!$AH$90="YES"))*1+('10_Analysis_Ready'!$AI$90="YES")+('10_Analysis_Ready'!$AJ$90="YES")+('10_Analysis_Ready'!$AK$90="YES")+('10_Analysis_Ready'!$AL$90="YES"))=1,OR('10_Analysis_Ready'!$AF$90="NONE",'10_Analysis_Ready'!$AF$90="MULTIPLE")),AND(((OR('10_Analysis_Ready'!$AG$90="YES",'10_Analysis_Ready'!$AH$90="YES"))*1+('10_Analysis_Ready'!$AI$90="YES")+('10_Analysis_Ready'!$AJ$90="YES")+('10_Analysis_Ready'!$AK$90="YES")+('10_Analysis_Ready'!$AL$90="YES"))&gt;=2,'10_Analysis_Ready'!$AF$90&lt;&gt;"MULTIPLE")),1,0))</f>
        <v>0</v>
      </c>
      <c r="F107">
        <f>IF('10_Analysis_Ready'!$A$90="",0,IF(AND('10_Analysis_Ready'!$AO$90="NO",COUNTIF('10_Analysis_Ready'!$AP$90:$AU$90,"YES")&gt;0),1,0))</f>
        <v>0</v>
      </c>
      <c r="G107">
        <f>IF('10_Analysis_Ready'!$A$90="",0,IF(OR(AND('10_Analysis_Ready'!$Y$90="GAN",'10_Analysis_Ready'!$AA$90="YES"),AND('10_Analysis_Ready'!$Y$90="DIFFUSION",'10_Analysis_Ready'!$Z$90="YES"),AND('10_Analysis_Ready'!$Y$90="GAN+DIFFUSION",OR('10_Analysis_Ready'!$Z$90&lt;&gt;"YES",'10_Analysis_Ready'!$AA$90&lt;&gt;"YES"))),1,0))</f>
        <v>0</v>
      </c>
      <c r="H107">
        <f>IF('10_Analysis_Ready'!$A$90="",0,IF(OR(AND('10_Analysis_Ready'!$BJ$90="NO",OR('10_Analysis_Ready'!$BK$90="HIGH",'10_Analysis_Ready'!$BK$90="VERY HIGH")),AND(((OR('10_Analysis_Ready'!$AG$90="YES",'10_Analysis_Ready'!$AH$90="YES"))*1+('10_Analysis_Ready'!$AI$90="YES")+('10_Analysis_Ready'!$AJ$90="YES")+('10_Analysis_Ready'!$AK$90="YES")+('10_Analysis_Ready'!$AL$90="YES"))=0,'10_Analysis_Ready'!$BJ$90="YES")),1,0))</f>
        <v>0</v>
      </c>
      <c r="I107">
        <f>IF('10_Analysis_Ready'!$A$90="",0,IF(AND(((OR('10_Analysis_Ready'!$AG$90="YES",'10_Analysis_Ready'!$AH$90="YES"))*1+('10_Analysis_Ready'!$AI$90="YES")+('10_Analysis_Ready'!$AJ$90="YES")+('10_Analysis_Ready'!$AK$90="YES")+('10_Analysis_Ready'!$AL$90="YES"))=0,'10_Analysis_Ready'!$AM$90&lt;&gt;"N/A"),1,0))</f>
        <v>0</v>
      </c>
      <c r="J107">
        <f>IF('10_Analysis_Ready'!$A$90="",0,IF(('28_Taxonomy_Coding'!$G$90="NONE")&lt;&gt;(((OR('10_Analysis_Ready'!$AG$90="YES",'10_Analysis_Ready'!$AH$90="YES"))*1+('10_Analysis_Ready'!$AI$90="YES")+('10_Analysis_Ready'!$AJ$90="YES")+('10_Analysis_Ready'!$AK$90="YES")+('10_Analysis_Ready'!$AL$90="YES"))=0),1,0))</f>
        <v>0</v>
      </c>
    </row>
    <row r="108" spans="1:10">
      <c r="A108">
        <v>91</v>
      </c>
      <c r="B108" t="str">
        <f>IF('10_Analysis_Ready'!$A$91="","",'10_Analysis_Ready'!$A$91)</f>
        <v>R0152</v>
      </c>
      <c r="C108">
        <f>IF('10_Analysis_Ready'!$A$91="",0,IF(AND('28_Taxonomy_Coding'!$A$91='10_Analysis_Ready'!$A$91,'14_Generalization_Map'!$A$91='10_Analysis_Ready'!$A$91),0,1))</f>
        <v>0</v>
      </c>
      <c r="D108">
        <f>IF('10_Analysis_Ready'!$A$91="",0,IF(COUNTIFS('06_Full_Text_Screening'!$A:$A,'10_Analysis_Ready'!$A$91,'06_Full_Text_Screening'!$J:$J,"INCLUDE")=1,0,1))</f>
        <v>0</v>
      </c>
      <c r="E108">
        <f>IF('10_Analysis_Ready'!$A$91="",0,IF(OR(AND(((OR('10_Analysis_Ready'!$AG$91="YES",'10_Analysis_Ready'!$AH$91="YES"))*1+('10_Analysis_Ready'!$AI$91="YES")+('10_Analysis_Ready'!$AJ$91="YES")+('10_Analysis_Ready'!$AK$91="YES")+('10_Analysis_Ready'!$AL$91="YES"))=0,'10_Analysis_Ready'!$AF$91&lt;&gt;"NONE"),AND(((OR('10_Analysis_Ready'!$AG$91="YES",'10_Analysis_Ready'!$AH$91="YES"))*1+('10_Analysis_Ready'!$AI$91="YES")+('10_Analysis_Ready'!$AJ$91="YES")+('10_Analysis_Ready'!$AK$91="YES")+('10_Analysis_Ready'!$AL$91="YES"))=1,OR('10_Analysis_Ready'!$AF$91="NONE",'10_Analysis_Ready'!$AF$91="MULTIPLE")),AND(((OR('10_Analysis_Ready'!$AG$91="YES",'10_Analysis_Ready'!$AH$91="YES"))*1+('10_Analysis_Ready'!$AI$91="YES")+('10_Analysis_Ready'!$AJ$91="YES")+('10_Analysis_Ready'!$AK$91="YES")+('10_Analysis_Ready'!$AL$91="YES"))&gt;=2,'10_Analysis_Ready'!$AF$91&lt;&gt;"MULTIPLE")),1,0))</f>
        <v>0</v>
      </c>
      <c r="F108">
        <f>IF('10_Analysis_Ready'!$A$91="",0,IF(AND('10_Analysis_Ready'!$AO$91="NO",COUNTIF('10_Analysis_Ready'!$AP$91:$AU$91,"YES")&gt;0),1,0))</f>
        <v>0</v>
      </c>
      <c r="G108">
        <f>IF('10_Analysis_Ready'!$A$91="",0,IF(OR(AND('10_Analysis_Ready'!$Y$91="GAN",'10_Analysis_Ready'!$AA$91="YES"),AND('10_Analysis_Ready'!$Y$91="DIFFUSION",'10_Analysis_Ready'!$Z$91="YES"),AND('10_Analysis_Ready'!$Y$91="GAN+DIFFUSION",OR('10_Analysis_Ready'!$Z$91&lt;&gt;"YES",'10_Analysis_Ready'!$AA$91&lt;&gt;"YES"))),1,0))</f>
        <v>0</v>
      </c>
      <c r="H108">
        <f>IF('10_Analysis_Ready'!$A$91="",0,IF(OR(AND('10_Analysis_Ready'!$BJ$91="NO",OR('10_Analysis_Ready'!$BK$91="HIGH",'10_Analysis_Ready'!$BK$91="VERY HIGH")),AND(((OR('10_Analysis_Ready'!$AG$91="YES",'10_Analysis_Ready'!$AH$91="YES"))*1+('10_Analysis_Ready'!$AI$91="YES")+('10_Analysis_Ready'!$AJ$91="YES")+('10_Analysis_Ready'!$AK$91="YES")+('10_Analysis_Ready'!$AL$91="YES"))=0,'10_Analysis_Ready'!$BJ$91="YES")),1,0))</f>
        <v>0</v>
      </c>
      <c r="I108">
        <f>IF('10_Analysis_Ready'!$A$91="",0,IF(AND(((OR('10_Analysis_Ready'!$AG$91="YES",'10_Analysis_Ready'!$AH$91="YES"))*1+('10_Analysis_Ready'!$AI$91="YES")+('10_Analysis_Ready'!$AJ$91="YES")+('10_Analysis_Ready'!$AK$91="YES")+('10_Analysis_Ready'!$AL$91="YES"))=0,'10_Analysis_Ready'!$AM$91&lt;&gt;"N/A"),1,0))</f>
        <v>0</v>
      </c>
      <c r="J108">
        <f>IF('10_Analysis_Ready'!$A$91="",0,IF(('28_Taxonomy_Coding'!$G$91="NONE")&lt;&gt;(((OR('10_Analysis_Ready'!$AG$91="YES",'10_Analysis_Ready'!$AH$91="YES"))*1+('10_Analysis_Ready'!$AI$91="YES")+('10_Analysis_Ready'!$AJ$91="YES")+('10_Analysis_Ready'!$AK$91="YES")+('10_Analysis_Ready'!$AL$91="YES"))=0),1,0))</f>
        <v>0</v>
      </c>
    </row>
    <row r="109" spans="1:10">
      <c r="A109">
        <v>92</v>
      </c>
      <c r="B109" t="str">
        <f>IF('10_Analysis_Ready'!$A$92="","",'10_Analysis_Ready'!$A$92)</f>
        <v>R0154</v>
      </c>
      <c r="C109">
        <f>IF('10_Analysis_Ready'!$A$92="",0,IF(AND('28_Taxonomy_Coding'!$A$92='10_Analysis_Ready'!$A$92,'14_Generalization_Map'!$A$92='10_Analysis_Ready'!$A$92),0,1))</f>
        <v>0</v>
      </c>
      <c r="D109">
        <f>IF('10_Analysis_Ready'!$A$92="",0,IF(COUNTIFS('06_Full_Text_Screening'!$A:$A,'10_Analysis_Ready'!$A$92,'06_Full_Text_Screening'!$J:$J,"INCLUDE")=1,0,1))</f>
        <v>0</v>
      </c>
      <c r="E109">
        <f>IF('10_Analysis_Ready'!$A$92="",0,IF(OR(AND(((OR('10_Analysis_Ready'!$AG$92="YES",'10_Analysis_Ready'!$AH$92="YES"))*1+('10_Analysis_Ready'!$AI$92="YES")+('10_Analysis_Ready'!$AJ$92="YES")+('10_Analysis_Ready'!$AK$92="YES")+('10_Analysis_Ready'!$AL$92="YES"))=0,'10_Analysis_Ready'!$AF$92&lt;&gt;"NONE"),AND(((OR('10_Analysis_Ready'!$AG$92="YES",'10_Analysis_Ready'!$AH$92="YES"))*1+('10_Analysis_Ready'!$AI$92="YES")+('10_Analysis_Ready'!$AJ$92="YES")+('10_Analysis_Ready'!$AK$92="YES")+('10_Analysis_Ready'!$AL$92="YES"))=1,OR('10_Analysis_Ready'!$AF$92="NONE",'10_Analysis_Ready'!$AF$92="MULTIPLE")),AND(((OR('10_Analysis_Ready'!$AG$92="YES",'10_Analysis_Ready'!$AH$92="YES"))*1+('10_Analysis_Ready'!$AI$92="YES")+('10_Analysis_Ready'!$AJ$92="YES")+('10_Analysis_Ready'!$AK$92="YES")+('10_Analysis_Ready'!$AL$92="YES"))&gt;=2,'10_Analysis_Ready'!$AF$92&lt;&gt;"MULTIPLE")),1,0))</f>
        <v>0</v>
      </c>
      <c r="F109">
        <f>IF('10_Analysis_Ready'!$A$92="",0,IF(AND('10_Analysis_Ready'!$AO$92="NO",COUNTIF('10_Analysis_Ready'!$AP$92:$AU$92,"YES")&gt;0),1,0))</f>
        <v>0</v>
      </c>
      <c r="G109">
        <f>IF('10_Analysis_Ready'!$A$92="",0,IF(OR(AND('10_Analysis_Ready'!$Y$92="GAN",'10_Analysis_Ready'!$AA$92="YES"),AND('10_Analysis_Ready'!$Y$92="DIFFUSION",'10_Analysis_Ready'!$Z$92="YES"),AND('10_Analysis_Ready'!$Y$92="GAN+DIFFUSION",OR('10_Analysis_Ready'!$Z$92&lt;&gt;"YES",'10_Analysis_Ready'!$AA$92&lt;&gt;"YES"))),1,0))</f>
        <v>0</v>
      </c>
      <c r="H109">
        <f>IF('10_Analysis_Ready'!$A$92="",0,IF(OR(AND('10_Analysis_Ready'!$BJ$92="NO",OR('10_Analysis_Ready'!$BK$92="HIGH",'10_Analysis_Ready'!$BK$92="VERY HIGH")),AND(((OR('10_Analysis_Ready'!$AG$92="YES",'10_Analysis_Ready'!$AH$92="YES"))*1+('10_Analysis_Ready'!$AI$92="YES")+('10_Analysis_Ready'!$AJ$92="YES")+('10_Analysis_Ready'!$AK$92="YES")+('10_Analysis_Ready'!$AL$92="YES"))=0,'10_Analysis_Ready'!$BJ$92="YES")),1,0))</f>
        <v>0</v>
      </c>
      <c r="I109">
        <f>IF('10_Analysis_Ready'!$A$92="",0,IF(AND(((OR('10_Analysis_Ready'!$AG$92="YES",'10_Analysis_Ready'!$AH$92="YES"))*1+('10_Analysis_Ready'!$AI$92="YES")+('10_Analysis_Ready'!$AJ$92="YES")+('10_Analysis_Ready'!$AK$92="YES")+('10_Analysis_Ready'!$AL$92="YES"))=0,'10_Analysis_Ready'!$AM$92&lt;&gt;"N/A"),1,0))</f>
        <v>0</v>
      </c>
      <c r="J109">
        <f>IF('10_Analysis_Ready'!$A$92="",0,IF(('28_Taxonomy_Coding'!$G$92="NONE")&lt;&gt;(((OR('10_Analysis_Ready'!$AG$92="YES",'10_Analysis_Ready'!$AH$92="YES"))*1+('10_Analysis_Ready'!$AI$92="YES")+('10_Analysis_Ready'!$AJ$92="YES")+('10_Analysis_Ready'!$AK$92="YES")+('10_Analysis_Ready'!$AL$92="YES"))=0),1,0))</f>
        <v>0</v>
      </c>
    </row>
    <row r="110" spans="1:10">
      <c r="A110">
        <v>93</v>
      </c>
      <c r="B110" t="str">
        <f>IF('10_Analysis_Ready'!$A$93="","",'10_Analysis_Ready'!$A$93)</f>
        <v>R0155</v>
      </c>
      <c r="C110">
        <f>IF('10_Analysis_Ready'!$A$93="",0,IF(AND('28_Taxonomy_Coding'!$A$93='10_Analysis_Ready'!$A$93,'14_Generalization_Map'!$A$93='10_Analysis_Ready'!$A$93),0,1))</f>
        <v>0</v>
      </c>
      <c r="D110">
        <f>IF('10_Analysis_Ready'!$A$93="",0,IF(COUNTIFS('06_Full_Text_Screening'!$A:$A,'10_Analysis_Ready'!$A$93,'06_Full_Text_Screening'!$J:$J,"INCLUDE")=1,0,1))</f>
        <v>0</v>
      </c>
      <c r="E110">
        <f>IF('10_Analysis_Ready'!$A$93="",0,IF(OR(AND(((OR('10_Analysis_Ready'!$AG$93="YES",'10_Analysis_Ready'!$AH$93="YES"))*1+('10_Analysis_Ready'!$AI$93="YES")+('10_Analysis_Ready'!$AJ$93="YES")+('10_Analysis_Ready'!$AK$93="YES")+('10_Analysis_Ready'!$AL$93="YES"))=0,'10_Analysis_Ready'!$AF$93&lt;&gt;"NONE"),AND(((OR('10_Analysis_Ready'!$AG$93="YES",'10_Analysis_Ready'!$AH$93="YES"))*1+('10_Analysis_Ready'!$AI$93="YES")+('10_Analysis_Ready'!$AJ$93="YES")+('10_Analysis_Ready'!$AK$93="YES")+('10_Analysis_Ready'!$AL$93="YES"))=1,OR('10_Analysis_Ready'!$AF$93="NONE",'10_Analysis_Ready'!$AF$93="MULTIPLE")),AND(((OR('10_Analysis_Ready'!$AG$93="YES",'10_Analysis_Ready'!$AH$93="YES"))*1+('10_Analysis_Ready'!$AI$93="YES")+('10_Analysis_Ready'!$AJ$93="YES")+('10_Analysis_Ready'!$AK$93="YES")+('10_Analysis_Ready'!$AL$93="YES"))&gt;=2,'10_Analysis_Ready'!$AF$93&lt;&gt;"MULTIPLE")),1,0))</f>
        <v>0</v>
      </c>
      <c r="F110">
        <f>IF('10_Analysis_Ready'!$A$93="",0,IF(AND('10_Analysis_Ready'!$AO$93="NO",COUNTIF('10_Analysis_Ready'!$AP$93:$AU$93,"YES")&gt;0),1,0))</f>
        <v>0</v>
      </c>
      <c r="G110">
        <f>IF('10_Analysis_Ready'!$A$93="",0,IF(OR(AND('10_Analysis_Ready'!$Y$93="GAN",'10_Analysis_Ready'!$AA$93="YES"),AND('10_Analysis_Ready'!$Y$93="DIFFUSION",'10_Analysis_Ready'!$Z$93="YES"),AND('10_Analysis_Ready'!$Y$93="GAN+DIFFUSION",OR('10_Analysis_Ready'!$Z$93&lt;&gt;"YES",'10_Analysis_Ready'!$AA$93&lt;&gt;"YES"))),1,0))</f>
        <v>0</v>
      </c>
      <c r="H110">
        <f>IF('10_Analysis_Ready'!$A$93="",0,IF(OR(AND('10_Analysis_Ready'!$BJ$93="NO",OR('10_Analysis_Ready'!$BK$93="HIGH",'10_Analysis_Ready'!$BK$93="VERY HIGH")),AND(((OR('10_Analysis_Ready'!$AG$93="YES",'10_Analysis_Ready'!$AH$93="YES"))*1+('10_Analysis_Ready'!$AI$93="YES")+('10_Analysis_Ready'!$AJ$93="YES")+('10_Analysis_Ready'!$AK$93="YES")+('10_Analysis_Ready'!$AL$93="YES"))=0,'10_Analysis_Ready'!$BJ$93="YES")),1,0))</f>
        <v>0</v>
      </c>
      <c r="I110">
        <f>IF('10_Analysis_Ready'!$A$93="",0,IF(AND(((OR('10_Analysis_Ready'!$AG$93="YES",'10_Analysis_Ready'!$AH$93="YES"))*1+('10_Analysis_Ready'!$AI$93="YES")+('10_Analysis_Ready'!$AJ$93="YES")+('10_Analysis_Ready'!$AK$93="YES")+('10_Analysis_Ready'!$AL$93="YES"))=0,'10_Analysis_Ready'!$AM$93&lt;&gt;"N/A"),1,0))</f>
        <v>0</v>
      </c>
      <c r="J110">
        <f>IF('10_Analysis_Ready'!$A$93="",0,IF(('28_Taxonomy_Coding'!$G$93="NONE")&lt;&gt;(((OR('10_Analysis_Ready'!$AG$93="YES",'10_Analysis_Ready'!$AH$93="YES"))*1+('10_Analysis_Ready'!$AI$93="YES")+('10_Analysis_Ready'!$AJ$93="YES")+('10_Analysis_Ready'!$AK$93="YES")+('10_Analysis_Ready'!$AL$93="YES"))=0),1,0))</f>
        <v>0</v>
      </c>
    </row>
    <row r="111" spans="1:10">
      <c r="A111">
        <v>94</v>
      </c>
      <c r="B111" t="str">
        <f>IF('10_Analysis_Ready'!$A$94="","",'10_Analysis_Ready'!$A$94)</f>
        <v>R0228</v>
      </c>
      <c r="C111">
        <f>IF('10_Analysis_Ready'!$A$94="",0,IF(AND('28_Taxonomy_Coding'!$A$94='10_Analysis_Ready'!$A$94,'14_Generalization_Map'!$A$94='10_Analysis_Ready'!$A$94),0,1))</f>
        <v>0</v>
      </c>
      <c r="D111">
        <f>IF('10_Analysis_Ready'!$A$94="",0,IF(COUNTIFS('06_Full_Text_Screening'!$A:$A,'10_Analysis_Ready'!$A$94,'06_Full_Text_Screening'!$J:$J,"INCLUDE")=1,0,1))</f>
        <v>0</v>
      </c>
      <c r="E111">
        <f>IF('10_Analysis_Ready'!$A$94="",0,IF(OR(AND(((OR('10_Analysis_Ready'!$AG$94="YES",'10_Analysis_Ready'!$AH$94="YES"))*1+('10_Analysis_Ready'!$AI$94="YES")+('10_Analysis_Ready'!$AJ$94="YES")+('10_Analysis_Ready'!$AK$94="YES")+('10_Analysis_Ready'!$AL$94="YES"))=0,'10_Analysis_Ready'!$AF$94&lt;&gt;"NONE"),AND(((OR('10_Analysis_Ready'!$AG$94="YES",'10_Analysis_Ready'!$AH$94="YES"))*1+('10_Analysis_Ready'!$AI$94="YES")+('10_Analysis_Ready'!$AJ$94="YES")+('10_Analysis_Ready'!$AK$94="YES")+('10_Analysis_Ready'!$AL$94="YES"))=1,OR('10_Analysis_Ready'!$AF$94="NONE",'10_Analysis_Ready'!$AF$94="MULTIPLE")),AND(((OR('10_Analysis_Ready'!$AG$94="YES",'10_Analysis_Ready'!$AH$94="YES"))*1+('10_Analysis_Ready'!$AI$94="YES")+('10_Analysis_Ready'!$AJ$94="YES")+('10_Analysis_Ready'!$AK$94="YES")+('10_Analysis_Ready'!$AL$94="YES"))&gt;=2,'10_Analysis_Ready'!$AF$94&lt;&gt;"MULTIPLE")),1,0))</f>
        <v>0</v>
      </c>
      <c r="F111">
        <f>IF('10_Analysis_Ready'!$A$94="",0,IF(AND('10_Analysis_Ready'!$AO$94="NO",COUNTIF('10_Analysis_Ready'!$AP$94:$AU$94,"YES")&gt;0),1,0))</f>
        <v>0</v>
      </c>
      <c r="G111">
        <f>IF('10_Analysis_Ready'!$A$94="",0,IF(OR(AND('10_Analysis_Ready'!$Y$94="GAN",'10_Analysis_Ready'!$AA$94="YES"),AND('10_Analysis_Ready'!$Y$94="DIFFUSION",'10_Analysis_Ready'!$Z$94="YES"),AND('10_Analysis_Ready'!$Y$94="GAN+DIFFUSION",OR('10_Analysis_Ready'!$Z$94&lt;&gt;"YES",'10_Analysis_Ready'!$AA$94&lt;&gt;"YES"))),1,0))</f>
        <v>0</v>
      </c>
      <c r="H111">
        <f>IF('10_Analysis_Ready'!$A$94="",0,IF(OR(AND('10_Analysis_Ready'!$BJ$94="NO",OR('10_Analysis_Ready'!$BK$94="HIGH",'10_Analysis_Ready'!$BK$94="VERY HIGH")),AND(((OR('10_Analysis_Ready'!$AG$94="YES",'10_Analysis_Ready'!$AH$94="YES"))*1+('10_Analysis_Ready'!$AI$94="YES")+('10_Analysis_Ready'!$AJ$94="YES")+('10_Analysis_Ready'!$AK$94="YES")+('10_Analysis_Ready'!$AL$94="YES"))=0,'10_Analysis_Ready'!$BJ$94="YES")),1,0))</f>
        <v>0</v>
      </c>
      <c r="I111">
        <f>IF('10_Analysis_Ready'!$A$94="",0,IF(AND(((OR('10_Analysis_Ready'!$AG$94="YES",'10_Analysis_Ready'!$AH$94="YES"))*1+('10_Analysis_Ready'!$AI$94="YES")+('10_Analysis_Ready'!$AJ$94="YES")+('10_Analysis_Ready'!$AK$94="YES")+('10_Analysis_Ready'!$AL$94="YES"))=0,'10_Analysis_Ready'!$AM$94&lt;&gt;"N/A"),1,0))</f>
        <v>0</v>
      </c>
      <c r="J111">
        <f>IF('10_Analysis_Ready'!$A$94="",0,IF(('28_Taxonomy_Coding'!$G$94="NONE")&lt;&gt;(((OR('10_Analysis_Ready'!$AG$94="YES",'10_Analysis_Ready'!$AH$94="YES"))*1+('10_Analysis_Ready'!$AI$94="YES")+('10_Analysis_Ready'!$AJ$94="YES")+('10_Analysis_Ready'!$AK$94="YES")+('10_Analysis_Ready'!$AL$94="YES"))=0),1,0))</f>
        <v>0</v>
      </c>
    </row>
    <row r="112" spans="1:10">
      <c r="A112">
        <v>95</v>
      </c>
      <c r="B112" t="str">
        <f>IF('10_Analysis_Ready'!$A$95="","",'10_Analysis_Ready'!$A$95)</f>
        <v>R0242</v>
      </c>
      <c r="C112">
        <f>IF('10_Analysis_Ready'!$A$95="",0,IF(AND('28_Taxonomy_Coding'!$A$95='10_Analysis_Ready'!$A$95,'14_Generalization_Map'!$A$95='10_Analysis_Ready'!$A$95),0,1))</f>
        <v>0</v>
      </c>
      <c r="D112">
        <f>IF('10_Analysis_Ready'!$A$95="",0,IF(COUNTIFS('06_Full_Text_Screening'!$A:$A,'10_Analysis_Ready'!$A$95,'06_Full_Text_Screening'!$J:$J,"INCLUDE")=1,0,1))</f>
        <v>0</v>
      </c>
      <c r="E112">
        <f>IF('10_Analysis_Ready'!$A$95="",0,IF(OR(AND(((OR('10_Analysis_Ready'!$AG$95="YES",'10_Analysis_Ready'!$AH$95="YES"))*1+('10_Analysis_Ready'!$AI$95="YES")+('10_Analysis_Ready'!$AJ$95="YES")+('10_Analysis_Ready'!$AK$95="YES")+('10_Analysis_Ready'!$AL$95="YES"))=0,'10_Analysis_Ready'!$AF$95&lt;&gt;"NONE"),AND(((OR('10_Analysis_Ready'!$AG$95="YES",'10_Analysis_Ready'!$AH$95="YES"))*1+('10_Analysis_Ready'!$AI$95="YES")+('10_Analysis_Ready'!$AJ$95="YES")+('10_Analysis_Ready'!$AK$95="YES")+('10_Analysis_Ready'!$AL$95="YES"))=1,OR('10_Analysis_Ready'!$AF$95="NONE",'10_Analysis_Ready'!$AF$95="MULTIPLE")),AND(((OR('10_Analysis_Ready'!$AG$95="YES",'10_Analysis_Ready'!$AH$95="YES"))*1+('10_Analysis_Ready'!$AI$95="YES")+('10_Analysis_Ready'!$AJ$95="YES")+('10_Analysis_Ready'!$AK$95="YES")+('10_Analysis_Ready'!$AL$95="YES"))&gt;=2,'10_Analysis_Ready'!$AF$95&lt;&gt;"MULTIPLE")),1,0))</f>
        <v>0</v>
      </c>
      <c r="F112">
        <f>IF('10_Analysis_Ready'!$A$95="",0,IF(AND('10_Analysis_Ready'!$AO$95="NO",COUNTIF('10_Analysis_Ready'!$AP$95:$AU$95,"YES")&gt;0),1,0))</f>
        <v>0</v>
      </c>
      <c r="G112">
        <f>IF('10_Analysis_Ready'!$A$95="",0,IF(OR(AND('10_Analysis_Ready'!$Y$95="GAN",'10_Analysis_Ready'!$AA$95="YES"),AND('10_Analysis_Ready'!$Y$95="DIFFUSION",'10_Analysis_Ready'!$Z$95="YES"),AND('10_Analysis_Ready'!$Y$95="GAN+DIFFUSION",OR('10_Analysis_Ready'!$Z$95&lt;&gt;"YES",'10_Analysis_Ready'!$AA$95&lt;&gt;"YES"))),1,0))</f>
        <v>0</v>
      </c>
      <c r="H112">
        <f>IF('10_Analysis_Ready'!$A$95="",0,IF(OR(AND('10_Analysis_Ready'!$BJ$95="NO",OR('10_Analysis_Ready'!$BK$95="HIGH",'10_Analysis_Ready'!$BK$95="VERY HIGH")),AND(((OR('10_Analysis_Ready'!$AG$95="YES",'10_Analysis_Ready'!$AH$95="YES"))*1+('10_Analysis_Ready'!$AI$95="YES")+('10_Analysis_Ready'!$AJ$95="YES")+('10_Analysis_Ready'!$AK$95="YES")+('10_Analysis_Ready'!$AL$95="YES"))=0,'10_Analysis_Ready'!$BJ$95="YES")),1,0))</f>
        <v>0</v>
      </c>
      <c r="I112">
        <f>IF('10_Analysis_Ready'!$A$95="",0,IF(AND(((OR('10_Analysis_Ready'!$AG$95="YES",'10_Analysis_Ready'!$AH$95="YES"))*1+('10_Analysis_Ready'!$AI$95="YES")+('10_Analysis_Ready'!$AJ$95="YES")+('10_Analysis_Ready'!$AK$95="YES")+('10_Analysis_Ready'!$AL$95="YES"))=0,'10_Analysis_Ready'!$AM$95&lt;&gt;"N/A"),1,0))</f>
        <v>0</v>
      </c>
      <c r="J112">
        <f>IF('10_Analysis_Ready'!$A$95="",0,IF(('28_Taxonomy_Coding'!$G$95="NONE")&lt;&gt;(((OR('10_Analysis_Ready'!$AG$95="YES",'10_Analysis_Ready'!$AH$95="YES"))*1+('10_Analysis_Ready'!$AI$95="YES")+('10_Analysis_Ready'!$AJ$95="YES")+('10_Analysis_Ready'!$AK$95="YES")+('10_Analysis_Ready'!$AL$95="YES"))=0),1,0))</f>
        <v>0</v>
      </c>
    </row>
    <row r="113" spans="1:10">
      <c r="A113">
        <v>96</v>
      </c>
      <c r="B113" t="str">
        <f>IF('10_Analysis_Ready'!$A$96="","",'10_Analysis_Ready'!$A$96)</f>
        <v>R0259</v>
      </c>
      <c r="C113">
        <f>IF('10_Analysis_Ready'!$A$96="",0,IF(AND('28_Taxonomy_Coding'!$A$96='10_Analysis_Ready'!$A$96,'14_Generalization_Map'!$A$96='10_Analysis_Ready'!$A$96),0,1))</f>
        <v>0</v>
      </c>
      <c r="D113">
        <f>IF('10_Analysis_Ready'!$A$96="",0,IF(COUNTIFS('06_Full_Text_Screening'!$A:$A,'10_Analysis_Ready'!$A$96,'06_Full_Text_Screening'!$J:$J,"INCLUDE")=1,0,1))</f>
        <v>0</v>
      </c>
      <c r="E113">
        <f>IF('10_Analysis_Ready'!$A$96="",0,IF(OR(AND(((OR('10_Analysis_Ready'!$AG$96="YES",'10_Analysis_Ready'!$AH$96="YES"))*1+('10_Analysis_Ready'!$AI$96="YES")+('10_Analysis_Ready'!$AJ$96="YES")+('10_Analysis_Ready'!$AK$96="YES")+('10_Analysis_Ready'!$AL$96="YES"))=0,'10_Analysis_Ready'!$AF$96&lt;&gt;"NONE"),AND(((OR('10_Analysis_Ready'!$AG$96="YES",'10_Analysis_Ready'!$AH$96="YES"))*1+('10_Analysis_Ready'!$AI$96="YES")+('10_Analysis_Ready'!$AJ$96="YES")+('10_Analysis_Ready'!$AK$96="YES")+('10_Analysis_Ready'!$AL$96="YES"))=1,OR('10_Analysis_Ready'!$AF$96="NONE",'10_Analysis_Ready'!$AF$96="MULTIPLE")),AND(((OR('10_Analysis_Ready'!$AG$96="YES",'10_Analysis_Ready'!$AH$96="YES"))*1+('10_Analysis_Ready'!$AI$96="YES")+('10_Analysis_Ready'!$AJ$96="YES")+('10_Analysis_Ready'!$AK$96="YES")+('10_Analysis_Ready'!$AL$96="YES"))&gt;=2,'10_Analysis_Ready'!$AF$96&lt;&gt;"MULTIPLE")),1,0))</f>
        <v>0</v>
      </c>
      <c r="F113">
        <f>IF('10_Analysis_Ready'!$A$96="",0,IF(AND('10_Analysis_Ready'!$AO$96="NO",COUNTIF('10_Analysis_Ready'!$AP$96:$AU$96,"YES")&gt;0),1,0))</f>
        <v>0</v>
      </c>
      <c r="G113">
        <f>IF('10_Analysis_Ready'!$A$96="",0,IF(OR(AND('10_Analysis_Ready'!$Y$96="GAN",'10_Analysis_Ready'!$AA$96="YES"),AND('10_Analysis_Ready'!$Y$96="DIFFUSION",'10_Analysis_Ready'!$Z$96="YES"),AND('10_Analysis_Ready'!$Y$96="GAN+DIFFUSION",OR('10_Analysis_Ready'!$Z$96&lt;&gt;"YES",'10_Analysis_Ready'!$AA$96&lt;&gt;"YES"))),1,0))</f>
        <v>0</v>
      </c>
      <c r="H113">
        <f>IF('10_Analysis_Ready'!$A$96="",0,IF(OR(AND('10_Analysis_Ready'!$BJ$96="NO",OR('10_Analysis_Ready'!$BK$96="HIGH",'10_Analysis_Ready'!$BK$96="VERY HIGH")),AND(((OR('10_Analysis_Ready'!$AG$96="YES",'10_Analysis_Ready'!$AH$96="YES"))*1+('10_Analysis_Ready'!$AI$96="YES")+('10_Analysis_Ready'!$AJ$96="YES")+('10_Analysis_Ready'!$AK$96="YES")+('10_Analysis_Ready'!$AL$96="YES"))=0,'10_Analysis_Ready'!$BJ$96="YES")),1,0))</f>
        <v>0</v>
      </c>
      <c r="I113">
        <f>IF('10_Analysis_Ready'!$A$96="",0,IF(AND(((OR('10_Analysis_Ready'!$AG$96="YES",'10_Analysis_Ready'!$AH$96="YES"))*1+('10_Analysis_Ready'!$AI$96="YES")+('10_Analysis_Ready'!$AJ$96="YES")+('10_Analysis_Ready'!$AK$96="YES")+('10_Analysis_Ready'!$AL$96="YES"))=0,'10_Analysis_Ready'!$AM$96&lt;&gt;"N/A"),1,0))</f>
        <v>0</v>
      </c>
      <c r="J113">
        <f>IF('10_Analysis_Ready'!$A$96="",0,IF(('28_Taxonomy_Coding'!$G$96="NONE")&lt;&gt;(((OR('10_Analysis_Ready'!$AG$96="YES",'10_Analysis_Ready'!$AH$96="YES"))*1+('10_Analysis_Ready'!$AI$96="YES")+('10_Analysis_Ready'!$AJ$96="YES")+('10_Analysis_Ready'!$AK$96="YES")+('10_Analysis_Ready'!$AL$96="YES"))=0),1,0))</f>
        <v>0</v>
      </c>
    </row>
    <row r="114" spans="1:10">
      <c r="A114">
        <v>97</v>
      </c>
      <c r="B114" t="str">
        <f>IF('10_Analysis_Ready'!$A$97="","",'10_Analysis_Ready'!$A$97)</f>
        <v>R0275</v>
      </c>
      <c r="C114">
        <f>IF('10_Analysis_Ready'!$A$97="",0,IF(AND('28_Taxonomy_Coding'!$A$97='10_Analysis_Ready'!$A$97,'14_Generalization_Map'!$A$97='10_Analysis_Ready'!$A$97),0,1))</f>
        <v>0</v>
      </c>
      <c r="D114">
        <f>IF('10_Analysis_Ready'!$A$97="",0,IF(COUNTIFS('06_Full_Text_Screening'!$A:$A,'10_Analysis_Ready'!$A$97,'06_Full_Text_Screening'!$J:$J,"INCLUDE")=1,0,1))</f>
        <v>0</v>
      </c>
      <c r="E114">
        <f>IF('10_Analysis_Ready'!$A$97="",0,IF(OR(AND(((OR('10_Analysis_Ready'!$AG$97="YES",'10_Analysis_Ready'!$AH$97="YES"))*1+('10_Analysis_Ready'!$AI$97="YES")+('10_Analysis_Ready'!$AJ$97="YES")+('10_Analysis_Ready'!$AK$97="YES")+('10_Analysis_Ready'!$AL$97="YES"))=0,'10_Analysis_Ready'!$AF$97&lt;&gt;"NONE"),AND(((OR('10_Analysis_Ready'!$AG$97="YES",'10_Analysis_Ready'!$AH$97="YES"))*1+('10_Analysis_Ready'!$AI$97="YES")+('10_Analysis_Ready'!$AJ$97="YES")+('10_Analysis_Ready'!$AK$97="YES")+('10_Analysis_Ready'!$AL$97="YES"))=1,OR('10_Analysis_Ready'!$AF$97="NONE",'10_Analysis_Ready'!$AF$97="MULTIPLE")),AND(((OR('10_Analysis_Ready'!$AG$97="YES",'10_Analysis_Ready'!$AH$97="YES"))*1+('10_Analysis_Ready'!$AI$97="YES")+('10_Analysis_Ready'!$AJ$97="YES")+('10_Analysis_Ready'!$AK$97="YES")+('10_Analysis_Ready'!$AL$97="YES"))&gt;=2,'10_Analysis_Ready'!$AF$97&lt;&gt;"MULTIPLE")),1,0))</f>
        <v>0</v>
      </c>
      <c r="F114">
        <f>IF('10_Analysis_Ready'!$A$97="",0,IF(AND('10_Analysis_Ready'!$AO$97="NO",COUNTIF('10_Analysis_Ready'!$AP$97:$AU$97,"YES")&gt;0),1,0))</f>
        <v>0</v>
      </c>
      <c r="G114">
        <f>IF('10_Analysis_Ready'!$A$97="",0,IF(OR(AND('10_Analysis_Ready'!$Y$97="GAN",'10_Analysis_Ready'!$AA$97="YES"),AND('10_Analysis_Ready'!$Y$97="DIFFUSION",'10_Analysis_Ready'!$Z$97="YES"),AND('10_Analysis_Ready'!$Y$97="GAN+DIFFUSION",OR('10_Analysis_Ready'!$Z$97&lt;&gt;"YES",'10_Analysis_Ready'!$AA$97&lt;&gt;"YES"))),1,0))</f>
        <v>0</v>
      </c>
      <c r="H114">
        <f>IF('10_Analysis_Ready'!$A$97="",0,IF(OR(AND('10_Analysis_Ready'!$BJ$97="NO",OR('10_Analysis_Ready'!$BK$97="HIGH",'10_Analysis_Ready'!$BK$97="VERY HIGH")),AND(((OR('10_Analysis_Ready'!$AG$97="YES",'10_Analysis_Ready'!$AH$97="YES"))*1+('10_Analysis_Ready'!$AI$97="YES")+('10_Analysis_Ready'!$AJ$97="YES")+('10_Analysis_Ready'!$AK$97="YES")+('10_Analysis_Ready'!$AL$97="YES"))=0,'10_Analysis_Ready'!$BJ$97="YES")),1,0))</f>
        <v>0</v>
      </c>
      <c r="I114">
        <f>IF('10_Analysis_Ready'!$A$97="",0,IF(AND(((OR('10_Analysis_Ready'!$AG$97="YES",'10_Analysis_Ready'!$AH$97="YES"))*1+('10_Analysis_Ready'!$AI$97="YES")+('10_Analysis_Ready'!$AJ$97="YES")+('10_Analysis_Ready'!$AK$97="YES")+('10_Analysis_Ready'!$AL$97="YES"))=0,'10_Analysis_Ready'!$AM$97&lt;&gt;"N/A"),1,0))</f>
        <v>0</v>
      </c>
      <c r="J114">
        <f>IF('10_Analysis_Ready'!$A$97="",0,IF(('28_Taxonomy_Coding'!$G$97="NONE")&lt;&gt;(((OR('10_Analysis_Ready'!$AG$97="YES",'10_Analysis_Ready'!$AH$97="YES"))*1+('10_Analysis_Ready'!$AI$97="YES")+('10_Analysis_Ready'!$AJ$97="YES")+('10_Analysis_Ready'!$AK$97="YES")+('10_Analysis_Ready'!$AL$97="YES"))=0),1,0))</f>
        <v>0</v>
      </c>
    </row>
    <row r="115" spans="1:10">
      <c r="A115">
        <v>98</v>
      </c>
      <c r="B115" t="str">
        <f>IF('10_Analysis_Ready'!$A$98="","",'10_Analysis_Ready'!$A$98)</f>
        <v>R0302</v>
      </c>
      <c r="C115">
        <f>IF('10_Analysis_Ready'!$A$98="",0,IF(AND('28_Taxonomy_Coding'!$A$98='10_Analysis_Ready'!$A$98,'14_Generalization_Map'!$A$98='10_Analysis_Ready'!$A$98),0,1))</f>
        <v>0</v>
      </c>
      <c r="D115">
        <f>IF('10_Analysis_Ready'!$A$98="",0,IF(COUNTIFS('06_Full_Text_Screening'!$A:$A,'10_Analysis_Ready'!$A$98,'06_Full_Text_Screening'!$J:$J,"INCLUDE")=1,0,1))</f>
        <v>0</v>
      </c>
      <c r="E115">
        <f>IF('10_Analysis_Ready'!$A$98="",0,IF(OR(AND(((OR('10_Analysis_Ready'!$AG$98="YES",'10_Analysis_Ready'!$AH$98="YES"))*1+('10_Analysis_Ready'!$AI$98="YES")+('10_Analysis_Ready'!$AJ$98="YES")+('10_Analysis_Ready'!$AK$98="YES")+('10_Analysis_Ready'!$AL$98="YES"))=0,'10_Analysis_Ready'!$AF$98&lt;&gt;"NONE"),AND(((OR('10_Analysis_Ready'!$AG$98="YES",'10_Analysis_Ready'!$AH$98="YES"))*1+('10_Analysis_Ready'!$AI$98="YES")+('10_Analysis_Ready'!$AJ$98="YES")+('10_Analysis_Ready'!$AK$98="YES")+('10_Analysis_Ready'!$AL$98="YES"))=1,OR('10_Analysis_Ready'!$AF$98="NONE",'10_Analysis_Ready'!$AF$98="MULTIPLE")),AND(((OR('10_Analysis_Ready'!$AG$98="YES",'10_Analysis_Ready'!$AH$98="YES"))*1+('10_Analysis_Ready'!$AI$98="YES")+('10_Analysis_Ready'!$AJ$98="YES")+('10_Analysis_Ready'!$AK$98="YES")+('10_Analysis_Ready'!$AL$98="YES"))&gt;=2,'10_Analysis_Ready'!$AF$98&lt;&gt;"MULTIPLE")),1,0))</f>
        <v>0</v>
      </c>
      <c r="F115">
        <f>IF('10_Analysis_Ready'!$A$98="",0,IF(AND('10_Analysis_Ready'!$AO$98="NO",COUNTIF('10_Analysis_Ready'!$AP$98:$AU$98,"YES")&gt;0),1,0))</f>
        <v>0</v>
      </c>
      <c r="G115">
        <f>IF('10_Analysis_Ready'!$A$98="",0,IF(OR(AND('10_Analysis_Ready'!$Y$98="GAN",'10_Analysis_Ready'!$AA$98="YES"),AND('10_Analysis_Ready'!$Y$98="DIFFUSION",'10_Analysis_Ready'!$Z$98="YES"),AND('10_Analysis_Ready'!$Y$98="GAN+DIFFUSION",OR('10_Analysis_Ready'!$Z$98&lt;&gt;"YES",'10_Analysis_Ready'!$AA$98&lt;&gt;"YES"))),1,0))</f>
        <v>0</v>
      </c>
      <c r="H115">
        <f>IF('10_Analysis_Ready'!$A$98="",0,IF(OR(AND('10_Analysis_Ready'!$BJ$98="NO",OR('10_Analysis_Ready'!$BK$98="HIGH",'10_Analysis_Ready'!$BK$98="VERY HIGH")),AND(((OR('10_Analysis_Ready'!$AG$98="YES",'10_Analysis_Ready'!$AH$98="YES"))*1+('10_Analysis_Ready'!$AI$98="YES")+('10_Analysis_Ready'!$AJ$98="YES")+('10_Analysis_Ready'!$AK$98="YES")+('10_Analysis_Ready'!$AL$98="YES"))=0,'10_Analysis_Ready'!$BJ$98="YES")),1,0))</f>
        <v>0</v>
      </c>
      <c r="I115">
        <f>IF('10_Analysis_Ready'!$A$98="",0,IF(AND(((OR('10_Analysis_Ready'!$AG$98="YES",'10_Analysis_Ready'!$AH$98="YES"))*1+('10_Analysis_Ready'!$AI$98="YES")+('10_Analysis_Ready'!$AJ$98="YES")+('10_Analysis_Ready'!$AK$98="YES")+('10_Analysis_Ready'!$AL$98="YES"))=0,'10_Analysis_Ready'!$AM$98&lt;&gt;"N/A"),1,0))</f>
        <v>0</v>
      </c>
      <c r="J115">
        <f>IF('10_Analysis_Ready'!$A$98="",0,IF(('28_Taxonomy_Coding'!$G$98="NONE")&lt;&gt;(((OR('10_Analysis_Ready'!$AG$98="YES",'10_Analysis_Ready'!$AH$98="YES"))*1+('10_Analysis_Ready'!$AI$98="YES")+('10_Analysis_Ready'!$AJ$98="YES")+('10_Analysis_Ready'!$AK$98="YES")+('10_Analysis_Ready'!$AL$98="YES"))=0),1,0))</f>
        <v>0</v>
      </c>
    </row>
    <row r="116" spans="1:10">
      <c r="A116">
        <v>99</v>
      </c>
      <c r="B116" t="str">
        <f>IF('10_Analysis_Ready'!$A$99="","",'10_Analysis_Ready'!$A$99)</f>
        <v>R0309</v>
      </c>
      <c r="C116">
        <f>IF('10_Analysis_Ready'!$A$99="",0,IF(AND('28_Taxonomy_Coding'!$A$99='10_Analysis_Ready'!$A$99,'14_Generalization_Map'!$A$99='10_Analysis_Ready'!$A$99),0,1))</f>
        <v>0</v>
      </c>
      <c r="D116">
        <f>IF('10_Analysis_Ready'!$A$99="",0,IF(COUNTIFS('06_Full_Text_Screening'!$A:$A,'10_Analysis_Ready'!$A$99,'06_Full_Text_Screening'!$J:$J,"INCLUDE")=1,0,1))</f>
        <v>0</v>
      </c>
      <c r="E116">
        <f>IF('10_Analysis_Ready'!$A$99="",0,IF(OR(AND(((OR('10_Analysis_Ready'!$AG$99="YES",'10_Analysis_Ready'!$AH$99="YES"))*1+('10_Analysis_Ready'!$AI$99="YES")+('10_Analysis_Ready'!$AJ$99="YES")+('10_Analysis_Ready'!$AK$99="YES")+('10_Analysis_Ready'!$AL$99="YES"))=0,'10_Analysis_Ready'!$AF$99&lt;&gt;"NONE"),AND(((OR('10_Analysis_Ready'!$AG$99="YES",'10_Analysis_Ready'!$AH$99="YES"))*1+('10_Analysis_Ready'!$AI$99="YES")+('10_Analysis_Ready'!$AJ$99="YES")+('10_Analysis_Ready'!$AK$99="YES")+('10_Analysis_Ready'!$AL$99="YES"))=1,OR('10_Analysis_Ready'!$AF$99="NONE",'10_Analysis_Ready'!$AF$99="MULTIPLE")),AND(((OR('10_Analysis_Ready'!$AG$99="YES",'10_Analysis_Ready'!$AH$99="YES"))*1+('10_Analysis_Ready'!$AI$99="YES")+('10_Analysis_Ready'!$AJ$99="YES")+('10_Analysis_Ready'!$AK$99="YES")+('10_Analysis_Ready'!$AL$99="YES"))&gt;=2,'10_Analysis_Ready'!$AF$99&lt;&gt;"MULTIPLE")),1,0))</f>
        <v>0</v>
      </c>
      <c r="F116">
        <f>IF('10_Analysis_Ready'!$A$99="",0,IF(AND('10_Analysis_Ready'!$AO$99="NO",COUNTIF('10_Analysis_Ready'!$AP$99:$AU$99,"YES")&gt;0),1,0))</f>
        <v>0</v>
      </c>
      <c r="G116">
        <f>IF('10_Analysis_Ready'!$A$99="",0,IF(OR(AND('10_Analysis_Ready'!$Y$99="GAN",'10_Analysis_Ready'!$AA$99="YES"),AND('10_Analysis_Ready'!$Y$99="DIFFUSION",'10_Analysis_Ready'!$Z$99="YES"),AND('10_Analysis_Ready'!$Y$99="GAN+DIFFUSION",OR('10_Analysis_Ready'!$Z$99&lt;&gt;"YES",'10_Analysis_Ready'!$AA$99&lt;&gt;"YES"))),1,0))</f>
        <v>0</v>
      </c>
      <c r="H116">
        <f>IF('10_Analysis_Ready'!$A$99="",0,IF(OR(AND('10_Analysis_Ready'!$BJ$99="NO",OR('10_Analysis_Ready'!$BK$99="HIGH",'10_Analysis_Ready'!$BK$99="VERY HIGH")),AND(((OR('10_Analysis_Ready'!$AG$99="YES",'10_Analysis_Ready'!$AH$99="YES"))*1+('10_Analysis_Ready'!$AI$99="YES")+('10_Analysis_Ready'!$AJ$99="YES")+('10_Analysis_Ready'!$AK$99="YES")+('10_Analysis_Ready'!$AL$99="YES"))=0,'10_Analysis_Ready'!$BJ$99="YES")),1,0))</f>
        <v>0</v>
      </c>
      <c r="I116">
        <f>IF('10_Analysis_Ready'!$A$99="",0,IF(AND(((OR('10_Analysis_Ready'!$AG$99="YES",'10_Analysis_Ready'!$AH$99="YES"))*1+('10_Analysis_Ready'!$AI$99="YES")+('10_Analysis_Ready'!$AJ$99="YES")+('10_Analysis_Ready'!$AK$99="YES")+('10_Analysis_Ready'!$AL$99="YES"))=0,'10_Analysis_Ready'!$AM$99&lt;&gt;"N/A"),1,0))</f>
        <v>0</v>
      </c>
      <c r="J116">
        <f>IF('10_Analysis_Ready'!$A$99="",0,IF(('28_Taxonomy_Coding'!$G$99="NONE")&lt;&gt;(((OR('10_Analysis_Ready'!$AG$99="YES",'10_Analysis_Ready'!$AH$99="YES"))*1+('10_Analysis_Ready'!$AI$99="YES")+('10_Analysis_Ready'!$AJ$99="YES")+('10_Analysis_Ready'!$AK$99="YES")+('10_Analysis_Ready'!$AL$99="YES"))=0),1,0))</f>
        <v>0</v>
      </c>
    </row>
    <row r="117" spans="1:10">
      <c r="A117">
        <v>100</v>
      </c>
      <c r="B117" t="str">
        <f>IF('10_Analysis_Ready'!$A$100="","",'10_Analysis_Ready'!$A$100)</f>
        <v>R0321</v>
      </c>
      <c r="C117">
        <f>IF('10_Analysis_Ready'!$A$100="",0,IF(AND('28_Taxonomy_Coding'!$A$100='10_Analysis_Ready'!$A$100,'14_Generalization_Map'!$A$100='10_Analysis_Ready'!$A$100),0,1))</f>
        <v>0</v>
      </c>
      <c r="D117">
        <f>IF('10_Analysis_Ready'!$A$100="",0,IF(COUNTIFS('06_Full_Text_Screening'!$A:$A,'10_Analysis_Ready'!$A$100,'06_Full_Text_Screening'!$J:$J,"INCLUDE")=1,0,1))</f>
        <v>0</v>
      </c>
      <c r="E117">
        <f>IF('10_Analysis_Ready'!$A$100="",0,IF(OR(AND(((OR('10_Analysis_Ready'!$AG$100="YES",'10_Analysis_Ready'!$AH$100="YES"))*1+('10_Analysis_Ready'!$AI$100="YES")+('10_Analysis_Ready'!$AJ$100="YES")+('10_Analysis_Ready'!$AK$100="YES")+('10_Analysis_Ready'!$AL$100="YES"))=0,'10_Analysis_Ready'!$AF$100&lt;&gt;"NONE"),AND(((OR('10_Analysis_Ready'!$AG$100="YES",'10_Analysis_Ready'!$AH$100="YES"))*1+('10_Analysis_Ready'!$AI$100="YES")+('10_Analysis_Ready'!$AJ$100="YES")+('10_Analysis_Ready'!$AK$100="YES")+('10_Analysis_Ready'!$AL$100="YES"))=1,OR('10_Analysis_Ready'!$AF$100="NONE",'10_Analysis_Ready'!$AF$100="MULTIPLE")),AND(((OR('10_Analysis_Ready'!$AG$100="YES",'10_Analysis_Ready'!$AH$100="YES"))*1+('10_Analysis_Ready'!$AI$100="YES")+('10_Analysis_Ready'!$AJ$100="YES")+('10_Analysis_Ready'!$AK$100="YES")+('10_Analysis_Ready'!$AL$100="YES"))&gt;=2,'10_Analysis_Ready'!$AF$100&lt;&gt;"MULTIPLE")),1,0))</f>
        <v>0</v>
      </c>
      <c r="F117">
        <f>IF('10_Analysis_Ready'!$A$100="",0,IF(AND('10_Analysis_Ready'!$AO$100="NO",COUNTIF('10_Analysis_Ready'!$AP$100:$AU$100,"YES")&gt;0),1,0))</f>
        <v>0</v>
      </c>
      <c r="G117">
        <f>IF('10_Analysis_Ready'!$A$100="",0,IF(OR(AND('10_Analysis_Ready'!$Y$100="GAN",'10_Analysis_Ready'!$AA$100="YES"),AND('10_Analysis_Ready'!$Y$100="DIFFUSION",'10_Analysis_Ready'!$Z$100="YES"),AND('10_Analysis_Ready'!$Y$100="GAN+DIFFUSION",OR('10_Analysis_Ready'!$Z$100&lt;&gt;"YES",'10_Analysis_Ready'!$AA$100&lt;&gt;"YES"))),1,0))</f>
        <v>0</v>
      </c>
      <c r="H117">
        <f>IF('10_Analysis_Ready'!$A$100="",0,IF(OR(AND('10_Analysis_Ready'!$BJ$100="NO",OR('10_Analysis_Ready'!$BK$100="HIGH",'10_Analysis_Ready'!$BK$100="VERY HIGH")),AND(((OR('10_Analysis_Ready'!$AG$100="YES",'10_Analysis_Ready'!$AH$100="YES"))*1+('10_Analysis_Ready'!$AI$100="YES")+('10_Analysis_Ready'!$AJ$100="YES")+('10_Analysis_Ready'!$AK$100="YES")+('10_Analysis_Ready'!$AL$100="YES"))=0,'10_Analysis_Ready'!$BJ$100="YES")),1,0))</f>
        <v>0</v>
      </c>
      <c r="I117">
        <f>IF('10_Analysis_Ready'!$A$100="",0,IF(AND(((OR('10_Analysis_Ready'!$AG$100="YES",'10_Analysis_Ready'!$AH$100="YES"))*1+('10_Analysis_Ready'!$AI$100="YES")+('10_Analysis_Ready'!$AJ$100="YES")+('10_Analysis_Ready'!$AK$100="YES")+('10_Analysis_Ready'!$AL$100="YES"))=0,'10_Analysis_Ready'!$AM$100&lt;&gt;"N/A"),1,0))</f>
        <v>0</v>
      </c>
      <c r="J117">
        <f>IF('10_Analysis_Ready'!$A$100="",0,IF(('28_Taxonomy_Coding'!$G$100="NONE")&lt;&gt;(((OR('10_Analysis_Ready'!$AG$100="YES",'10_Analysis_Ready'!$AH$100="YES"))*1+('10_Analysis_Ready'!$AI$100="YES")+('10_Analysis_Ready'!$AJ$100="YES")+('10_Analysis_Ready'!$AK$100="YES")+('10_Analysis_Ready'!$AL$100="YES"))=0),1,0))</f>
        <v>0</v>
      </c>
    </row>
    <row r="118" spans="1:10">
      <c r="A118">
        <v>101</v>
      </c>
      <c r="B118" t="str">
        <f>IF('10_Analysis_Ready'!$A$101="","",'10_Analysis_Ready'!$A$101)</f>
        <v>R0325</v>
      </c>
      <c r="C118">
        <f>IF('10_Analysis_Ready'!$A$101="",0,IF(AND('28_Taxonomy_Coding'!$A$101='10_Analysis_Ready'!$A$101,'14_Generalization_Map'!$A$101='10_Analysis_Ready'!$A$101),0,1))</f>
        <v>0</v>
      </c>
      <c r="D118">
        <f>IF('10_Analysis_Ready'!$A$101="",0,IF(COUNTIFS('06_Full_Text_Screening'!$A:$A,'10_Analysis_Ready'!$A$101,'06_Full_Text_Screening'!$J:$J,"INCLUDE")=1,0,1))</f>
        <v>0</v>
      </c>
      <c r="E118">
        <f>IF('10_Analysis_Ready'!$A$101="",0,IF(OR(AND(((OR('10_Analysis_Ready'!$AG$101="YES",'10_Analysis_Ready'!$AH$101="YES"))*1+('10_Analysis_Ready'!$AI$101="YES")+('10_Analysis_Ready'!$AJ$101="YES")+('10_Analysis_Ready'!$AK$101="YES")+('10_Analysis_Ready'!$AL$101="YES"))=0,'10_Analysis_Ready'!$AF$101&lt;&gt;"NONE"),AND(((OR('10_Analysis_Ready'!$AG$101="YES",'10_Analysis_Ready'!$AH$101="YES"))*1+('10_Analysis_Ready'!$AI$101="YES")+('10_Analysis_Ready'!$AJ$101="YES")+('10_Analysis_Ready'!$AK$101="YES")+('10_Analysis_Ready'!$AL$101="YES"))=1,OR('10_Analysis_Ready'!$AF$101="NONE",'10_Analysis_Ready'!$AF$101="MULTIPLE")),AND(((OR('10_Analysis_Ready'!$AG$101="YES",'10_Analysis_Ready'!$AH$101="YES"))*1+('10_Analysis_Ready'!$AI$101="YES")+('10_Analysis_Ready'!$AJ$101="YES")+('10_Analysis_Ready'!$AK$101="YES")+('10_Analysis_Ready'!$AL$101="YES"))&gt;=2,'10_Analysis_Ready'!$AF$101&lt;&gt;"MULTIPLE")),1,0))</f>
        <v>0</v>
      </c>
      <c r="F118">
        <f>IF('10_Analysis_Ready'!$A$101="",0,IF(AND('10_Analysis_Ready'!$AO$101="NO",COUNTIF('10_Analysis_Ready'!$AP$101:$AU$101,"YES")&gt;0),1,0))</f>
        <v>0</v>
      </c>
      <c r="G118">
        <f>IF('10_Analysis_Ready'!$A$101="",0,IF(OR(AND('10_Analysis_Ready'!$Y$101="GAN",'10_Analysis_Ready'!$AA$101="YES"),AND('10_Analysis_Ready'!$Y$101="DIFFUSION",'10_Analysis_Ready'!$Z$101="YES"),AND('10_Analysis_Ready'!$Y$101="GAN+DIFFUSION",OR('10_Analysis_Ready'!$Z$101&lt;&gt;"YES",'10_Analysis_Ready'!$AA$101&lt;&gt;"YES"))),1,0))</f>
        <v>0</v>
      </c>
      <c r="H118">
        <f>IF('10_Analysis_Ready'!$A$101="",0,IF(OR(AND('10_Analysis_Ready'!$BJ$101="NO",OR('10_Analysis_Ready'!$BK$101="HIGH",'10_Analysis_Ready'!$BK$101="VERY HIGH")),AND(((OR('10_Analysis_Ready'!$AG$101="YES",'10_Analysis_Ready'!$AH$101="YES"))*1+('10_Analysis_Ready'!$AI$101="YES")+('10_Analysis_Ready'!$AJ$101="YES")+('10_Analysis_Ready'!$AK$101="YES")+('10_Analysis_Ready'!$AL$101="YES"))=0,'10_Analysis_Ready'!$BJ$101="YES")),1,0))</f>
        <v>0</v>
      </c>
      <c r="I118">
        <f>IF('10_Analysis_Ready'!$A$101="",0,IF(AND(((OR('10_Analysis_Ready'!$AG$101="YES",'10_Analysis_Ready'!$AH$101="YES"))*1+('10_Analysis_Ready'!$AI$101="YES")+('10_Analysis_Ready'!$AJ$101="YES")+('10_Analysis_Ready'!$AK$101="YES")+('10_Analysis_Ready'!$AL$101="YES"))=0,'10_Analysis_Ready'!$AM$101&lt;&gt;"N/A"),1,0))</f>
        <v>0</v>
      </c>
      <c r="J118">
        <f>IF('10_Analysis_Ready'!$A$101="",0,IF(('28_Taxonomy_Coding'!$G$101="NONE")&lt;&gt;(((OR('10_Analysis_Ready'!$AG$101="YES",'10_Analysis_Ready'!$AH$101="YES"))*1+('10_Analysis_Ready'!$AI$101="YES")+('10_Analysis_Ready'!$AJ$101="YES")+('10_Analysis_Ready'!$AK$101="YES")+('10_Analysis_Ready'!$AL$101="YES"))=0),1,0))</f>
        <v>0</v>
      </c>
    </row>
    <row r="119" spans="1:10">
      <c r="A119">
        <v>102</v>
      </c>
      <c r="B119" t="str">
        <f>IF('10_Analysis_Ready'!$A$102="","",'10_Analysis_Ready'!$A$102)</f>
        <v>R0345</v>
      </c>
      <c r="C119">
        <f>IF('10_Analysis_Ready'!$A$102="",0,IF(AND('28_Taxonomy_Coding'!$A$102='10_Analysis_Ready'!$A$102,'14_Generalization_Map'!$A$102='10_Analysis_Ready'!$A$102),0,1))</f>
        <v>0</v>
      </c>
      <c r="D119">
        <f>IF('10_Analysis_Ready'!$A$102="",0,IF(COUNTIFS('06_Full_Text_Screening'!$A:$A,'10_Analysis_Ready'!$A$102,'06_Full_Text_Screening'!$J:$J,"INCLUDE")=1,0,1))</f>
        <v>0</v>
      </c>
      <c r="E119">
        <f>IF('10_Analysis_Ready'!$A$102="",0,IF(OR(AND(((OR('10_Analysis_Ready'!$AG$102="YES",'10_Analysis_Ready'!$AH$102="YES"))*1+('10_Analysis_Ready'!$AI$102="YES")+('10_Analysis_Ready'!$AJ$102="YES")+('10_Analysis_Ready'!$AK$102="YES")+('10_Analysis_Ready'!$AL$102="YES"))=0,'10_Analysis_Ready'!$AF$102&lt;&gt;"NONE"),AND(((OR('10_Analysis_Ready'!$AG$102="YES",'10_Analysis_Ready'!$AH$102="YES"))*1+('10_Analysis_Ready'!$AI$102="YES")+('10_Analysis_Ready'!$AJ$102="YES")+('10_Analysis_Ready'!$AK$102="YES")+('10_Analysis_Ready'!$AL$102="YES"))=1,OR('10_Analysis_Ready'!$AF$102="NONE",'10_Analysis_Ready'!$AF$102="MULTIPLE")),AND(((OR('10_Analysis_Ready'!$AG$102="YES",'10_Analysis_Ready'!$AH$102="YES"))*1+('10_Analysis_Ready'!$AI$102="YES")+('10_Analysis_Ready'!$AJ$102="YES")+('10_Analysis_Ready'!$AK$102="YES")+('10_Analysis_Ready'!$AL$102="YES"))&gt;=2,'10_Analysis_Ready'!$AF$102&lt;&gt;"MULTIPLE")),1,0))</f>
        <v>0</v>
      </c>
      <c r="F119">
        <f>IF('10_Analysis_Ready'!$A$102="",0,IF(AND('10_Analysis_Ready'!$AO$102="NO",COUNTIF('10_Analysis_Ready'!$AP$102:$AU$102,"YES")&gt;0),1,0))</f>
        <v>0</v>
      </c>
      <c r="G119">
        <f>IF('10_Analysis_Ready'!$A$102="",0,IF(OR(AND('10_Analysis_Ready'!$Y$102="GAN",'10_Analysis_Ready'!$AA$102="YES"),AND('10_Analysis_Ready'!$Y$102="DIFFUSION",'10_Analysis_Ready'!$Z$102="YES"),AND('10_Analysis_Ready'!$Y$102="GAN+DIFFUSION",OR('10_Analysis_Ready'!$Z$102&lt;&gt;"YES",'10_Analysis_Ready'!$AA$102&lt;&gt;"YES"))),1,0))</f>
        <v>0</v>
      </c>
      <c r="H119">
        <f>IF('10_Analysis_Ready'!$A$102="",0,IF(OR(AND('10_Analysis_Ready'!$BJ$102="NO",OR('10_Analysis_Ready'!$BK$102="HIGH",'10_Analysis_Ready'!$BK$102="VERY HIGH")),AND(((OR('10_Analysis_Ready'!$AG$102="YES",'10_Analysis_Ready'!$AH$102="YES"))*1+('10_Analysis_Ready'!$AI$102="YES")+('10_Analysis_Ready'!$AJ$102="YES")+('10_Analysis_Ready'!$AK$102="YES")+('10_Analysis_Ready'!$AL$102="YES"))=0,'10_Analysis_Ready'!$BJ$102="YES")),1,0))</f>
        <v>0</v>
      </c>
      <c r="I119">
        <f>IF('10_Analysis_Ready'!$A$102="",0,IF(AND(((OR('10_Analysis_Ready'!$AG$102="YES",'10_Analysis_Ready'!$AH$102="YES"))*1+('10_Analysis_Ready'!$AI$102="YES")+('10_Analysis_Ready'!$AJ$102="YES")+('10_Analysis_Ready'!$AK$102="YES")+('10_Analysis_Ready'!$AL$102="YES"))=0,'10_Analysis_Ready'!$AM$102&lt;&gt;"N/A"),1,0))</f>
        <v>0</v>
      </c>
      <c r="J119">
        <f>IF('10_Analysis_Ready'!$A$102="",0,IF(('28_Taxonomy_Coding'!$G$102="NONE")&lt;&gt;(((OR('10_Analysis_Ready'!$AG$102="YES",'10_Analysis_Ready'!$AH$102="YES"))*1+('10_Analysis_Ready'!$AI$102="YES")+('10_Analysis_Ready'!$AJ$102="YES")+('10_Analysis_Ready'!$AK$102="YES")+('10_Analysis_Ready'!$AL$102="YES"))=0),1,0))</f>
        <v>0</v>
      </c>
    </row>
    <row r="120" spans="1:10">
      <c r="A120">
        <v>103</v>
      </c>
      <c r="B120" t="str">
        <f>IF('10_Analysis_Ready'!$A$103="","",'10_Analysis_Ready'!$A$103)</f>
        <v/>
      </c>
      <c r="C120">
        <f>IF('10_Analysis_Ready'!$A$103="",0,IF(AND('28_Taxonomy_Coding'!$A$103='10_Analysis_Ready'!$A$103,'14_Generalization_Map'!$A$103='10_Analysis_Ready'!$A$103),0,1))</f>
        <v>0</v>
      </c>
      <c r="D120">
        <f>IF('10_Analysis_Ready'!$A$103="",0,IF(COUNTIFS('06_Full_Text_Screening'!$A:$A,'10_Analysis_Ready'!$A$103,'06_Full_Text_Screening'!$J:$J,"INCLUDE")=1,0,1))</f>
        <v>0</v>
      </c>
      <c r="E120">
        <f>IF('10_Analysis_Ready'!$A$103="",0,IF(OR(AND(((OR('10_Analysis_Ready'!$AG$103="YES",'10_Analysis_Ready'!$AH$103="YES"))*1+('10_Analysis_Ready'!$AI$103="YES")+('10_Analysis_Ready'!$AJ$103="YES")+('10_Analysis_Ready'!$AK$103="YES")+('10_Analysis_Ready'!$AL$103="YES"))=0,'10_Analysis_Ready'!$AF$103&lt;&gt;"NONE"),AND(((OR('10_Analysis_Ready'!$AG$103="YES",'10_Analysis_Ready'!$AH$103="YES"))*1+('10_Analysis_Ready'!$AI$103="YES")+('10_Analysis_Ready'!$AJ$103="YES")+('10_Analysis_Ready'!$AK$103="YES")+('10_Analysis_Ready'!$AL$103="YES"))=1,OR('10_Analysis_Ready'!$AF$103="NONE",'10_Analysis_Ready'!$AF$103="MULTIPLE")),AND(((OR('10_Analysis_Ready'!$AG$103="YES",'10_Analysis_Ready'!$AH$103="YES"))*1+('10_Analysis_Ready'!$AI$103="YES")+('10_Analysis_Ready'!$AJ$103="YES")+('10_Analysis_Ready'!$AK$103="YES")+('10_Analysis_Ready'!$AL$103="YES"))&gt;=2,'10_Analysis_Ready'!$AF$103&lt;&gt;"MULTIPLE")),1,0))</f>
        <v>0</v>
      </c>
      <c r="F120">
        <f>IF('10_Analysis_Ready'!$A$103="",0,IF(AND('10_Analysis_Ready'!$AO$103="NO",COUNTIF('10_Analysis_Ready'!$AP$103:$AU$103,"YES")&gt;0),1,0))</f>
        <v>0</v>
      </c>
      <c r="G120">
        <f>IF('10_Analysis_Ready'!$A$103="",0,IF(OR(AND('10_Analysis_Ready'!$Y$103="GAN",'10_Analysis_Ready'!$AA$103="YES"),AND('10_Analysis_Ready'!$Y$103="DIFFUSION",'10_Analysis_Ready'!$Z$103="YES"),AND('10_Analysis_Ready'!$Y$103="GAN+DIFFUSION",OR('10_Analysis_Ready'!$Z$103&lt;&gt;"YES",'10_Analysis_Ready'!$AA$103&lt;&gt;"YES"))),1,0))</f>
        <v>0</v>
      </c>
      <c r="H120">
        <f>IF('10_Analysis_Ready'!$A$103="",0,IF(OR(AND('10_Analysis_Ready'!$BJ$103="NO",OR('10_Analysis_Ready'!$BK$103="HIGH",'10_Analysis_Ready'!$BK$103="VERY HIGH")),AND(((OR('10_Analysis_Ready'!$AG$103="YES",'10_Analysis_Ready'!$AH$103="YES"))*1+('10_Analysis_Ready'!$AI$103="YES")+('10_Analysis_Ready'!$AJ$103="YES")+('10_Analysis_Ready'!$AK$103="YES")+('10_Analysis_Ready'!$AL$103="YES"))=0,'10_Analysis_Ready'!$BJ$103="YES")),1,0))</f>
        <v>0</v>
      </c>
      <c r="I120">
        <f>IF('10_Analysis_Ready'!$A$103="",0,IF(AND(((OR('10_Analysis_Ready'!$AG$103="YES",'10_Analysis_Ready'!$AH$103="YES"))*1+('10_Analysis_Ready'!$AI$103="YES")+('10_Analysis_Ready'!$AJ$103="YES")+('10_Analysis_Ready'!$AK$103="YES")+('10_Analysis_Ready'!$AL$103="YES"))=0,'10_Analysis_Ready'!$AM$103&lt;&gt;"N/A"),1,0))</f>
        <v>0</v>
      </c>
      <c r="J120">
        <f>IF('10_Analysis_Ready'!$A$103="",0,IF(('28_Taxonomy_Coding'!$G$103="NONE")&lt;&gt;(((OR('10_Analysis_Ready'!$AG$103="YES",'10_Analysis_Ready'!$AH$103="YES"))*1+('10_Analysis_Ready'!$AI$103="YES")+('10_Analysis_Ready'!$AJ$103="YES")+('10_Analysis_Ready'!$AK$103="YES")+('10_Analysis_Ready'!$AL$103="YES"))=0),1,0))</f>
        <v>0</v>
      </c>
    </row>
    <row r="121" spans="1:10">
      <c r="A121">
        <v>104</v>
      </c>
      <c r="B121" t="str">
        <f>IF('10_Analysis_Ready'!$A$104="","",'10_Analysis_Ready'!$A$104)</f>
        <v/>
      </c>
      <c r="C121">
        <f>IF('10_Analysis_Ready'!$A$104="",0,IF(AND('28_Taxonomy_Coding'!$A$104='10_Analysis_Ready'!$A$104,'14_Generalization_Map'!$A$104='10_Analysis_Ready'!$A$104),0,1))</f>
        <v>0</v>
      </c>
      <c r="D121">
        <f>IF('10_Analysis_Ready'!$A$104="",0,IF(COUNTIFS('06_Full_Text_Screening'!$A:$A,'10_Analysis_Ready'!$A$104,'06_Full_Text_Screening'!$J:$J,"INCLUDE")=1,0,1))</f>
        <v>0</v>
      </c>
      <c r="E121">
        <f>IF('10_Analysis_Ready'!$A$104="",0,IF(OR(AND(((OR('10_Analysis_Ready'!$AG$104="YES",'10_Analysis_Ready'!$AH$104="YES"))*1+('10_Analysis_Ready'!$AI$104="YES")+('10_Analysis_Ready'!$AJ$104="YES")+('10_Analysis_Ready'!$AK$104="YES")+('10_Analysis_Ready'!$AL$104="YES"))=0,'10_Analysis_Ready'!$AF$104&lt;&gt;"NONE"),AND(((OR('10_Analysis_Ready'!$AG$104="YES",'10_Analysis_Ready'!$AH$104="YES"))*1+('10_Analysis_Ready'!$AI$104="YES")+('10_Analysis_Ready'!$AJ$104="YES")+('10_Analysis_Ready'!$AK$104="YES")+('10_Analysis_Ready'!$AL$104="YES"))=1,OR('10_Analysis_Ready'!$AF$104="NONE",'10_Analysis_Ready'!$AF$104="MULTIPLE")),AND(((OR('10_Analysis_Ready'!$AG$104="YES",'10_Analysis_Ready'!$AH$104="YES"))*1+('10_Analysis_Ready'!$AI$104="YES")+('10_Analysis_Ready'!$AJ$104="YES")+('10_Analysis_Ready'!$AK$104="YES")+('10_Analysis_Ready'!$AL$104="YES"))&gt;=2,'10_Analysis_Ready'!$AF$104&lt;&gt;"MULTIPLE")),1,0))</f>
        <v>0</v>
      </c>
      <c r="F121">
        <f>IF('10_Analysis_Ready'!$A$104="",0,IF(AND('10_Analysis_Ready'!$AO$104="NO",COUNTIF('10_Analysis_Ready'!$AP$104:$AU$104,"YES")&gt;0),1,0))</f>
        <v>0</v>
      </c>
      <c r="G121">
        <f>IF('10_Analysis_Ready'!$A$104="",0,IF(OR(AND('10_Analysis_Ready'!$Y$104="GAN",'10_Analysis_Ready'!$AA$104="YES"),AND('10_Analysis_Ready'!$Y$104="DIFFUSION",'10_Analysis_Ready'!$Z$104="YES"),AND('10_Analysis_Ready'!$Y$104="GAN+DIFFUSION",OR('10_Analysis_Ready'!$Z$104&lt;&gt;"YES",'10_Analysis_Ready'!$AA$104&lt;&gt;"YES"))),1,0))</f>
        <v>0</v>
      </c>
      <c r="H121">
        <f>IF('10_Analysis_Ready'!$A$104="",0,IF(OR(AND('10_Analysis_Ready'!$BJ$104="NO",OR('10_Analysis_Ready'!$BK$104="HIGH",'10_Analysis_Ready'!$BK$104="VERY HIGH")),AND(((OR('10_Analysis_Ready'!$AG$104="YES",'10_Analysis_Ready'!$AH$104="YES"))*1+('10_Analysis_Ready'!$AI$104="YES")+('10_Analysis_Ready'!$AJ$104="YES")+('10_Analysis_Ready'!$AK$104="YES")+('10_Analysis_Ready'!$AL$104="YES"))=0,'10_Analysis_Ready'!$BJ$104="YES")),1,0))</f>
        <v>0</v>
      </c>
      <c r="I121">
        <f>IF('10_Analysis_Ready'!$A$104="",0,IF(AND(((OR('10_Analysis_Ready'!$AG$104="YES",'10_Analysis_Ready'!$AH$104="YES"))*1+('10_Analysis_Ready'!$AI$104="YES")+('10_Analysis_Ready'!$AJ$104="YES")+('10_Analysis_Ready'!$AK$104="YES")+('10_Analysis_Ready'!$AL$104="YES"))=0,'10_Analysis_Ready'!$AM$104&lt;&gt;"N/A"),1,0))</f>
        <v>0</v>
      </c>
      <c r="J121">
        <f>IF('10_Analysis_Ready'!$A$104="",0,IF(('28_Taxonomy_Coding'!$G$104="NONE")&lt;&gt;(((OR('10_Analysis_Ready'!$AG$104="YES",'10_Analysis_Ready'!$AH$104="YES"))*1+('10_Analysis_Ready'!$AI$104="YES")+('10_Analysis_Ready'!$AJ$104="YES")+('10_Analysis_Ready'!$AK$104="YES")+('10_Analysis_Ready'!$AL$104="YES"))=0),1,0))</f>
        <v>0</v>
      </c>
    </row>
    <row r="122" spans="1:10">
      <c r="A122">
        <v>105</v>
      </c>
      <c r="B122" t="str">
        <f>IF('10_Analysis_Ready'!$A$105="","",'10_Analysis_Ready'!$A$105)</f>
        <v/>
      </c>
      <c r="C122">
        <f>IF('10_Analysis_Ready'!$A$105="",0,IF(AND('28_Taxonomy_Coding'!$A$105='10_Analysis_Ready'!$A$105,'14_Generalization_Map'!$A$105='10_Analysis_Ready'!$A$105),0,1))</f>
        <v>0</v>
      </c>
      <c r="D122">
        <f>IF('10_Analysis_Ready'!$A$105="",0,IF(COUNTIFS('06_Full_Text_Screening'!$A:$A,'10_Analysis_Ready'!$A$105,'06_Full_Text_Screening'!$J:$J,"INCLUDE")=1,0,1))</f>
        <v>0</v>
      </c>
      <c r="E122">
        <f>IF('10_Analysis_Ready'!$A$105="",0,IF(OR(AND(((OR('10_Analysis_Ready'!$AG$105="YES",'10_Analysis_Ready'!$AH$105="YES"))*1+('10_Analysis_Ready'!$AI$105="YES")+('10_Analysis_Ready'!$AJ$105="YES")+('10_Analysis_Ready'!$AK$105="YES")+('10_Analysis_Ready'!$AL$105="YES"))=0,'10_Analysis_Ready'!$AF$105&lt;&gt;"NONE"),AND(((OR('10_Analysis_Ready'!$AG$105="YES",'10_Analysis_Ready'!$AH$105="YES"))*1+('10_Analysis_Ready'!$AI$105="YES")+('10_Analysis_Ready'!$AJ$105="YES")+('10_Analysis_Ready'!$AK$105="YES")+('10_Analysis_Ready'!$AL$105="YES"))=1,OR('10_Analysis_Ready'!$AF$105="NONE",'10_Analysis_Ready'!$AF$105="MULTIPLE")),AND(((OR('10_Analysis_Ready'!$AG$105="YES",'10_Analysis_Ready'!$AH$105="YES"))*1+('10_Analysis_Ready'!$AI$105="YES")+('10_Analysis_Ready'!$AJ$105="YES")+('10_Analysis_Ready'!$AK$105="YES")+('10_Analysis_Ready'!$AL$105="YES"))&gt;=2,'10_Analysis_Ready'!$AF$105&lt;&gt;"MULTIPLE")),1,0))</f>
        <v>0</v>
      </c>
      <c r="F122">
        <f>IF('10_Analysis_Ready'!$A$105="",0,IF(AND('10_Analysis_Ready'!$AO$105="NO",COUNTIF('10_Analysis_Ready'!$AP$105:$AU$105,"YES")&gt;0),1,0))</f>
        <v>0</v>
      </c>
      <c r="G122">
        <f>IF('10_Analysis_Ready'!$A$105="",0,IF(OR(AND('10_Analysis_Ready'!$Y$105="GAN",'10_Analysis_Ready'!$AA$105="YES"),AND('10_Analysis_Ready'!$Y$105="DIFFUSION",'10_Analysis_Ready'!$Z$105="YES"),AND('10_Analysis_Ready'!$Y$105="GAN+DIFFUSION",OR('10_Analysis_Ready'!$Z$105&lt;&gt;"YES",'10_Analysis_Ready'!$AA$105&lt;&gt;"YES"))),1,0))</f>
        <v>0</v>
      </c>
      <c r="H122">
        <f>IF('10_Analysis_Ready'!$A$105="",0,IF(OR(AND('10_Analysis_Ready'!$BJ$105="NO",OR('10_Analysis_Ready'!$BK$105="HIGH",'10_Analysis_Ready'!$BK$105="VERY HIGH")),AND(((OR('10_Analysis_Ready'!$AG$105="YES",'10_Analysis_Ready'!$AH$105="YES"))*1+('10_Analysis_Ready'!$AI$105="YES")+('10_Analysis_Ready'!$AJ$105="YES")+('10_Analysis_Ready'!$AK$105="YES")+('10_Analysis_Ready'!$AL$105="YES"))=0,'10_Analysis_Ready'!$BJ$105="YES")),1,0))</f>
        <v>0</v>
      </c>
      <c r="I122">
        <f>IF('10_Analysis_Ready'!$A$105="",0,IF(AND(((OR('10_Analysis_Ready'!$AG$105="YES",'10_Analysis_Ready'!$AH$105="YES"))*1+('10_Analysis_Ready'!$AI$105="YES")+('10_Analysis_Ready'!$AJ$105="YES")+('10_Analysis_Ready'!$AK$105="YES")+('10_Analysis_Ready'!$AL$105="YES"))=0,'10_Analysis_Ready'!$AM$105&lt;&gt;"N/A"),1,0))</f>
        <v>0</v>
      </c>
      <c r="J122">
        <f>IF('10_Analysis_Ready'!$A$105="",0,IF(('28_Taxonomy_Coding'!$G$105="NONE")&lt;&gt;(((OR('10_Analysis_Ready'!$AG$105="YES",'10_Analysis_Ready'!$AH$105="YES"))*1+('10_Analysis_Ready'!$AI$105="YES")+('10_Analysis_Ready'!$AJ$105="YES")+('10_Analysis_Ready'!$AK$105="YES")+('10_Analysis_Ready'!$AL$105="YES"))=0),1,0))</f>
        <v>0</v>
      </c>
    </row>
    <row r="123" spans="1:10">
      <c r="A123">
        <v>106</v>
      </c>
      <c r="B123" t="str">
        <f>IF('10_Analysis_Ready'!$A$106="","",'10_Analysis_Ready'!$A$106)</f>
        <v/>
      </c>
      <c r="C123">
        <f>IF('10_Analysis_Ready'!$A$106="",0,IF(AND('28_Taxonomy_Coding'!$A$106='10_Analysis_Ready'!$A$106,'14_Generalization_Map'!$A$106='10_Analysis_Ready'!$A$106),0,1))</f>
        <v>0</v>
      </c>
      <c r="D123">
        <f>IF('10_Analysis_Ready'!$A$106="",0,IF(COUNTIFS('06_Full_Text_Screening'!$A:$A,'10_Analysis_Ready'!$A$106,'06_Full_Text_Screening'!$J:$J,"INCLUDE")=1,0,1))</f>
        <v>0</v>
      </c>
      <c r="E123">
        <f>IF('10_Analysis_Ready'!$A$106="",0,IF(OR(AND(((OR('10_Analysis_Ready'!$AG$106="YES",'10_Analysis_Ready'!$AH$106="YES"))*1+('10_Analysis_Ready'!$AI$106="YES")+('10_Analysis_Ready'!$AJ$106="YES")+('10_Analysis_Ready'!$AK$106="YES")+('10_Analysis_Ready'!$AL$106="YES"))=0,'10_Analysis_Ready'!$AF$106&lt;&gt;"NONE"),AND(((OR('10_Analysis_Ready'!$AG$106="YES",'10_Analysis_Ready'!$AH$106="YES"))*1+('10_Analysis_Ready'!$AI$106="YES")+('10_Analysis_Ready'!$AJ$106="YES")+('10_Analysis_Ready'!$AK$106="YES")+('10_Analysis_Ready'!$AL$106="YES"))=1,OR('10_Analysis_Ready'!$AF$106="NONE",'10_Analysis_Ready'!$AF$106="MULTIPLE")),AND(((OR('10_Analysis_Ready'!$AG$106="YES",'10_Analysis_Ready'!$AH$106="YES"))*1+('10_Analysis_Ready'!$AI$106="YES")+('10_Analysis_Ready'!$AJ$106="YES")+('10_Analysis_Ready'!$AK$106="YES")+('10_Analysis_Ready'!$AL$106="YES"))&gt;=2,'10_Analysis_Ready'!$AF$106&lt;&gt;"MULTIPLE")),1,0))</f>
        <v>0</v>
      </c>
      <c r="F123">
        <f>IF('10_Analysis_Ready'!$A$106="",0,IF(AND('10_Analysis_Ready'!$AO$106="NO",COUNTIF('10_Analysis_Ready'!$AP$106:$AU$106,"YES")&gt;0),1,0))</f>
        <v>0</v>
      </c>
      <c r="G123">
        <f>IF('10_Analysis_Ready'!$A$106="",0,IF(OR(AND('10_Analysis_Ready'!$Y$106="GAN",'10_Analysis_Ready'!$AA$106="YES"),AND('10_Analysis_Ready'!$Y$106="DIFFUSION",'10_Analysis_Ready'!$Z$106="YES"),AND('10_Analysis_Ready'!$Y$106="GAN+DIFFUSION",OR('10_Analysis_Ready'!$Z$106&lt;&gt;"YES",'10_Analysis_Ready'!$AA$106&lt;&gt;"YES"))),1,0))</f>
        <v>0</v>
      </c>
      <c r="H123">
        <f>IF('10_Analysis_Ready'!$A$106="",0,IF(OR(AND('10_Analysis_Ready'!$BJ$106="NO",OR('10_Analysis_Ready'!$BK$106="HIGH",'10_Analysis_Ready'!$BK$106="VERY HIGH")),AND(((OR('10_Analysis_Ready'!$AG$106="YES",'10_Analysis_Ready'!$AH$106="YES"))*1+('10_Analysis_Ready'!$AI$106="YES")+('10_Analysis_Ready'!$AJ$106="YES")+('10_Analysis_Ready'!$AK$106="YES")+('10_Analysis_Ready'!$AL$106="YES"))=0,'10_Analysis_Ready'!$BJ$106="YES")),1,0))</f>
        <v>0</v>
      </c>
      <c r="I123">
        <f>IF('10_Analysis_Ready'!$A$106="",0,IF(AND(((OR('10_Analysis_Ready'!$AG$106="YES",'10_Analysis_Ready'!$AH$106="YES"))*1+('10_Analysis_Ready'!$AI$106="YES")+('10_Analysis_Ready'!$AJ$106="YES")+('10_Analysis_Ready'!$AK$106="YES")+('10_Analysis_Ready'!$AL$106="YES"))=0,'10_Analysis_Ready'!$AM$106&lt;&gt;"N/A"),1,0))</f>
        <v>0</v>
      </c>
      <c r="J123">
        <f>IF('10_Analysis_Ready'!$A$106="",0,IF(('28_Taxonomy_Coding'!$G$106="NONE")&lt;&gt;(((OR('10_Analysis_Ready'!$AG$106="YES",'10_Analysis_Ready'!$AH$106="YES"))*1+('10_Analysis_Ready'!$AI$106="YES")+('10_Analysis_Ready'!$AJ$106="YES")+('10_Analysis_Ready'!$AK$106="YES")+('10_Analysis_Ready'!$AL$106="YES"))=0),1,0))</f>
        <v>0</v>
      </c>
    </row>
    <row r="124" spans="1:10">
      <c r="A124">
        <v>107</v>
      </c>
      <c r="B124" t="str">
        <f>IF('10_Analysis_Ready'!$A$107="","",'10_Analysis_Ready'!$A$107)</f>
        <v/>
      </c>
      <c r="C124">
        <f>IF('10_Analysis_Ready'!$A$107="",0,IF(AND('28_Taxonomy_Coding'!$A$107='10_Analysis_Ready'!$A$107,'14_Generalization_Map'!$A$107='10_Analysis_Ready'!$A$107),0,1))</f>
        <v>0</v>
      </c>
      <c r="D124">
        <f>IF('10_Analysis_Ready'!$A$107="",0,IF(COUNTIFS('06_Full_Text_Screening'!$A:$A,'10_Analysis_Ready'!$A$107,'06_Full_Text_Screening'!$J:$J,"INCLUDE")=1,0,1))</f>
        <v>0</v>
      </c>
      <c r="E124">
        <f>IF('10_Analysis_Ready'!$A$107="",0,IF(OR(AND(((OR('10_Analysis_Ready'!$AG$107="YES",'10_Analysis_Ready'!$AH$107="YES"))*1+('10_Analysis_Ready'!$AI$107="YES")+('10_Analysis_Ready'!$AJ$107="YES")+('10_Analysis_Ready'!$AK$107="YES")+('10_Analysis_Ready'!$AL$107="YES"))=0,'10_Analysis_Ready'!$AF$107&lt;&gt;"NONE"),AND(((OR('10_Analysis_Ready'!$AG$107="YES",'10_Analysis_Ready'!$AH$107="YES"))*1+('10_Analysis_Ready'!$AI$107="YES")+('10_Analysis_Ready'!$AJ$107="YES")+('10_Analysis_Ready'!$AK$107="YES")+('10_Analysis_Ready'!$AL$107="YES"))=1,OR('10_Analysis_Ready'!$AF$107="NONE",'10_Analysis_Ready'!$AF$107="MULTIPLE")),AND(((OR('10_Analysis_Ready'!$AG$107="YES",'10_Analysis_Ready'!$AH$107="YES"))*1+('10_Analysis_Ready'!$AI$107="YES")+('10_Analysis_Ready'!$AJ$107="YES")+('10_Analysis_Ready'!$AK$107="YES")+('10_Analysis_Ready'!$AL$107="YES"))&gt;=2,'10_Analysis_Ready'!$AF$107&lt;&gt;"MULTIPLE")),1,0))</f>
        <v>0</v>
      </c>
      <c r="F124">
        <f>IF('10_Analysis_Ready'!$A$107="",0,IF(AND('10_Analysis_Ready'!$AO$107="NO",COUNTIF('10_Analysis_Ready'!$AP$107:$AU$107,"YES")&gt;0),1,0))</f>
        <v>0</v>
      </c>
      <c r="G124">
        <f>IF('10_Analysis_Ready'!$A$107="",0,IF(OR(AND('10_Analysis_Ready'!$Y$107="GAN",'10_Analysis_Ready'!$AA$107="YES"),AND('10_Analysis_Ready'!$Y$107="DIFFUSION",'10_Analysis_Ready'!$Z$107="YES"),AND('10_Analysis_Ready'!$Y$107="GAN+DIFFUSION",OR('10_Analysis_Ready'!$Z$107&lt;&gt;"YES",'10_Analysis_Ready'!$AA$107&lt;&gt;"YES"))),1,0))</f>
        <v>0</v>
      </c>
      <c r="H124">
        <f>IF('10_Analysis_Ready'!$A$107="",0,IF(OR(AND('10_Analysis_Ready'!$BJ$107="NO",OR('10_Analysis_Ready'!$BK$107="HIGH",'10_Analysis_Ready'!$BK$107="VERY HIGH")),AND(((OR('10_Analysis_Ready'!$AG$107="YES",'10_Analysis_Ready'!$AH$107="YES"))*1+('10_Analysis_Ready'!$AI$107="YES")+('10_Analysis_Ready'!$AJ$107="YES")+('10_Analysis_Ready'!$AK$107="YES")+('10_Analysis_Ready'!$AL$107="YES"))=0,'10_Analysis_Ready'!$BJ$107="YES")),1,0))</f>
        <v>0</v>
      </c>
      <c r="I124">
        <f>IF('10_Analysis_Ready'!$A$107="",0,IF(AND(((OR('10_Analysis_Ready'!$AG$107="YES",'10_Analysis_Ready'!$AH$107="YES"))*1+('10_Analysis_Ready'!$AI$107="YES")+('10_Analysis_Ready'!$AJ$107="YES")+('10_Analysis_Ready'!$AK$107="YES")+('10_Analysis_Ready'!$AL$107="YES"))=0,'10_Analysis_Ready'!$AM$107&lt;&gt;"N/A"),1,0))</f>
        <v>0</v>
      </c>
      <c r="J124">
        <f>IF('10_Analysis_Ready'!$A$107="",0,IF(('28_Taxonomy_Coding'!$G$107="NONE")&lt;&gt;(((OR('10_Analysis_Ready'!$AG$107="YES",'10_Analysis_Ready'!$AH$107="YES"))*1+('10_Analysis_Ready'!$AI$107="YES")+('10_Analysis_Ready'!$AJ$107="YES")+('10_Analysis_Ready'!$AK$107="YES")+('10_Analysis_Ready'!$AL$107="YES"))=0),1,0))</f>
        <v>0</v>
      </c>
    </row>
    <row r="125" spans="1:10">
      <c r="A125">
        <v>108</v>
      </c>
      <c r="B125" t="str">
        <f>IF('10_Analysis_Ready'!$A$108="","",'10_Analysis_Ready'!$A$108)</f>
        <v/>
      </c>
      <c r="C125">
        <f>IF('10_Analysis_Ready'!$A$108="",0,IF(AND('28_Taxonomy_Coding'!$A$108='10_Analysis_Ready'!$A$108,'14_Generalization_Map'!$A$108='10_Analysis_Ready'!$A$108),0,1))</f>
        <v>0</v>
      </c>
      <c r="D125">
        <f>IF('10_Analysis_Ready'!$A$108="",0,IF(COUNTIFS('06_Full_Text_Screening'!$A:$A,'10_Analysis_Ready'!$A$108,'06_Full_Text_Screening'!$J:$J,"INCLUDE")=1,0,1))</f>
        <v>0</v>
      </c>
      <c r="E125">
        <f>IF('10_Analysis_Ready'!$A$108="",0,IF(OR(AND(((OR('10_Analysis_Ready'!$AG$108="YES",'10_Analysis_Ready'!$AH$108="YES"))*1+('10_Analysis_Ready'!$AI$108="YES")+('10_Analysis_Ready'!$AJ$108="YES")+('10_Analysis_Ready'!$AK$108="YES")+('10_Analysis_Ready'!$AL$108="YES"))=0,'10_Analysis_Ready'!$AF$108&lt;&gt;"NONE"),AND(((OR('10_Analysis_Ready'!$AG$108="YES",'10_Analysis_Ready'!$AH$108="YES"))*1+('10_Analysis_Ready'!$AI$108="YES")+('10_Analysis_Ready'!$AJ$108="YES")+('10_Analysis_Ready'!$AK$108="YES")+('10_Analysis_Ready'!$AL$108="YES"))=1,OR('10_Analysis_Ready'!$AF$108="NONE",'10_Analysis_Ready'!$AF$108="MULTIPLE")),AND(((OR('10_Analysis_Ready'!$AG$108="YES",'10_Analysis_Ready'!$AH$108="YES"))*1+('10_Analysis_Ready'!$AI$108="YES")+('10_Analysis_Ready'!$AJ$108="YES")+('10_Analysis_Ready'!$AK$108="YES")+('10_Analysis_Ready'!$AL$108="YES"))&gt;=2,'10_Analysis_Ready'!$AF$108&lt;&gt;"MULTIPLE")),1,0))</f>
        <v>0</v>
      </c>
      <c r="F125">
        <f>IF('10_Analysis_Ready'!$A$108="",0,IF(AND('10_Analysis_Ready'!$AO$108="NO",COUNTIF('10_Analysis_Ready'!$AP$108:$AU$108,"YES")&gt;0),1,0))</f>
        <v>0</v>
      </c>
      <c r="G125">
        <f>IF('10_Analysis_Ready'!$A$108="",0,IF(OR(AND('10_Analysis_Ready'!$Y$108="GAN",'10_Analysis_Ready'!$AA$108="YES"),AND('10_Analysis_Ready'!$Y$108="DIFFUSION",'10_Analysis_Ready'!$Z$108="YES"),AND('10_Analysis_Ready'!$Y$108="GAN+DIFFUSION",OR('10_Analysis_Ready'!$Z$108&lt;&gt;"YES",'10_Analysis_Ready'!$AA$108&lt;&gt;"YES"))),1,0))</f>
        <v>0</v>
      </c>
      <c r="H125">
        <f>IF('10_Analysis_Ready'!$A$108="",0,IF(OR(AND('10_Analysis_Ready'!$BJ$108="NO",OR('10_Analysis_Ready'!$BK$108="HIGH",'10_Analysis_Ready'!$BK$108="VERY HIGH")),AND(((OR('10_Analysis_Ready'!$AG$108="YES",'10_Analysis_Ready'!$AH$108="YES"))*1+('10_Analysis_Ready'!$AI$108="YES")+('10_Analysis_Ready'!$AJ$108="YES")+('10_Analysis_Ready'!$AK$108="YES")+('10_Analysis_Ready'!$AL$108="YES"))=0,'10_Analysis_Ready'!$BJ$108="YES")),1,0))</f>
        <v>0</v>
      </c>
      <c r="I125">
        <f>IF('10_Analysis_Ready'!$A$108="",0,IF(AND(((OR('10_Analysis_Ready'!$AG$108="YES",'10_Analysis_Ready'!$AH$108="YES"))*1+('10_Analysis_Ready'!$AI$108="YES")+('10_Analysis_Ready'!$AJ$108="YES")+('10_Analysis_Ready'!$AK$108="YES")+('10_Analysis_Ready'!$AL$108="YES"))=0,'10_Analysis_Ready'!$AM$108&lt;&gt;"N/A"),1,0))</f>
        <v>0</v>
      </c>
      <c r="J125">
        <f>IF('10_Analysis_Ready'!$A$108="",0,IF(('28_Taxonomy_Coding'!$G$108="NONE")&lt;&gt;(((OR('10_Analysis_Ready'!$AG$108="YES",'10_Analysis_Ready'!$AH$108="YES"))*1+('10_Analysis_Ready'!$AI$108="YES")+('10_Analysis_Ready'!$AJ$108="YES")+('10_Analysis_Ready'!$AK$108="YES")+('10_Analysis_Ready'!$AL$108="YES"))=0),1,0))</f>
        <v>0</v>
      </c>
    </row>
    <row r="126" spans="1:10">
      <c r="A126">
        <v>109</v>
      </c>
      <c r="B126" t="str">
        <f>IF('10_Analysis_Ready'!$A$109="","",'10_Analysis_Ready'!$A$109)</f>
        <v/>
      </c>
      <c r="C126">
        <f>IF('10_Analysis_Ready'!$A$109="",0,IF(AND('28_Taxonomy_Coding'!$A$109='10_Analysis_Ready'!$A$109,'14_Generalization_Map'!$A$109='10_Analysis_Ready'!$A$109),0,1))</f>
        <v>0</v>
      </c>
      <c r="D126">
        <f>IF('10_Analysis_Ready'!$A$109="",0,IF(COUNTIFS('06_Full_Text_Screening'!$A:$A,'10_Analysis_Ready'!$A$109,'06_Full_Text_Screening'!$J:$J,"INCLUDE")=1,0,1))</f>
        <v>0</v>
      </c>
      <c r="E126">
        <f>IF('10_Analysis_Ready'!$A$109="",0,IF(OR(AND(((OR('10_Analysis_Ready'!$AG$109="YES",'10_Analysis_Ready'!$AH$109="YES"))*1+('10_Analysis_Ready'!$AI$109="YES")+('10_Analysis_Ready'!$AJ$109="YES")+('10_Analysis_Ready'!$AK$109="YES")+('10_Analysis_Ready'!$AL$109="YES"))=0,'10_Analysis_Ready'!$AF$109&lt;&gt;"NONE"),AND(((OR('10_Analysis_Ready'!$AG$109="YES",'10_Analysis_Ready'!$AH$109="YES"))*1+('10_Analysis_Ready'!$AI$109="YES")+('10_Analysis_Ready'!$AJ$109="YES")+('10_Analysis_Ready'!$AK$109="YES")+('10_Analysis_Ready'!$AL$109="YES"))=1,OR('10_Analysis_Ready'!$AF$109="NONE",'10_Analysis_Ready'!$AF$109="MULTIPLE")),AND(((OR('10_Analysis_Ready'!$AG$109="YES",'10_Analysis_Ready'!$AH$109="YES"))*1+('10_Analysis_Ready'!$AI$109="YES")+('10_Analysis_Ready'!$AJ$109="YES")+('10_Analysis_Ready'!$AK$109="YES")+('10_Analysis_Ready'!$AL$109="YES"))&gt;=2,'10_Analysis_Ready'!$AF$109&lt;&gt;"MULTIPLE")),1,0))</f>
        <v>0</v>
      </c>
      <c r="F126">
        <f>IF('10_Analysis_Ready'!$A$109="",0,IF(AND('10_Analysis_Ready'!$AO$109="NO",COUNTIF('10_Analysis_Ready'!$AP$109:$AU$109,"YES")&gt;0),1,0))</f>
        <v>0</v>
      </c>
      <c r="G126">
        <f>IF('10_Analysis_Ready'!$A$109="",0,IF(OR(AND('10_Analysis_Ready'!$Y$109="GAN",'10_Analysis_Ready'!$AA$109="YES"),AND('10_Analysis_Ready'!$Y$109="DIFFUSION",'10_Analysis_Ready'!$Z$109="YES"),AND('10_Analysis_Ready'!$Y$109="GAN+DIFFUSION",OR('10_Analysis_Ready'!$Z$109&lt;&gt;"YES",'10_Analysis_Ready'!$AA$109&lt;&gt;"YES"))),1,0))</f>
        <v>0</v>
      </c>
      <c r="H126">
        <f>IF('10_Analysis_Ready'!$A$109="",0,IF(OR(AND('10_Analysis_Ready'!$BJ$109="NO",OR('10_Analysis_Ready'!$BK$109="HIGH",'10_Analysis_Ready'!$BK$109="VERY HIGH")),AND(((OR('10_Analysis_Ready'!$AG$109="YES",'10_Analysis_Ready'!$AH$109="YES"))*1+('10_Analysis_Ready'!$AI$109="YES")+('10_Analysis_Ready'!$AJ$109="YES")+('10_Analysis_Ready'!$AK$109="YES")+('10_Analysis_Ready'!$AL$109="YES"))=0,'10_Analysis_Ready'!$BJ$109="YES")),1,0))</f>
        <v>0</v>
      </c>
      <c r="I126">
        <f>IF('10_Analysis_Ready'!$A$109="",0,IF(AND(((OR('10_Analysis_Ready'!$AG$109="YES",'10_Analysis_Ready'!$AH$109="YES"))*1+('10_Analysis_Ready'!$AI$109="YES")+('10_Analysis_Ready'!$AJ$109="YES")+('10_Analysis_Ready'!$AK$109="YES")+('10_Analysis_Ready'!$AL$109="YES"))=0,'10_Analysis_Ready'!$AM$109&lt;&gt;"N/A"),1,0))</f>
        <v>0</v>
      </c>
      <c r="J126">
        <f>IF('10_Analysis_Ready'!$A$109="",0,IF(('28_Taxonomy_Coding'!$G$109="NONE")&lt;&gt;(((OR('10_Analysis_Ready'!$AG$109="YES",'10_Analysis_Ready'!$AH$109="YES"))*1+('10_Analysis_Ready'!$AI$109="YES")+('10_Analysis_Ready'!$AJ$109="YES")+('10_Analysis_Ready'!$AK$109="YES")+('10_Analysis_Ready'!$AL$109="YES"))=0),1,0))</f>
        <v>0</v>
      </c>
    </row>
    <row r="127" spans="1:10">
      <c r="A127">
        <v>110</v>
      </c>
      <c r="B127" t="str">
        <f>IF('10_Analysis_Ready'!$A$110="","",'10_Analysis_Ready'!$A$110)</f>
        <v/>
      </c>
      <c r="C127">
        <f>IF('10_Analysis_Ready'!$A$110="",0,IF(AND('28_Taxonomy_Coding'!$A$110='10_Analysis_Ready'!$A$110,'14_Generalization_Map'!$A$110='10_Analysis_Ready'!$A$110),0,1))</f>
        <v>0</v>
      </c>
      <c r="D127">
        <f>IF('10_Analysis_Ready'!$A$110="",0,IF(COUNTIFS('06_Full_Text_Screening'!$A:$A,'10_Analysis_Ready'!$A$110,'06_Full_Text_Screening'!$J:$J,"INCLUDE")=1,0,1))</f>
        <v>0</v>
      </c>
      <c r="E127">
        <f>IF('10_Analysis_Ready'!$A$110="",0,IF(OR(AND(((OR('10_Analysis_Ready'!$AG$110="YES",'10_Analysis_Ready'!$AH$110="YES"))*1+('10_Analysis_Ready'!$AI$110="YES")+('10_Analysis_Ready'!$AJ$110="YES")+('10_Analysis_Ready'!$AK$110="YES")+('10_Analysis_Ready'!$AL$110="YES"))=0,'10_Analysis_Ready'!$AF$110&lt;&gt;"NONE"),AND(((OR('10_Analysis_Ready'!$AG$110="YES",'10_Analysis_Ready'!$AH$110="YES"))*1+('10_Analysis_Ready'!$AI$110="YES")+('10_Analysis_Ready'!$AJ$110="YES")+('10_Analysis_Ready'!$AK$110="YES")+('10_Analysis_Ready'!$AL$110="YES"))=1,OR('10_Analysis_Ready'!$AF$110="NONE",'10_Analysis_Ready'!$AF$110="MULTIPLE")),AND(((OR('10_Analysis_Ready'!$AG$110="YES",'10_Analysis_Ready'!$AH$110="YES"))*1+('10_Analysis_Ready'!$AI$110="YES")+('10_Analysis_Ready'!$AJ$110="YES")+('10_Analysis_Ready'!$AK$110="YES")+('10_Analysis_Ready'!$AL$110="YES"))&gt;=2,'10_Analysis_Ready'!$AF$110&lt;&gt;"MULTIPLE")),1,0))</f>
        <v>0</v>
      </c>
      <c r="F127">
        <f>IF('10_Analysis_Ready'!$A$110="",0,IF(AND('10_Analysis_Ready'!$AO$110="NO",COUNTIF('10_Analysis_Ready'!$AP$110:$AU$110,"YES")&gt;0),1,0))</f>
        <v>0</v>
      </c>
      <c r="G127">
        <f>IF('10_Analysis_Ready'!$A$110="",0,IF(OR(AND('10_Analysis_Ready'!$Y$110="GAN",'10_Analysis_Ready'!$AA$110="YES"),AND('10_Analysis_Ready'!$Y$110="DIFFUSION",'10_Analysis_Ready'!$Z$110="YES"),AND('10_Analysis_Ready'!$Y$110="GAN+DIFFUSION",OR('10_Analysis_Ready'!$Z$110&lt;&gt;"YES",'10_Analysis_Ready'!$AA$110&lt;&gt;"YES"))),1,0))</f>
        <v>0</v>
      </c>
      <c r="H127">
        <f>IF('10_Analysis_Ready'!$A$110="",0,IF(OR(AND('10_Analysis_Ready'!$BJ$110="NO",OR('10_Analysis_Ready'!$BK$110="HIGH",'10_Analysis_Ready'!$BK$110="VERY HIGH")),AND(((OR('10_Analysis_Ready'!$AG$110="YES",'10_Analysis_Ready'!$AH$110="YES"))*1+('10_Analysis_Ready'!$AI$110="YES")+('10_Analysis_Ready'!$AJ$110="YES")+('10_Analysis_Ready'!$AK$110="YES")+('10_Analysis_Ready'!$AL$110="YES"))=0,'10_Analysis_Ready'!$BJ$110="YES")),1,0))</f>
        <v>0</v>
      </c>
      <c r="I127">
        <f>IF('10_Analysis_Ready'!$A$110="",0,IF(AND(((OR('10_Analysis_Ready'!$AG$110="YES",'10_Analysis_Ready'!$AH$110="YES"))*1+('10_Analysis_Ready'!$AI$110="YES")+('10_Analysis_Ready'!$AJ$110="YES")+('10_Analysis_Ready'!$AK$110="YES")+('10_Analysis_Ready'!$AL$110="YES"))=0,'10_Analysis_Ready'!$AM$110&lt;&gt;"N/A"),1,0))</f>
        <v>0</v>
      </c>
      <c r="J127">
        <f>IF('10_Analysis_Ready'!$A$110="",0,IF(('28_Taxonomy_Coding'!$G$110="NONE")&lt;&gt;(((OR('10_Analysis_Ready'!$AG$110="YES",'10_Analysis_Ready'!$AH$110="YES"))*1+('10_Analysis_Ready'!$AI$110="YES")+('10_Analysis_Ready'!$AJ$110="YES")+('10_Analysis_Ready'!$AK$110="YES")+('10_Analysis_Ready'!$AL$110="YES"))=0),1,0))</f>
        <v>0</v>
      </c>
    </row>
    <row r="128" spans="1:10">
      <c r="A128">
        <v>111</v>
      </c>
      <c r="B128" t="str">
        <f>IF('10_Analysis_Ready'!$A$111="","",'10_Analysis_Ready'!$A$111)</f>
        <v/>
      </c>
      <c r="C128">
        <f>IF('10_Analysis_Ready'!$A$111="",0,IF(AND('28_Taxonomy_Coding'!$A$111='10_Analysis_Ready'!$A$111,'14_Generalization_Map'!$A$111='10_Analysis_Ready'!$A$111),0,1))</f>
        <v>0</v>
      </c>
      <c r="D128">
        <f>IF('10_Analysis_Ready'!$A$111="",0,IF(COUNTIFS('06_Full_Text_Screening'!$A:$A,'10_Analysis_Ready'!$A$111,'06_Full_Text_Screening'!$J:$J,"INCLUDE")=1,0,1))</f>
        <v>0</v>
      </c>
      <c r="E128">
        <f>IF('10_Analysis_Ready'!$A$111="",0,IF(OR(AND(((OR('10_Analysis_Ready'!$AG$111="YES",'10_Analysis_Ready'!$AH$111="YES"))*1+('10_Analysis_Ready'!$AI$111="YES")+('10_Analysis_Ready'!$AJ$111="YES")+('10_Analysis_Ready'!$AK$111="YES")+('10_Analysis_Ready'!$AL$111="YES"))=0,'10_Analysis_Ready'!$AF$111&lt;&gt;"NONE"),AND(((OR('10_Analysis_Ready'!$AG$111="YES",'10_Analysis_Ready'!$AH$111="YES"))*1+('10_Analysis_Ready'!$AI$111="YES")+('10_Analysis_Ready'!$AJ$111="YES")+('10_Analysis_Ready'!$AK$111="YES")+('10_Analysis_Ready'!$AL$111="YES"))=1,OR('10_Analysis_Ready'!$AF$111="NONE",'10_Analysis_Ready'!$AF$111="MULTIPLE")),AND(((OR('10_Analysis_Ready'!$AG$111="YES",'10_Analysis_Ready'!$AH$111="YES"))*1+('10_Analysis_Ready'!$AI$111="YES")+('10_Analysis_Ready'!$AJ$111="YES")+('10_Analysis_Ready'!$AK$111="YES")+('10_Analysis_Ready'!$AL$111="YES"))&gt;=2,'10_Analysis_Ready'!$AF$111&lt;&gt;"MULTIPLE")),1,0))</f>
        <v>0</v>
      </c>
      <c r="F128">
        <f>IF('10_Analysis_Ready'!$A$111="",0,IF(AND('10_Analysis_Ready'!$AO$111="NO",COUNTIF('10_Analysis_Ready'!$AP$111:$AU$111,"YES")&gt;0),1,0))</f>
        <v>0</v>
      </c>
      <c r="G128">
        <f>IF('10_Analysis_Ready'!$A$111="",0,IF(OR(AND('10_Analysis_Ready'!$Y$111="GAN",'10_Analysis_Ready'!$AA$111="YES"),AND('10_Analysis_Ready'!$Y$111="DIFFUSION",'10_Analysis_Ready'!$Z$111="YES"),AND('10_Analysis_Ready'!$Y$111="GAN+DIFFUSION",OR('10_Analysis_Ready'!$Z$111&lt;&gt;"YES",'10_Analysis_Ready'!$AA$111&lt;&gt;"YES"))),1,0))</f>
        <v>0</v>
      </c>
      <c r="H128">
        <f>IF('10_Analysis_Ready'!$A$111="",0,IF(OR(AND('10_Analysis_Ready'!$BJ$111="NO",OR('10_Analysis_Ready'!$BK$111="HIGH",'10_Analysis_Ready'!$BK$111="VERY HIGH")),AND(((OR('10_Analysis_Ready'!$AG$111="YES",'10_Analysis_Ready'!$AH$111="YES"))*1+('10_Analysis_Ready'!$AI$111="YES")+('10_Analysis_Ready'!$AJ$111="YES")+('10_Analysis_Ready'!$AK$111="YES")+('10_Analysis_Ready'!$AL$111="YES"))=0,'10_Analysis_Ready'!$BJ$111="YES")),1,0))</f>
        <v>0</v>
      </c>
      <c r="I128">
        <f>IF('10_Analysis_Ready'!$A$111="",0,IF(AND(((OR('10_Analysis_Ready'!$AG$111="YES",'10_Analysis_Ready'!$AH$111="YES"))*1+('10_Analysis_Ready'!$AI$111="YES")+('10_Analysis_Ready'!$AJ$111="YES")+('10_Analysis_Ready'!$AK$111="YES")+('10_Analysis_Ready'!$AL$111="YES"))=0,'10_Analysis_Ready'!$AM$111&lt;&gt;"N/A"),1,0))</f>
        <v>0</v>
      </c>
      <c r="J128">
        <f>IF('10_Analysis_Ready'!$A$111="",0,IF(('28_Taxonomy_Coding'!$G$111="NONE")&lt;&gt;(((OR('10_Analysis_Ready'!$AG$111="YES",'10_Analysis_Ready'!$AH$111="YES"))*1+('10_Analysis_Ready'!$AI$111="YES")+('10_Analysis_Ready'!$AJ$111="YES")+('10_Analysis_Ready'!$AK$111="YES")+('10_Analysis_Ready'!$AL$111="YES"))=0),1,0))</f>
        <v>0</v>
      </c>
    </row>
    <row r="129" spans="1:10">
      <c r="A129">
        <v>112</v>
      </c>
      <c r="B129" t="str">
        <f>IF('10_Analysis_Ready'!$A$112="","",'10_Analysis_Ready'!$A$112)</f>
        <v/>
      </c>
      <c r="C129">
        <f>IF('10_Analysis_Ready'!$A$112="",0,IF(AND('28_Taxonomy_Coding'!$A$112='10_Analysis_Ready'!$A$112,'14_Generalization_Map'!$A$112='10_Analysis_Ready'!$A$112),0,1))</f>
        <v>0</v>
      </c>
      <c r="D129">
        <f>IF('10_Analysis_Ready'!$A$112="",0,IF(COUNTIFS('06_Full_Text_Screening'!$A:$A,'10_Analysis_Ready'!$A$112,'06_Full_Text_Screening'!$J:$J,"INCLUDE")=1,0,1))</f>
        <v>0</v>
      </c>
      <c r="E129">
        <f>IF('10_Analysis_Ready'!$A$112="",0,IF(OR(AND(((OR('10_Analysis_Ready'!$AG$112="YES",'10_Analysis_Ready'!$AH$112="YES"))*1+('10_Analysis_Ready'!$AI$112="YES")+('10_Analysis_Ready'!$AJ$112="YES")+('10_Analysis_Ready'!$AK$112="YES")+('10_Analysis_Ready'!$AL$112="YES"))=0,'10_Analysis_Ready'!$AF$112&lt;&gt;"NONE"),AND(((OR('10_Analysis_Ready'!$AG$112="YES",'10_Analysis_Ready'!$AH$112="YES"))*1+('10_Analysis_Ready'!$AI$112="YES")+('10_Analysis_Ready'!$AJ$112="YES")+('10_Analysis_Ready'!$AK$112="YES")+('10_Analysis_Ready'!$AL$112="YES"))=1,OR('10_Analysis_Ready'!$AF$112="NONE",'10_Analysis_Ready'!$AF$112="MULTIPLE")),AND(((OR('10_Analysis_Ready'!$AG$112="YES",'10_Analysis_Ready'!$AH$112="YES"))*1+('10_Analysis_Ready'!$AI$112="YES")+('10_Analysis_Ready'!$AJ$112="YES")+('10_Analysis_Ready'!$AK$112="YES")+('10_Analysis_Ready'!$AL$112="YES"))&gt;=2,'10_Analysis_Ready'!$AF$112&lt;&gt;"MULTIPLE")),1,0))</f>
        <v>0</v>
      </c>
      <c r="F129">
        <f>IF('10_Analysis_Ready'!$A$112="",0,IF(AND('10_Analysis_Ready'!$AO$112="NO",COUNTIF('10_Analysis_Ready'!$AP$112:$AU$112,"YES")&gt;0),1,0))</f>
        <v>0</v>
      </c>
      <c r="G129">
        <f>IF('10_Analysis_Ready'!$A$112="",0,IF(OR(AND('10_Analysis_Ready'!$Y$112="GAN",'10_Analysis_Ready'!$AA$112="YES"),AND('10_Analysis_Ready'!$Y$112="DIFFUSION",'10_Analysis_Ready'!$Z$112="YES"),AND('10_Analysis_Ready'!$Y$112="GAN+DIFFUSION",OR('10_Analysis_Ready'!$Z$112&lt;&gt;"YES",'10_Analysis_Ready'!$AA$112&lt;&gt;"YES"))),1,0))</f>
        <v>0</v>
      </c>
      <c r="H129">
        <f>IF('10_Analysis_Ready'!$A$112="",0,IF(OR(AND('10_Analysis_Ready'!$BJ$112="NO",OR('10_Analysis_Ready'!$BK$112="HIGH",'10_Analysis_Ready'!$BK$112="VERY HIGH")),AND(((OR('10_Analysis_Ready'!$AG$112="YES",'10_Analysis_Ready'!$AH$112="YES"))*1+('10_Analysis_Ready'!$AI$112="YES")+('10_Analysis_Ready'!$AJ$112="YES")+('10_Analysis_Ready'!$AK$112="YES")+('10_Analysis_Ready'!$AL$112="YES"))=0,'10_Analysis_Ready'!$BJ$112="YES")),1,0))</f>
        <v>0</v>
      </c>
      <c r="I129">
        <f>IF('10_Analysis_Ready'!$A$112="",0,IF(AND(((OR('10_Analysis_Ready'!$AG$112="YES",'10_Analysis_Ready'!$AH$112="YES"))*1+('10_Analysis_Ready'!$AI$112="YES")+('10_Analysis_Ready'!$AJ$112="YES")+('10_Analysis_Ready'!$AK$112="YES")+('10_Analysis_Ready'!$AL$112="YES"))=0,'10_Analysis_Ready'!$AM$112&lt;&gt;"N/A"),1,0))</f>
        <v>0</v>
      </c>
      <c r="J129">
        <f>IF('10_Analysis_Ready'!$A$112="",0,IF(('28_Taxonomy_Coding'!$G$112="NONE")&lt;&gt;(((OR('10_Analysis_Ready'!$AG$112="YES",'10_Analysis_Ready'!$AH$112="YES"))*1+('10_Analysis_Ready'!$AI$112="YES")+('10_Analysis_Ready'!$AJ$112="YES")+('10_Analysis_Ready'!$AK$112="YES")+('10_Analysis_Ready'!$AL$112="YES"))=0),1,0))</f>
        <v>0</v>
      </c>
    </row>
    <row r="130" spans="1:10">
      <c r="A130">
        <v>113</v>
      </c>
      <c r="B130" t="str">
        <f>IF('10_Analysis_Ready'!$A$113="","",'10_Analysis_Ready'!$A$113)</f>
        <v/>
      </c>
      <c r="C130">
        <f>IF('10_Analysis_Ready'!$A$113="",0,IF(AND('28_Taxonomy_Coding'!$A$113='10_Analysis_Ready'!$A$113,'14_Generalization_Map'!$A$113='10_Analysis_Ready'!$A$113),0,1))</f>
        <v>0</v>
      </c>
      <c r="D130">
        <f>IF('10_Analysis_Ready'!$A$113="",0,IF(COUNTIFS('06_Full_Text_Screening'!$A:$A,'10_Analysis_Ready'!$A$113,'06_Full_Text_Screening'!$J:$J,"INCLUDE")=1,0,1))</f>
        <v>0</v>
      </c>
      <c r="E130">
        <f>IF('10_Analysis_Ready'!$A$113="",0,IF(OR(AND(((OR('10_Analysis_Ready'!$AG$113="YES",'10_Analysis_Ready'!$AH$113="YES"))*1+('10_Analysis_Ready'!$AI$113="YES")+('10_Analysis_Ready'!$AJ$113="YES")+('10_Analysis_Ready'!$AK$113="YES")+('10_Analysis_Ready'!$AL$113="YES"))=0,'10_Analysis_Ready'!$AF$113&lt;&gt;"NONE"),AND(((OR('10_Analysis_Ready'!$AG$113="YES",'10_Analysis_Ready'!$AH$113="YES"))*1+('10_Analysis_Ready'!$AI$113="YES")+('10_Analysis_Ready'!$AJ$113="YES")+('10_Analysis_Ready'!$AK$113="YES")+('10_Analysis_Ready'!$AL$113="YES"))=1,OR('10_Analysis_Ready'!$AF$113="NONE",'10_Analysis_Ready'!$AF$113="MULTIPLE")),AND(((OR('10_Analysis_Ready'!$AG$113="YES",'10_Analysis_Ready'!$AH$113="YES"))*1+('10_Analysis_Ready'!$AI$113="YES")+('10_Analysis_Ready'!$AJ$113="YES")+('10_Analysis_Ready'!$AK$113="YES")+('10_Analysis_Ready'!$AL$113="YES"))&gt;=2,'10_Analysis_Ready'!$AF$113&lt;&gt;"MULTIPLE")),1,0))</f>
        <v>0</v>
      </c>
      <c r="F130">
        <f>IF('10_Analysis_Ready'!$A$113="",0,IF(AND('10_Analysis_Ready'!$AO$113="NO",COUNTIF('10_Analysis_Ready'!$AP$113:$AU$113,"YES")&gt;0),1,0))</f>
        <v>0</v>
      </c>
      <c r="G130">
        <f>IF('10_Analysis_Ready'!$A$113="",0,IF(OR(AND('10_Analysis_Ready'!$Y$113="GAN",'10_Analysis_Ready'!$AA$113="YES"),AND('10_Analysis_Ready'!$Y$113="DIFFUSION",'10_Analysis_Ready'!$Z$113="YES"),AND('10_Analysis_Ready'!$Y$113="GAN+DIFFUSION",OR('10_Analysis_Ready'!$Z$113&lt;&gt;"YES",'10_Analysis_Ready'!$AA$113&lt;&gt;"YES"))),1,0))</f>
        <v>0</v>
      </c>
      <c r="H130">
        <f>IF('10_Analysis_Ready'!$A$113="",0,IF(OR(AND('10_Analysis_Ready'!$BJ$113="NO",OR('10_Analysis_Ready'!$BK$113="HIGH",'10_Analysis_Ready'!$BK$113="VERY HIGH")),AND(((OR('10_Analysis_Ready'!$AG$113="YES",'10_Analysis_Ready'!$AH$113="YES"))*1+('10_Analysis_Ready'!$AI$113="YES")+('10_Analysis_Ready'!$AJ$113="YES")+('10_Analysis_Ready'!$AK$113="YES")+('10_Analysis_Ready'!$AL$113="YES"))=0,'10_Analysis_Ready'!$BJ$113="YES")),1,0))</f>
        <v>0</v>
      </c>
      <c r="I130">
        <f>IF('10_Analysis_Ready'!$A$113="",0,IF(AND(((OR('10_Analysis_Ready'!$AG$113="YES",'10_Analysis_Ready'!$AH$113="YES"))*1+('10_Analysis_Ready'!$AI$113="YES")+('10_Analysis_Ready'!$AJ$113="YES")+('10_Analysis_Ready'!$AK$113="YES")+('10_Analysis_Ready'!$AL$113="YES"))=0,'10_Analysis_Ready'!$AM$113&lt;&gt;"N/A"),1,0))</f>
        <v>0</v>
      </c>
      <c r="J130">
        <f>IF('10_Analysis_Ready'!$A$113="",0,IF(('28_Taxonomy_Coding'!$G$113="NONE")&lt;&gt;(((OR('10_Analysis_Ready'!$AG$113="YES",'10_Analysis_Ready'!$AH$113="YES"))*1+('10_Analysis_Ready'!$AI$113="YES")+('10_Analysis_Ready'!$AJ$113="YES")+('10_Analysis_Ready'!$AK$113="YES")+('10_Analysis_Ready'!$AL$113="YES"))=0),1,0))</f>
        <v>0</v>
      </c>
    </row>
    <row r="131" spans="1:10">
      <c r="A131">
        <v>114</v>
      </c>
      <c r="B131" t="str">
        <f>IF('10_Analysis_Ready'!$A$114="","",'10_Analysis_Ready'!$A$114)</f>
        <v/>
      </c>
      <c r="C131">
        <f>IF('10_Analysis_Ready'!$A$114="",0,IF(AND('28_Taxonomy_Coding'!$A$114='10_Analysis_Ready'!$A$114,'14_Generalization_Map'!$A$114='10_Analysis_Ready'!$A$114),0,1))</f>
        <v>0</v>
      </c>
      <c r="D131">
        <f>IF('10_Analysis_Ready'!$A$114="",0,IF(COUNTIFS('06_Full_Text_Screening'!$A:$A,'10_Analysis_Ready'!$A$114,'06_Full_Text_Screening'!$J:$J,"INCLUDE")=1,0,1))</f>
        <v>0</v>
      </c>
      <c r="E131">
        <f>IF('10_Analysis_Ready'!$A$114="",0,IF(OR(AND(((OR('10_Analysis_Ready'!$AG$114="YES",'10_Analysis_Ready'!$AH$114="YES"))*1+('10_Analysis_Ready'!$AI$114="YES")+('10_Analysis_Ready'!$AJ$114="YES")+('10_Analysis_Ready'!$AK$114="YES")+('10_Analysis_Ready'!$AL$114="YES"))=0,'10_Analysis_Ready'!$AF$114&lt;&gt;"NONE"),AND(((OR('10_Analysis_Ready'!$AG$114="YES",'10_Analysis_Ready'!$AH$114="YES"))*1+('10_Analysis_Ready'!$AI$114="YES")+('10_Analysis_Ready'!$AJ$114="YES")+('10_Analysis_Ready'!$AK$114="YES")+('10_Analysis_Ready'!$AL$114="YES"))=1,OR('10_Analysis_Ready'!$AF$114="NONE",'10_Analysis_Ready'!$AF$114="MULTIPLE")),AND(((OR('10_Analysis_Ready'!$AG$114="YES",'10_Analysis_Ready'!$AH$114="YES"))*1+('10_Analysis_Ready'!$AI$114="YES")+('10_Analysis_Ready'!$AJ$114="YES")+('10_Analysis_Ready'!$AK$114="YES")+('10_Analysis_Ready'!$AL$114="YES"))&gt;=2,'10_Analysis_Ready'!$AF$114&lt;&gt;"MULTIPLE")),1,0))</f>
        <v>0</v>
      </c>
      <c r="F131">
        <f>IF('10_Analysis_Ready'!$A$114="",0,IF(AND('10_Analysis_Ready'!$AO$114="NO",COUNTIF('10_Analysis_Ready'!$AP$114:$AU$114,"YES")&gt;0),1,0))</f>
        <v>0</v>
      </c>
      <c r="G131">
        <f>IF('10_Analysis_Ready'!$A$114="",0,IF(OR(AND('10_Analysis_Ready'!$Y$114="GAN",'10_Analysis_Ready'!$AA$114="YES"),AND('10_Analysis_Ready'!$Y$114="DIFFUSION",'10_Analysis_Ready'!$Z$114="YES"),AND('10_Analysis_Ready'!$Y$114="GAN+DIFFUSION",OR('10_Analysis_Ready'!$Z$114&lt;&gt;"YES",'10_Analysis_Ready'!$AA$114&lt;&gt;"YES"))),1,0))</f>
        <v>0</v>
      </c>
      <c r="H131">
        <f>IF('10_Analysis_Ready'!$A$114="",0,IF(OR(AND('10_Analysis_Ready'!$BJ$114="NO",OR('10_Analysis_Ready'!$BK$114="HIGH",'10_Analysis_Ready'!$BK$114="VERY HIGH")),AND(((OR('10_Analysis_Ready'!$AG$114="YES",'10_Analysis_Ready'!$AH$114="YES"))*1+('10_Analysis_Ready'!$AI$114="YES")+('10_Analysis_Ready'!$AJ$114="YES")+('10_Analysis_Ready'!$AK$114="YES")+('10_Analysis_Ready'!$AL$114="YES"))=0,'10_Analysis_Ready'!$BJ$114="YES")),1,0))</f>
        <v>0</v>
      </c>
      <c r="I131">
        <f>IF('10_Analysis_Ready'!$A$114="",0,IF(AND(((OR('10_Analysis_Ready'!$AG$114="YES",'10_Analysis_Ready'!$AH$114="YES"))*1+('10_Analysis_Ready'!$AI$114="YES")+('10_Analysis_Ready'!$AJ$114="YES")+('10_Analysis_Ready'!$AK$114="YES")+('10_Analysis_Ready'!$AL$114="YES"))=0,'10_Analysis_Ready'!$AM$114&lt;&gt;"N/A"),1,0))</f>
        <v>0</v>
      </c>
      <c r="J131">
        <f>IF('10_Analysis_Ready'!$A$114="",0,IF(('28_Taxonomy_Coding'!$G$114="NONE")&lt;&gt;(((OR('10_Analysis_Ready'!$AG$114="YES",'10_Analysis_Ready'!$AH$114="YES"))*1+('10_Analysis_Ready'!$AI$114="YES")+('10_Analysis_Ready'!$AJ$114="YES")+('10_Analysis_Ready'!$AK$114="YES")+('10_Analysis_Ready'!$AL$114="YES"))=0),1,0))</f>
        <v>0</v>
      </c>
    </row>
    <row r="132" spans="1:10">
      <c r="A132">
        <v>115</v>
      </c>
      <c r="B132" t="str">
        <f>IF('10_Analysis_Ready'!$A$115="","",'10_Analysis_Ready'!$A$115)</f>
        <v/>
      </c>
      <c r="C132">
        <f>IF('10_Analysis_Ready'!$A$115="",0,IF(AND('28_Taxonomy_Coding'!$A$115='10_Analysis_Ready'!$A$115,'14_Generalization_Map'!$A$115='10_Analysis_Ready'!$A$115),0,1))</f>
        <v>0</v>
      </c>
      <c r="D132">
        <f>IF('10_Analysis_Ready'!$A$115="",0,IF(COUNTIFS('06_Full_Text_Screening'!$A:$A,'10_Analysis_Ready'!$A$115,'06_Full_Text_Screening'!$J:$J,"INCLUDE")=1,0,1))</f>
        <v>0</v>
      </c>
      <c r="E132">
        <f>IF('10_Analysis_Ready'!$A$115="",0,IF(OR(AND(((OR('10_Analysis_Ready'!$AG$115="YES",'10_Analysis_Ready'!$AH$115="YES"))*1+('10_Analysis_Ready'!$AI$115="YES")+('10_Analysis_Ready'!$AJ$115="YES")+('10_Analysis_Ready'!$AK$115="YES")+('10_Analysis_Ready'!$AL$115="YES"))=0,'10_Analysis_Ready'!$AF$115&lt;&gt;"NONE"),AND(((OR('10_Analysis_Ready'!$AG$115="YES",'10_Analysis_Ready'!$AH$115="YES"))*1+('10_Analysis_Ready'!$AI$115="YES")+('10_Analysis_Ready'!$AJ$115="YES")+('10_Analysis_Ready'!$AK$115="YES")+('10_Analysis_Ready'!$AL$115="YES"))=1,OR('10_Analysis_Ready'!$AF$115="NONE",'10_Analysis_Ready'!$AF$115="MULTIPLE")),AND(((OR('10_Analysis_Ready'!$AG$115="YES",'10_Analysis_Ready'!$AH$115="YES"))*1+('10_Analysis_Ready'!$AI$115="YES")+('10_Analysis_Ready'!$AJ$115="YES")+('10_Analysis_Ready'!$AK$115="YES")+('10_Analysis_Ready'!$AL$115="YES"))&gt;=2,'10_Analysis_Ready'!$AF$115&lt;&gt;"MULTIPLE")),1,0))</f>
        <v>0</v>
      </c>
      <c r="F132">
        <f>IF('10_Analysis_Ready'!$A$115="",0,IF(AND('10_Analysis_Ready'!$AO$115="NO",COUNTIF('10_Analysis_Ready'!$AP$115:$AU$115,"YES")&gt;0),1,0))</f>
        <v>0</v>
      </c>
      <c r="G132">
        <f>IF('10_Analysis_Ready'!$A$115="",0,IF(OR(AND('10_Analysis_Ready'!$Y$115="GAN",'10_Analysis_Ready'!$AA$115="YES"),AND('10_Analysis_Ready'!$Y$115="DIFFUSION",'10_Analysis_Ready'!$Z$115="YES"),AND('10_Analysis_Ready'!$Y$115="GAN+DIFFUSION",OR('10_Analysis_Ready'!$Z$115&lt;&gt;"YES",'10_Analysis_Ready'!$AA$115&lt;&gt;"YES"))),1,0))</f>
        <v>0</v>
      </c>
      <c r="H132">
        <f>IF('10_Analysis_Ready'!$A$115="",0,IF(OR(AND('10_Analysis_Ready'!$BJ$115="NO",OR('10_Analysis_Ready'!$BK$115="HIGH",'10_Analysis_Ready'!$BK$115="VERY HIGH")),AND(((OR('10_Analysis_Ready'!$AG$115="YES",'10_Analysis_Ready'!$AH$115="YES"))*1+('10_Analysis_Ready'!$AI$115="YES")+('10_Analysis_Ready'!$AJ$115="YES")+('10_Analysis_Ready'!$AK$115="YES")+('10_Analysis_Ready'!$AL$115="YES"))=0,'10_Analysis_Ready'!$BJ$115="YES")),1,0))</f>
        <v>0</v>
      </c>
      <c r="I132">
        <f>IF('10_Analysis_Ready'!$A$115="",0,IF(AND(((OR('10_Analysis_Ready'!$AG$115="YES",'10_Analysis_Ready'!$AH$115="YES"))*1+('10_Analysis_Ready'!$AI$115="YES")+('10_Analysis_Ready'!$AJ$115="YES")+('10_Analysis_Ready'!$AK$115="YES")+('10_Analysis_Ready'!$AL$115="YES"))=0,'10_Analysis_Ready'!$AM$115&lt;&gt;"N/A"),1,0))</f>
        <v>0</v>
      </c>
      <c r="J132">
        <f>IF('10_Analysis_Ready'!$A$115="",0,IF(('28_Taxonomy_Coding'!$G$115="NONE")&lt;&gt;(((OR('10_Analysis_Ready'!$AG$115="YES",'10_Analysis_Ready'!$AH$115="YES"))*1+('10_Analysis_Ready'!$AI$115="YES")+('10_Analysis_Ready'!$AJ$115="YES")+('10_Analysis_Ready'!$AK$115="YES")+('10_Analysis_Ready'!$AL$115="YES"))=0),1,0))</f>
        <v>0</v>
      </c>
    </row>
    <row r="133" spans="1:10">
      <c r="A133">
        <v>116</v>
      </c>
      <c r="B133" t="str">
        <f>IF('10_Analysis_Ready'!$A$116="","",'10_Analysis_Ready'!$A$116)</f>
        <v/>
      </c>
      <c r="C133">
        <f>IF('10_Analysis_Ready'!$A$116="",0,IF(AND('28_Taxonomy_Coding'!$A$116='10_Analysis_Ready'!$A$116,'14_Generalization_Map'!$A$116='10_Analysis_Ready'!$A$116),0,1))</f>
        <v>0</v>
      </c>
      <c r="D133">
        <f>IF('10_Analysis_Ready'!$A$116="",0,IF(COUNTIFS('06_Full_Text_Screening'!$A:$A,'10_Analysis_Ready'!$A$116,'06_Full_Text_Screening'!$J:$J,"INCLUDE")=1,0,1))</f>
        <v>0</v>
      </c>
      <c r="E133">
        <f>IF('10_Analysis_Ready'!$A$116="",0,IF(OR(AND(((OR('10_Analysis_Ready'!$AG$116="YES",'10_Analysis_Ready'!$AH$116="YES"))*1+('10_Analysis_Ready'!$AI$116="YES")+('10_Analysis_Ready'!$AJ$116="YES")+('10_Analysis_Ready'!$AK$116="YES")+('10_Analysis_Ready'!$AL$116="YES"))=0,'10_Analysis_Ready'!$AF$116&lt;&gt;"NONE"),AND(((OR('10_Analysis_Ready'!$AG$116="YES",'10_Analysis_Ready'!$AH$116="YES"))*1+('10_Analysis_Ready'!$AI$116="YES")+('10_Analysis_Ready'!$AJ$116="YES")+('10_Analysis_Ready'!$AK$116="YES")+('10_Analysis_Ready'!$AL$116="YES"))=1,OR('10_Analysis_Ready'!$AF$116="NONE",'10_Analysis_Ready'!$AF$116="MULTIPLE")),AND(((OR('10_Analysis_Ready'!$AG$116="YES",'10_Analysis_Ready'!$AH$116="YES"))*1+('10_Analysis_Ready'!$AI$116="YES")+('10_Analysis_Ready'!$AJ$116="YES")+('10_Analysis_Ready'!$AK$116="YES")+('10_Analysis_Ready'!$AL$116="YES"))&gt;=2,'10_Analysis_Ready'!$AF$116&lt;&gt;"MULTIPLE")),1,0))</f>
        <v>0</v>
      </c>
      <c r="F133">
        <f>IF('10_Analysis_Ready'!$A$116="",0,IF(AND('10_Analysis_Ready'!$AO$116="NO",COUNTIF('10_Analysis_Ready'!$AP$116:$AU$116,"YES")&gt;0),1,0))</f>
        <v>0</v>
      </c>
      <c r="G133">
        <f>IF('10_Analysis_Ready'!$A$116="",0,IF(OR(AND('10_Analysis_Ready'!$Y$116="GAN",'10_Analysis_Ready'!$AA$116="YES"),AND('10_Analysis_Ready'!$Y$116="DIFFUSION",'10_Analysis_Ready'!$Z$116="YES"),AND('10_Analysis_Ready'!$Y$116="GAN+DIFFUSION",OR('10_Analysis_Ready'!$Z$116&lt;&gt;"YES",'10_Analysis_Ready'!$AA$116&lt;&gt;"YES"))),1,0))</f>
        <v>0</v>
      </c>
      <c r="H133">
        <f>IF('10_Analysis_Ready'!$A$116="",0,IF(OR(AND('10_Analysis_Ready'!$BJ$116="NO",OR('10_Analysis_Ready'!$BK$116="HIGH",'10_Analysis_Ready'!$BK$116="VERY HIGH")),AND(((OR('10_Analysis_Ready'!$AG$116="YES",'10_Analysis_Ready'!$AH$116="YES"))*1+('10_Analysis_Ready'!$AI$116="YES")+('10_Analysis_Ready'!$AJ$116="YES")+('10_Analysis_Ready'!$AK$116="YES")+('10_Analysis_Ready'!$AL$116="YES"))=0,'10_Analysis_Ready'!$BJ$116="YES")),1,0))</f>
        <v>0</v>
      </c>
      <c r="I133">
        <f>IF('10_Analysis_Ready'!$A$116="",0,IF(AND(((OR('10_Analysis_Ready'!$AG$116="YES",'10_Analysis_Ready'!$AH$116="YES"))*1+('10_Analysis_Ready'!$AI$116="YES")+('10_Analysis_Ready'!$AJ$116="YES")+('10_Analysis_Ready'!$AK$116="YES")+('10_Analysis_Ready'!$AL$116="YES"))=0,'10_Analysis_Ready'!$AM$116&lt;&gt;"N/A"),1,0))</f>
        <v>0</v>
      </c>
      <c r="J133">
        <f>IF('10_Analysis_Ready'!$A$116="",0,IF(('28_Taxonomy_Coding'!$G$116="NONE")&lt;&gt;(((OR('10_Analysis_Ready'!$AG$116="YES",'10_Analysis_Ready'!$AH$116="YES"))*1+('10_Analysis_Ready'!$AI$116="YES")+('10_Analysis_Ready'!$AJ$116="YES")+('10_Analysis_Ready'!$AK$116="YES")+('10_Analysis_Ready'!$AL$116="YES"))=0),1,0))</f>
        <v>0</v>
      </c>
    </row>
    <row r="134" spans="1:10">
      <c r="A134">
        <v>117</v>
      </c>
      <c r="B134" t="str">
        <f>IF('10_Analysis_Ready'!$A$117="","",'10_Analysis_Ready'!$A$117)</f>
        <v/>
      </c>
      <c r="C134">
        <f>IF('10_Analysis_Ready'!$A$117="",0,IF(AND('28_Taxonomy_Coding'!$A$117='10_Analysis_Ready'!$A$117,'14_Generalization_Map'!$A$117='10_Analysis_Ready'!$A$117),0,1))</f>
        <v>0</v>
      </c>
      <c r="D134">
        <f>IF('10_Analysis_Ready'!$A$117="",0,IF(COUNTIFS('06_Full_Text_Screening'!$A:$A,'10_Analysis_Ready'!$A$117,'06_Full_Text_Screening'!$J:$J,"INCLUDE")=1,0,1))</f>
        <v>0</v>
      </c>
      <c r="E134">
        <f>IF('10_Analysis_Ready'!$A$117="",0,IF(OR(AND(((OR('10_Analysis_Ready'!$AG$117="YES",'10_Analysis_Ready'!$AH$117="YES"))*1+('10_Analysis_Ready'!$AI$117="YES")+('10_Analysis_Ready'!$AJ$117="YES")+('10_Analysis_Ready'!$AK$117="YES")+('10_Analysis_Ready'!$AL$117="YES"))=0,'10_Analysis_Ready'!$AF$117&lt;&gt;"NONE"),AND(((OR('10_Analysis_Ready'!$AG$117="YES",'10_Analysis_Ready'!$AH$117="YES"))*1+('10_Analysis_Ready'!$AI$117="YES")+('10_Analysis_Ready'!$AJ$117="YES")+('10_Analysis_Ready'!$AK$117="YES")+('10_Analysis_Ready'!$AL$117="YES"))=1,OR('10_Analysis_Ready'!$AF$117="NONE",'10_Analysis_Ready'!$AF$117="MULTIPLE")),AND(((OR('10_Analysis_Ready'!$AG$117="YES",'10_Analysis_Ready'!$AH$117="YES"))*1+('10_Analysis_Ready'!$AI$117="YES")+('10_Analysis_Ready'!$AJ$117="YES")+('10_Analysis_Ready'!$AK$117="YES")+('10_Analysis_Ready'!$AL$117="YES"))&gt;=2,'10_Analysis_Ready'!$AF$117&lt;&gt;"MULTIPLE")),1,0))</f>
        <v>0</v>
      </c>
      <c r="F134">
        <f>IF('10_Analysis_Ready'!$A$117="",0,IF(AND('10_Analysis_Ready'!$AO$117="NO",COUNTIF('10_Analysis_Ready'!$AP$117:$AU$117,"YES")&gt;0),1,0))</f>
        <v>0</v>
      </c>
      <c r="G134">
        <f>IF('10_Analysis_Ready'!$A$117="",0,IF(OR(AND('10_Analysis_Ready'!$Y$117="GAN",'10_Analysis_Ready'!$AA$117="YES"),AND('10_Analysis_Ready'!$Y$117="DIFFUSION",'10_Analysis_Ready'!$Z$117="YES"),AND('10_Analysis_Ready'!$Y$117="GAN+DIFFUSION",OR('10_Analysis_Ready'!$Z$117&lt;&gt;"YES",'10_Analysis_Ready'!$AA$117&lt;&gt;"YES"))),1,0))</f>
        <v>0</v>
      </c>
      <c r="H134">
        <f>IF('10_Analysis_Ready'!$A$117="",0,IF(OR(AND('10_Analysis_Ready'!$BJ$117="NO",OR('10_Analysis_Ready'!$BK$117="HIGH",'10_Analysis_Ready'!$BK$117="VERY HIGH")),AND(((OR('10_Analysis_Ready'!$AG$117="YES",'10_Analysis_Ready'!$AH$117="YES"))*1+('10_Analysis_Ready'!$AI$117="YES")+('10_Analysis_Ready'!$AJ$117="YES")+('10_Analysis_Ready'!$AK$117="YES")+('10_Analysis_Ready'!$AL$117="YES"))=0,'10_Analysis_Ready'!$BJ$117="YES")),1,0))</f>
        <v>0</v>
      </c>
      <c r="I134">
        <f>IF('10_Analysis_Ready'!$A$117="",0,IF(AND(((OR('10_Analysis_Ready'!$AG$117="YES",'10_Analysis_Ready'!$AH$117="YES"))*1+('10_Analysis_Ready'!$AI$117="YES")+('10_Analysis_Ready'!$AJ$117="YES")+('10_Analysis_Ready'!$AK$117="YES")+('10_Analysis_Ready'!$AL$117="YES"))=0,'10_Analysis_Ready'!$AM$117&lt;&gt;"N/A"),1,0))</f>
        <v>0</v>
      </c>
      <c r="J134">
        <f>IF('10_Analysis_Ready'!$A$117="",0,IF(('28_Taxonomy_Coding'!$G$117="NONE")&lt;&gt;(((OR('10_Analysis_Ready'!$AG$117="YES",'10_Analysis_Ready'!$AH$117="YES"))*1+('10_Analysis_Ready'!$AI$117="YES")+('10_Analysis_Ready'!$AJ$117="YES")+('10_Analysis_Ready'!$AK$117="YES")+('10_Analysis_Ready'!$AL$117="YES"))=0),1,0))</f>
        <v>0</v>
      </c>
    </row>
    <row r="135" spans="1:10">
      <c r="A135">
        <v>118</v>
      </c>
      <c r="B135" t="str">
        <f>IF('10_Analysis_Ready'!$A$118="","",'10_Analysis_Ready'!$A$118)</f>
        <v/>
      </c>
      <c r="C135">
        <f>IF('10_Analysis_Ready'!$A$118="",0,IF(AND('28_Taxonomy_Coding'!$A$118='10_Analysis_Ready'!$A$118,'14_Generalization_Map'!$A$118='10_Analysis_Ready'!$A$118),0,1))</f>
        <v>0</v>
      </c>
      <c r="D135">
        <f>IF('10_Analysis_Ready'!$A$118="",0,IF(COUNTIFS('06_Full_Text_Screening'!$A:$A,'10_Analysis_Ready'!$A$118,'06_Full_Text_Screening'!$J:$J,"INCLUDE")=1,0,1))</f>
        <v>0</v>
      </c>
      <c r="E135">
        <f>IF('10_Analysis_Ready'!$A$118="",0,IF(OR(AND(((OR('10_Analysis_Ready'!$AG$118="YES",'10_Analysis_Ready'!$AH$118="YES"))*1+('10_Analysis_Ready'!$AI$118="YES")+('10_Analysis_Ready'!$AJ$118="YES")+('10_Analysis_Ready'!$AK$118="YES")+('10_Analysis_Ready'!$AL$118="YES"))=0,'10_Analysis_Ready'!$AF$118&lt;&gt;"NONE"),AND(((OR('10_Analysis_Ready'!$AG$118="YES",'10_Analysis_Ready'!$AH$118="YES"))*1+('10_Analysis_Ready'!$AI$118="YES")+('10_Analysis_Ready'!$AJ$118="YES")+('10_Analysis_Ready'!$AK$118="YES")+('10_Analysis_Ready'!$AL$118="YES"))=1,OR('10_Analysis_Ready'!$AF$118="NONE",'10_Analysis_Ready'!$AF$118="MULTIPLE")),AND(((OR('10_Analysis_Ready'!$AG$118="YES",'10_Analysis_Ready'!$AH$118="YES"))*1+('10_Analysis_Ready'!$AI$118="YES")+('10_Analysis_Ready'!$AJ$118="YES")+('10_Analysis_Ready'!$AK$118="YES")+('10_Analysis_Ready'!$AL$118="YES"))&gt;=2,'10_Analysis_Ready'!$AF$118&lt;&gt;"MULTIPLE")),1,0))</f>
        <v>0</v>
      </c>
      <c r="F135">
        <f>IF('10_Analysis_Ready'!$A$118="",0,IF(AND('10_Analysis_Ready'!$AO$118="NO",COUNTIF('10_Analysis_Ready'!$AP$118:$AU$118,"YES")&gt;0),1,0))</f>
        <v>0</v>
      </c>
      <c r="G135">
        <f>IF('10_Analysis_Ready'!$A$118="",0,IF(OR(AND('10_Analysis_Ready'!$Y$118="GAN",'10_Analysis_Ready'!$AA$118="YES"),AND('10_Analysis_Ready'!$Y$118="DIFFUSION",'10_Analysis_Ready'!$Z$118="YES"),AND('10_Analysis_Ready'!$Y$118="GAN+DIFFUSION",OR('10_Analysis_Ready'!$Z$118&lt;&gt;"YES",'10_Analysis_Ready'!$AA$118&lt;&gt;"YES"))),1,0))</f>
        <v>0</v>
      </c>
      <c r="H135">
        <f>IF('10_Analysis_Ready'!$A$118="",0,IF(OR(AND('10_Analysis_Ready'!$BJ$118="NO",OR('10_Analysis_Ready'!$BK$118="HIGH",'10_Analysis_Ready'!$BK$118="VERY HIGH")),AND(((OR('10_Analysis_Ready'!$AG$118="YES",'10_Analysis_Ready'!$AH$118="YES"))*1+('10_Analysis_Ready'!$AI$118="YES")+('10_Analysis_Ready'!$AJ$118="YES")+('10_Analysis_Ready'!$AK$118="YES")+('10_Analysis_Ready'!$AL$118="YES"))=0,'10_Analysis_Ready'!$BJ$118="YES")),1,0))</f>
        <v>0</v>
      </c>
      <c r="I135">
        <f>IF('10_Analysis_Ready'!$A$118="",0,IF(AND(((OR('10_Analysis_Ready'!$AG$118="YES",'10_Analysis_Ready'!$AH$118="YES"))*1+('10_Analysis_Ready'!$AI$118="YES")+('10_Analysis_Ready'!$AJ$118="YES")+('10_Analysis_Ready'!$AK$118="YES")+('10_Analysis_Ready'!$AL$118="YES"))=0,'10_Analysis_Ready'!$AM$118&lt;&gt;"N/A"),1,0))</f>
        <v>0</v>
      </c>
      <c r="J135">
        <f>IF('10_Analysis_Ready'!$A$118="",0,IF(('28_Taxonomy_Coding'!$G$118="NONE")&lt;&gt;(((OR('10_Analysis_Ready'!$AG$118="YES",'10_Analysis_Ready'!$AH$118="YES"))*1+('10_Analysis_Ready'!$AI$118="YES")+('10_Analysis_Ready'!$AJ$118="YES")+('10_Analysis_Ready'!$AK$118="YES")+('10_Analysis_Ready'!$AL$118="YES"))=0),1,0))</f>
        <v>0</v>
      </c>
    </row>
    <row r="136" spans="1:10">
      <c r="A136">
        <v>119</v>
      </c>
      <c r="B136" t="str">
        <f>IF('10_Analysis_Ready'!$A$119="","",'10_Analysis_Ready'!$A$119)</f>
        <v/>
      </c>
      <c r="C136">
        <f>IF('10_Analysis_Ready'!$A$119="",0,IF(AND('28_Taxonomy_Coding'!$A$119='10_Analysis_Ready'!$A$119,'14_Generalization_Map'!$A$119='10_Analysis_Ready'!$A$119),0,1))</f>
        <v>0</v>
      </c>
      <c r="D136">
        <f>IF('10_Analysis_Ready'!$A$119="",0,IF(COUNTIFS('06_Full_Text_Screening'!$A:$A,'10_Analysis_Ready'!$A$119,'06_Full_Text_Screening'!$J:$J,"INCLUDE")=1,0,1))</f>
        <v>0</v>
      </c>
      <c r="E136">
        <f>IF('10_Analysis_Ready'!$A$119="",0,IF(OR(AND(((OR('10_Analysis_Ready'!$AG$119="YES",'10_Analysis_Ready'!$AH$119="YES"))*1+('10_Analysis_Ready'!$AI$119="YES")+('10_Analysis_Ready'!$AJ$119="YES")+('10_Analysis_Ready'!$AK$119="YES")+('10_Analysis_Ready'!$AL$119="YES"))=0,'10_Analysis_Ready'!$AF$119&lt;&gt;"NONE"),AND(((OR('10_Analysis_Ready'!$AG$119="YES",'10_Analysis_Ready'!$AH$119="YES"))*1+('10_Analysis_Ready'!$AI$119="YES")+('10_Analysis_Ready'!$AJ$119="YES")+('10_Analysis_Ready'!$AK$119="YES")+('10_Analysis_Ready'!$AL$119="YES"))=1,OR('10_Analysis_Ready'!$AF$119="NONE",'10_Analysis_Ready'!$AF$119="MULTIPLE")),AND(((OR('10_Analysis_Ready'!$AG$119="YES",'10_Analysis_Ready'!$AH$119="YES"))*1+('10_Analysis_Ready'!$AI$119="YES")+('10_Analysis_Ready'!$AJ$119="YES")+('10_Analysis_Ready'!$AK$119="YES")+('10_Analysis_Ready'!$AL$119="YES"))&gt;=2,'10_Analysis_Ready'!$AF$119&lt;&gt;"MULTIPLE")),1,0))</f>
        <v>0</v>
      </c>
      <c r="F136">
        <f>IF('10_Analysis_Ready'!$A$119="",0,IF(AND('10_Analysis_Ready'!$AO$119="NO",COUNTIF('10_Analysis_Ready'!$AP$119:$AU$119,"YES")&gt;0),1,0))</f>
        <v>0</v>
      </c>
      <c r="G136">
        <f>IF('10_Analysis_Ready'!$A$119="",0,IF(OR(AND('10_Analysis_Ready'!$Y$119="GAN",'10_Analysis_Ready'!$AA$119="YES"),AND('10_Analysis_Ready'!$Y$119="DIFFUSION",'10_Analysis_Ready'!$Z$119="YES"),AND('10_Analysis_Ready'!$Y$119="GAN+DIFFUSION",OR('10_Analysis_Ready'!$Z$119&lt;&gt;"YES",'10_Analysis_Ready'!$AA$119&lt;&gt;"YES"))),1,0))</f>
        <v>0</v>
      </c>
      <c r="H136">
        <f>IF('10_Analysis_Ready'!$A$119="",0,IF(OR(AND('10_Analysis_Ready'!$BJ$119="NO",OR('10_Analysis_Ready'!$BK$119="HIGH",'10_Analysis_Ready'!$BK$119="VERY HIGH")),AND(((OR('10_Analysis_Ready'!$AG$119="YES",'10_Analysis_Ready'!$AH$119="YES"))*1+('10_Analysis_Ready'!$AI$119="YES")+('10_Analysis_Ready'!$AJ$119="YES")+('10_Analysis_Ready'!$AK$119="YES")+('10_Analysis_Ready'!$AL$119="YES"))=0,'10_Analysis_Ready'!$BJ$119="YES")),1,0))</f>
        <v>0</v>
      </c>
      <c r="I136">
        <f>IF('10_Analysis_Ready'!$A$119="",0,IF(AND(((OR('10_Analysis_Ready'!$AG$119="YES",'10_Analysis_Ready'!$AH$119="YES"))*1+('10_Analysis_Ready'!$AI$119="YES")+('10_Analysis_Ready'!$AJ$119="YES")+('10_Analysis_Ready'!$AK$119="YES")+('10_Analysis_Ready'!$AL$119="YES"))=0,'10_Analysis_Ready'!$AM$119&lt;&gt;"N/A"),1,0))</f>
        <v>0</v>
      </c>
      <c r="J136">
        <f>IF('10_Analysis_Ready'!$A$119="",0,IF(('28_Taxonomy_Coding'!$G$119="NONE")&lt;&gt;(((OR('10_Analysis_Ready'!$AG$119="YES",'10_Analysis_Ready'!$AH$119="YES"))*1+('10_Analysis_Ready'!$AI$119="YES")+('10_Analysis_Ready'!$AJ$119="YES")+('10_Analysis_Ready'!$AK$119="YES")+('10_Analysis_Ready'!$AL$119="YES"))=0),1,0))</f>
        <v>0</v>
      </c>
    </row>
    <row r="137" spans="1:10">
      <c r="A137">
        <v>120</v>
      </c>
      <c r="B137" t="str">
        <f>IF('10_Analysis_Ready'!$A$120="","",'10_Analysis_Ready'!$A$120)</f>
        <v/>
      </c>
      <c r="C137">
        <f>IF('10_Analysis_Ready'!$A$120="",0,IF(AND('28_Taxonomy_Coding'!$A$120='10_Analysis_Ready'!$A$120,'14_Generalization_Map'!$A$120='10_Analysis_Ready'!$A$120),0,1))</f>
        <v>0</v>
      </c>
      <c r="D137">
        <f>IF('10_Analysis_Ready'!$A$120="",0,IF(COUNTIFS('06_Full_Text_Screening'!$A:$A,'10_Analysis_Ready'!$A$120,'06_Full_Text_Screening'!$J:$J,"INCLUDE")=1,0,1))</f>
        <v>0</v>
      </c>
      <c r="E137">
        <f>IF('10_Analysis_Ready'!$A$120="",0,IF(OR(AND(((OR('10_Analysis_Ready'!$AG$120="YES",'10_Analysis_Ready'!$AH$120="YES"))*1+('10_Analysis_Ready'!$AI$120="YES")+('10_Analysis_Ready'!$AJ$120="YES")+('10_Analysis_Ready'!$AK$120="YES")+('10_Analysis_Ready'!$AL$120="YES"))=0,'10_Analysis_Ready'!$AF$120&lt;&gt;"NONE"),AND(((OR('10_Analysis_Ready'!$AG$120="YES",'10_Analysis_Ready'!$AH$120="YES"))*1+('10_Analysis_Ready'!$AI$120="YES")+('10_Analysis_Ready'!$AJ$120="YES")+('10_Analysis_Ready'!$AK$120="YES")+('10_Analysis_Ready'!$AL$120="YES"))=1,OR('10_Analysis_Ready'!$AF$120="NONE",'10_Analysis_Ready'!$AF$120="MULTIPLE")),AND(((OR('10_Analysis_Ready'!$AG$120="YES",'10_Analysis_Ready'!$AH$120="YES"))*1+('10_Analysis_Ready'!$AI$120="YES")+('10_Analysis_Ready'!$AJ$120="YES")+('10_Analysis_Ready'!$AK$120="YES")+('10_Analysis_Ready'!$AL$120="YES"))&gt;=2,'10_Analysis_Ready'!$AF$120&lt;&gt;"MULTIPLE")),1,0))</f>
        <v>0</v>
      </c>
      <c r="F137">
        <f>IF('10_Analysis_Ready'!$A$120="",0,IF(AND('10_Analysis_Ready'!$AO$120="NO",COUNTIF('10_Analysis_Ready'!$AP$120:$AU$120,"YES")&gt;0),1,0))</f>
        <v>0</v>
      </c>
      <c r="G137">
        <f>IF('10_Analysis_Ready'!$A$120="",0,IF(OR(AND('10_Analysis_Ready'!$Y$120="GAN",'10_Analysis_Ready'!$AA$120="YES"),AND('10_Analysis_Ready'!$Y$120="DIFFUSION",'10_Analysis_Ready'!$Z$120="YES"),AND('10_Analysis_Ready'!$Y$120="GAN+DIFFUSION",OR('10_Analysis_Ready'!$Z$120&lt;&gt;"YES",'10_Analysis_Ready'!$AA$120&lt;&gt;"YES"))),1,0))</f>
        <v>0</v>
      </c>
      <c r="H137">
        <f>IF('10_Analysis_Ready'!$A$120="",0,IF(OR(AND('10_Analysis_Ready'!$BJ$120="NO",OR('10_Analysis_Ready'!$BK$120="HIGH",'10_Analysis_Ready'!$BK$120="VERY HIGH")),AND(((OR('10_Analysis_Ready'!$AG$120="YES",'10_Analysis_Ready'!$AH$120="YES"))*1+('10_Analysis_Ready'!$AI$120="YES")+('10_Analysis_Ready'!$AJ$120="YES")+('10_Analysis_Ready'!$AK$120="YES")+('10_Analysis_Ready'!$AL$120="YES"))=0,'10_Analysis_Ready'!$BJ$120="YES")),1,0))</f>
        <v>0</v>
      </c>
      <c r="I137">
        <f>IF('10_Analysis_Ready'!$A$120="",0,IF(AND(((OR('10_Analysis_Ready'!$AG$120="YES",'10_Analysis_Ready'!$AH$120="YES"))*1+('10_Analysis_Ready'!$AI$120="YES")+('10_Analysis_Ready'!$AJ$120="YES")+('10_Analysis_Ready'!$AK$120="YES")+('10_Analysis_Ready'!$AL$120="YES"))=0,'10_Analysis_Ready'!$AM$120&lt;&gt;"N/A"),1,0))</f>
        <v>0</v>
      </c>
      <c r="J137">
        <f>IF('10_Analysis_Ready'!$A$120="",0,IF(('28_Taxonomy_Coding'!$G$120="NONE")&lt;&gt;(((OR('10_Analysis_Ready'!$AG$120="YES",'10_Analysis_Ready'!$AH$120="YES"))*1+('10_Analysis_Ready'!$AI$120="YES")+('10_Analysis_Ready'!$AJ$120="YES")+('10_Analysis_Ready'!$AK$120="YES")+('10_Analysis_Ready'!$AL$120="YES"))=0),1,0))</f>
        <v>0</v>
      </c>
    </row>
    <row r="138" spans="1:10">
      <c r="A138">
        <v>121</v>
      </c>
      <c r="B138" t="str">
        <f>IF('10_Analysis_Ready'!$A$121="","",'10_Analysis_Ready'!$A$121)</f>
        <v/>
      </c>
      <c r="C138">
        <f>IF('10_Analysis_Ready'!$A$121="",0,IF(AND('28_Taxonomy_Coding'!$A$121='10_Analysis_Ready'!$A$121,'14_Generalization_Map'!$A$121='10_Analysis_Ready'!$A$121),0,1))</f>
        <v>0</v>
      </c>
      <c r="D138">
        <f>IF('10_Analysis_Ready'!$A$121="",0,IF(COUNTIFS('06_Full_Text_Screening'!$A:$A,'10_Analysis_Ready'!$A$121,'06_Full_Text_Screening'!$J:$J,"INCLUDE")=1,0,1))</f>
        <v>0</v>
      </c>
      <c r="E138">
        <f>IF('10_Analysis_Ready'!$A$121="",0,IF(OR(AND(((OR('10_Analysis_Ready'!$AG$121="YES",'10_Analysis_Ready'!$AH$121="YES"))*1+('10_Analysis_Ready'!$AI$121="YES")+('10_Analysis_Ready'!$AJ$121="YES")+('10_Analysis_Ready'!$AK$121="YES")+('10_Analysis_Ready'!$AL$121="YES"))=0,'10_Analysis_Ready'!$AF$121&lt;&gt;"NONE"),AND(((OR('10_Analysis_Ready'!$AG$121="YES",'10_Analysis_Ready'!$AH$121="YES"))*1+('10_Analysis_Ready'!$AI$121="YES")+('10_Analysis_Ready'!$AJ$121="YES")+('10_Analysis_Ready'!$AK$121="YES")+('10_Analysis_Ready'!$AL$121="YES"))=1,OR('10_Analysis_Ready'!$AF$121="NONE",'10_Analysis_Ready'!$AF$121="MULTIPLE")),AND(((OR('10_Analysis_Ready'!$AG$121="YES",'10_Analysis_Ready'!$AH$121="YES"))*1+('10_Analysis_Ready'!$AI$121="YES")+('10_Analysis_Ready'!$AJ$121="YES")+('10_Analysis_Ready'!$AK$121="YES")+('10_Analysis_Ready'!$AL$121="YES"))&gt;=2,'10_Analysis_Ready'!$AF$121&lt;&gt;"MULTIPLE")),1,0))</f>
        <v>0</v>
      </c>
      <c r="F138">
        <f>IF('10_Analysis_Ready'!$A$121="",0,IF(AND('10_Analysis_Ready'!$AO$121="NO",COUNTIF('10_Analysis_Ready'!$AP$121:$AU$121,"YES")&gt;0),1,0))</f>
        <v>0</v>
      </c>
      <c r="G138">
        <f>IF('10_Analysis_Ready'!$A$121="",0,IF(OR(AND('10_Analysis_Ready'!$Y$121="GAN",'10_Analysis_Ready'!$AA$121="YES"),AND('10_Analysis_Ready'!$Y$121="DIFFUSION",'10_Analysis_Ready'!$Z$121="YES"),AND('10_Analysis_Ready'!$Y$121="GAN+DIFFUSION",OR('10_Analysis_Ready'!$Z$121&lt;&gt;"YES",'10_Analysis_Ready'!$AA$121&lt;&gt;"YES"))),1,0))</f>
        <v>0</v>
      </c>
      <c r="H138">
        <f>IF('10_Analysis_Ready'!$A$121="",0,IF(OR(AND('10_Analysis_Ready'!$BJ$121="NO",OR('10_Analysis_Ready'!$BK$121="HIGH",'10_Analysis_Ready'!$BK$121="VERY HIGH")),AND(((OR('10_Analysis_Ready'!$AG$121="YES",'10_Analysis_Ready'!$AH$121="YES"))*1+('10_Analysis_Ready'!$AI$121="YES")+('10_Analysis_Ready'!$AJ$121="YES")+('10_Analysis_Ready'!$AK$121="YES")+('10_Analysis_Ready'!$AL$121="YES"))=0,'10_Analysis_Ready'!$BJ$121="YES")),1,0))</f>
        <v>0</v>
      </c>
      <c r="I138">
        <f>IF('10_Analysis_Ready'!$A$121="",0,IF(AND(((OR('10_Analysis_Ready'!$AG$121="YES",'10_Analysis_Ready'!$AH$121="YES"))*1+('10_Analysis_Ready'!$AI$121="YES")+('10_Analysis_Ready'!$AJ$121="YES")+('10_Analysis_Ready'!$AK$121="YES")+('10_Analysis_Ready'!$AL$121="YES"))=0,'10_Analysis_Ready'!$AM$121&lt;&gt;"N/A"),1,0))</f>
        <v>0</v>
      </c>
      <c r="J138">
        <f>IF('10_Analysis_Ready'!$A$121="",0,IF(('28_Taxonomy_Coding'!$G$121="NONE")&lt;&gt;(((OR('10_Analysis_Ready'!$AG$121="YES",'10_Analysis_Ready'!$AH$121="YES"))*1+('10_Analysis_Ready'!$AI$121="YES")+('10_Analysis_Ready'!$AJ$121="YES")+('10_Analysis_Ready'!$AK$121="YES")+('10_Analysis_Ready'!$AL$121="YES"))=0),1,0))</f>
        <v>0</v>
      </c>
    </row>
    <row r="139" spans="1:10">
      <c r="A139">
        <v>122</v>
      </c>
      <c r="B139" t="str">
        <f>IF('10_Analysis_Ready'!$A$122="","",'10_Analysis_Ready'!$A$122)</f>
        <v/>
      </c>
      <c r="C139">
        <f>IF('10_Analysis_Ready'!$A$122="",0,IF(AND('28_Taxonomy_Coding'!$A$122='10_Analysis_Ready'!$A$122,'14_Generalization_Map'!$A$122='10_Analysis_Ready'!$A$122),0,1))</f>
        <v>0</v>
      </c>
      <c r="D139">
        <f>IF('10_Analysis_Ready'!$A$122="",0,IF(COUNTIFS('06_Full_Text_Screening'!$A:$A,'10_Analysis_Ready'!$A$122,'06_Full_Text_Screening'!$J:$J,"INCLUDE")=1,0,1))</f>
        <v>0</v>
      </c>
      <c r="E139">
        <f>IF('10_Analysis_Ready'!$A$122="",0,IF(OR(AND(((OR('10_Analysis_Ready'!$AG$122="YES",'10_Analysis_Ready'!$AH$122="YES"))*1+('10_Analysis_Ready'!$AI$122="YES")+('10_Analysis_Ready'!$AJ$122="YES")+('10_Analysis_Ready'!$AK$122="YES")+('10_Analysis_Ready'!$AL$122="YES"))=0,'10_Analysis_Ready'!$AF$122&lt;&gt;"NONE"),AND(((OR('10_Analysis_Ready'!$AG$122="YES",'10_Analysis_Ready'!$AH$122="YES"))*1+('10_Analysis_Ready'!$AI$122="YES")+('10_Analysis_Ready'!$AJ$122="YES")+('10_Analysis_Ready'!$AK$122="YES")+('10_Analysis_Ready'!$AL$122="YES"))=1,OR('10_Analysis_Ready'!$AF$122="NONE",'10_Analysis_Ready'!$AF$122="MULTIPLE")),AND(((OR('10_Analysis_Ready'!$AG$122="YES",'10_Analysis_Ready'!$AH$122="YES"))*1+('10_Analysis_Ready'!$AI$122="YES")+('10_Analysis_Ready'!$AJ$122="YES")+('10_Analysis_Ready'!$AK$122="YES")+('10_Analysis_Ready'!$AL$122="YES"))&gt;=2,'10_Analysis_Ready'!$AF$122&lt;&gt;"MULTIPLE")),1,0))</f>
        <v>0</v>
      </c>
      <c r="F139">
        <f>IF('10_Analysis_Ready'!$A$122="",0,IF(AND('10_Analysis_Ready'!$AO$122="NO",COUNTIF('10_Analysis_Ready'!$AP$122:$AU$122,"YES")&gt;0),1,0))</f>
        <v>0</v>
      </c>
      <c r="G139">
        <f>IF('10_Analysis_Ready'!$A$122="",0,IF(OR(AND('10_Analysis_Ready'!$Y$122="GAN",'10_Analysis_Ready'!$AA$122="YES"),AND('10_Analysis_Ready'!$Y$122="DIFFUSION",'10_Analysis_Ready'!$Z$122="YES"),AND('10_Analysis_Ready'!$Y$122="GAN+DIFFUSION",OR('10_Analysis_Ready'!$Z$122&lt;&gt;"YES",'10_Analysis_Ready'!$AA$122&lt;&gt;"YES"))),1,0))</f>
        <v>0</v>
      </c>
      <c r="H139">
        <f>IF('10_Analysis_Ready'!$A$122="",0,IF(OR(AND('10_Analysis_Ready'!$BJ$122="NO",OR('10_Analysis_Ready'!$BK$122="HIGH",'10_Analysis_Ready'!$BK$122="VERY HIGH")),AND(((OR('10_Analysis_Ready'!$AG$122="YES",'10_Analysis_Ready'!$AH$122="YES"))*1+('10_Analysis_Ready'!$AI$122="YES")+('10_Analysis_Ready'!$AJ$122="YES")+('10_Analysis_Ready'!$AK$122="YES")+('10_Analysis_Ready'!$AL$122="YES"))=0,'10_Analysis_Ready'!$BJ$122="YES")),1,0))</f>
        <v>0</v>
      </c>
      <c r="I139">
        <f>IF('10_Analysis_Ready'!$A$122="",0,IF(AND(((OR('10_Analysis_Ready'!$AG$122="YES",'10_Analysis_Ready'!$AH$122="YES"))*1+('10_Analysis_Ready'!$AI$122="YES")+('10_Analysis_Ready'!$AJ$122="YES")+('10_Analysis_Ready'!$AK$122="YES")+('10_Analysis_Ready'!$AL$122="YES"))=0,'10_Analysis_Ready'!$AM$122&lt;&gt;"N/A"),1,0))</f>
        <v>0</v>
      </c>
      <c r="J139">
        <f>IF('10_Analysis_Ready'!$A$122="",0,IF(('28_Taxonomy_Coding'!$G$122="NONE")&lt;&gt;(((OR('10_Analysis_Ready'!$AG$122="YES",'10_Analysis_Ready'!$AH$122="YES"))*1+('10_Analysis_Ready'!$AI$122="YES")+('10_Analysis_Ready'!$AJ$122="YES")+('10_Analysis_Ready'!$AK$122="YES")+('10_Analysis_Ready'!$AL$122="YES"))=0),1,0))</f>
        <v>0</v>
      </c>
    </row>
    <row r="140" spans="1:10">
      <c r="A140">
        <v>123</v>
      </c>
      <c r="B140" t="str">
        <f>IF('10_Analysis_Ready'!$A$123="","",'10_Analysis_Ready'!$A$123)</f>
        <v/>
      </c>
      <c r="C140">
        <f>IF('10_Analysis_Ready'!$A$123="",0,IF(AND('28_Taxonomy_Coding'!$A$123='10_Analysis_Ready'!$A$123,'14_Generalization_Map'!$A$123='10_Analysis_Ready'!$A$123),0,1))</f>
        <v>0</v>
      </c>
      <c r="D140">
        <f>IF('10_Analysis_Ready'!$A$123="",0,IF(COUNTIFS('06_Full_Text_Screening'!$A:$A,'10_Analysis_Ready'!$A$123,'06_Full_Text_Screening'!$J:$J,"INCLUDE")=1,0,1))</f>
        <v>0</v>
      </c>
      <c r="E140">
        <f>IF('10_Analysis_Ready'!$A$123="",0,IF(OR(AND(((OR('10_Analysis_Ready'!$AG$123="YES",'10_Analysis_Ready'!$AH$123="YES"))*1+('10_Analysis_Ready'!$AI$123="YES")+('10_Analysis_Ready'!$AJ$123="YES")+('10_Analysis_Ready'!$AK$123="YES")+('10_Analysis_Ready'!$AL$123="YES"))=0,'10_Analysis_Ready'!$AF$123&lt;&gt;"NONE"),AND(((OR('10_Analysis_Ready'!$AG$123="YES",'10_Analysis_Ready'!$AH$123="YES"))*1+('10_Analysis_Ready'!$AI$123="YES")+('10_Analysis_Ready'!$AJ$123="YES")+('10_Analysis_Ready'!$AK$123="YES")+('10_Analysis_Ready'!$AL$123="YES"))=1,OR('10_Analysis_Ready'!$AF$123="NONE",'10_Analysis_Ready'!$AF$123="MULTIPLE")),AND(((OR('10_Analysis_Ready'!$AG$123="YES",'10_Analysis_Ready'!$AH$123="YES"))*1+('10_Analysis_Ready'!$AI$123="YES")+('10_Analysis_Ready'!$AJ$123="YES")+('10_Analysis_Ready'!$AK$123="YES")+('10_Analysis_Ready'!$AL$123="YES"))&gt;=2,'10_Analysis_Ready'!$AF$123&lt;&gt;"MULTIPLE")),1,0))</f>
        <v>0</v>
      </c>
      <c r="F140">
        <f>IF('10_Analysis_Ready'!$A$123="",0,IF(AND('10_Analysis_Ready'!$AO$123="NO",COUNTIF('10_Analysis_Ready'!$AP$123:$AU$123,"YES")&gt;0),1,0))</f>
        <v>0</v>
      </c>
      <c r="G140">
        <f>IF('10_Analysis_Ready'!$A$123="",0,IF(OR(AND('10_Analysis_Ready'!$Y$123="GAN",'10_Analysis_Ready'!$AA$123="YES"),AND('10_Analysis_Ready'!$Y$123="DIFFUSION",'10_Analysis_Ready'!$Z$123="YES"),AND('10_Analysis_Ready'!$Y$123="GAN+DIFFUSION",OR('10_Analysis_Ready'!$Z$123&lt;&gt;"YES",'10_Analysis_Ready'!$AA$123&lt;&gt;"YES"))),1,0))</f>
        <v>0</v>
      </c>
      <c r="H140">
        <f>IF('10_Analysis_Ready'!$A$123="",0,IF(OR(AND('10_Analysis_Ready'!$BJ$123="NO",OR('10_Analysis_Ready'!$BK$123="HIGH",'10_Analysis_Ready'!$BK$123="VERY HIGH")),AND(((OR('10_Analysis_Ready'!$AG$123="YES",'10_Analysis_Ready'!$AH$123="YES"))*1+('10_Analysis_Ready'!$AI$123="YES")+('10_Analysis_Ready'!$AJ$123="YES")+('10_Analysis_Ready'!$AK$123="YES")+('10_Analysis_Ready'!$AL$123="YES"))=0,'10_Analysis_Ready'!$BJ$123="YES")),1,0))</f>
        <v>0</v>
      </c>
      <c r="I140">
        <f>IF('10_Analysis_Ready'!$A$123="",0,IF(AND(((OR('10_Analysis_Ready'!$AG$123="YES",'10_Analysis_Ready'!$AH$123="YES"))*1+('10_Analysis_Ready'!$AI$123="YES")+('10_Analysis_Ready'!$AJ$123="YES")+('10_Analysis_Ready'!$AK$123="YES")+('10_Analysis_Ready'!$AL$123="YES"))=0,'10_Analysis_Ready'!$AM$123&lt;&gt;"N/A"),1,0))</f>
        <v>0</v>
      </c>
      <c r="J140">
        <f>IF('10_Analysis_Ready'!$A$123="",0,IF(('28_Taxonomy_Coding'!$G$123="NONE")&lt;&gt;(((OR('10_Analysis_Ready'!$AG$123="YES",'10_Analysis_Ready'!$AH$123="YES"))*1+('10_Analysis_Ready'!$AI$123="YES")+('10_Analysis_Ready'!$AJ$123="YES")+('10_Analysis_Ready'!$AK$123="YES")+('10_Analysis_Ready'!$AL$123="YES"))=0),1,0))</f>
        <v>0</v>
      </c>
    </row>
    <row r="141" spans="1:10">
      <c r="A141">
        <v>124</v>
      </c>
      <c r="B141" t="str">
        <f>IF('10_Analysis_Ready'!$A$124="","",'10_Analysis_Ready'!$A$124)</f>
        <v/>
      </c>
      <c r="C141">
        <f>IF('10_Analysis_Ready'!$A$124="",0,IF(AND('28_Taxonomy_Coding'!$A$124='10_Analysis_Ready'!$A$124,'14_Generalization_Map'!$A$124='10_Analysis_Ready'!$A$124),0,1))</f>
        <v>0</v>
      </c>
      <c r="D141">
        <f>IF('10_Analysis_Ready'!$A$124="",0,IF(COUNTIFS('06_Full_Text_Screening'!$A:$A,'10_Analysis_Ready'!$A$124,'06_Full_Text_Screening'!$J:$J,"INCLUDE")=1,0,1))</f>
        <v>0</v>
      </c>
      <c r="E141">
        <f>IF('10_Analysis_Ready'!$A$124="",0,IF(OR(AND(((OR('10_Analysis_Ready'!$AG$124="YES",'10_Analysis_Ready'!$AH$124="YES"))*1+('10_Analysis_Ready'!$AI$124="YES")+('10_Analysis_Ready'!$AJ$124="YES")+('10_Analysis_Ready'!$AK$124="YES")+('10_Analysis_Ready'!$AL$124="YES"))=0,'10_Analysis_Ready'!$AF$124&lt;&gt;"NONE"),AND(((OR('10_Analysis_Ready'!$AG$124="YES",'10_Analysis_Ready'!$AH$124="YES"))*1+('10_Analysis_Ready'!$AI$124="YES")+('10_Analysis_Ready'!$AJ$124="YES")+('10_Analysis_Ready'!$AK$124="YES")+('10_Analysis_Ready'!$AL$124="YES"))=1,OR('10_Analysis_Ready'!$AF$124="NONE",'10_Analysis_Ready'!$AF$124="MULTIPLE")),AND(((OR('10_Analysis_Ready'!$AG$124="YES",'10_Analysis_Ready'!$AH$124="YES"))*1+('10_Analysis_Ready'!$AI$124="YES")+('10_Analysis_Ready'!$AJ$124="YES")+('10_Analysis_Ready'!$AK$124="YES")+('10_Analysis_Ready'!$AL$124="YES"))&gt;=2,'10_Analysis_Ready'!$AF$124&lt;&gt;"MULTIPLE")),1,0))</f>
        <v>0</v>
      </c>
      <c r="F141">
        <f>IF('10_Analysis_Ready'!$A$124="",0,IF(AND('10_Analysis_Ready'!$AO$124="NO",COUNTIF('10_Analysis_Ready'!$AP$124:$AU$124,"YES")&gt;0),1,0))</f>
        <v>0</v>
      </c>
      <c r="G141">
        <f>IF('10_Analysis_Ready'!$A$124="",0,IF(OR(AND('10_Analysis_Ready'!$Y$124="GAN",'10_Analysis_Ready'!$AA$124="YES"),AND('10_Analysis_Ready'!$Y$124="DIFFUSION",'10_Analysis_Ready'!$Z$124="YES"),AND('10_Analysis_Ready'!$Y$124="GAN+DIFFUSION",OR('10_Analysis_Ready'!$Z$124&lt;&gt;"YES",'10_Analysis_Ready'!$AA$124&lt;&gt;"YES"))),1,0))</f>
        <v>0</v>
      </c>
      <c r="H141">
        <f>IF('10_Analysis_Ready'!$A$124="",0,IF(OR(AND('10_Analysis_Ready'!$BJ$124="NO",OR('10_Analysis_Ready'!$BK$124="HIGH",'10_Analysis_Ready'!$BK$124="VERY HIGH")),AND(((OR('10_Analysis_Ready'!$AG$124="YES",'10_Analysis_Ready'!$AH$124="YES"))*1+('10_Analysis_Ready'!$AI$124="YES")+('10_Analysis_Ready'!$AJ$124="YES")+('10_Analysis_Ready'!$AK$124="YES")+('10_Analysis_Ready'!$AL$124="YES"))=0,'10_Analysis_Ready'!$BJ$124="YES")),1,0))</f>
        <v>0</v>
      </c>
      <c r="I141">
        <f>IF('10_Analysis_Ready'!$A$124="",0,IF(AND(((OR('10_Analysis_Ready'!$AG$124="YES",'10_Analysis_Ready'!$AH$124="YES"))*1+('10_Analysis_Ready'!$AI$124="YES")+('10_Analysis_Ready'!$AJ$124="YES")+('10_Analysis_Ready'!$AK$124="YES")+('10_Analysis_Ready'!$AL$124="YES"))=0,'10_Analysis_Ready'!$AM$124&lt;&gt;"N/A"),1,0))</f>
        <v>0</v>
      </c>
      <c r="J141">
        <f>IF('10_Analysis_Ready'!$A$124="",0,IF(('28_Taxonomy_Coding'!$G$124="NONE")&lt;&gt;(((OR('10_Analysis_Ready'!$AG$124="YES",'10_Analysis_Ready'!$AH$124="YES"))*1+('10_Analysis_Ready'!$AI$124="YES")+('10_Analysis_Ready'!$AJ$124="YES")+('10_Analysis_Ready'!$AK$124="YES")+('10_Analysis_Ready'!$AL$124="YES"))=0),1,0))</f>
        <v>0</v>
      </c>
    </row>
    <row r="142" spans="1:10">
      <c r="A142">
        <v>125</v>
      </c>
      <c r="B142" t="str">
        <f>IF('10_Analysis_Ready'!$A$125="","",'10_Analysis_Ready'!$A$125)</f>
        <v/>
      </c>
      <c r="C142">
        <f>IF('10_Analysis_Ready'!$A$125="",0,IF(AND('28_Taxonomy_Coding'!$A$125='10_Analysis_Ready'!$A$125,'14_Generalization_Map'!$A$125='10_Analysis_Ready'!$A$125),0,1))</f>
        <v>0</v>
      </c>
      <c r="D142">
        <f>IF('10_Analysis_Ready'!$A$125="",0,IF(COUNTIFS('06_Full_Text_Screening'!$A:$A,'10_Analysis_Ready'!$A$125,'06_Full_Text_Screening'!$J:$J,"INCLUDE")=1,0,1))</f>
        <v>0</v>
      </c>
      <c r="E142">
        <f>IF('10_Analysis_Ready'!$A$125="",0,IF(OR(AND(((OR('10_Analysis_Ready'!$AG$125="YES",'10_Analysis_Ready'!$AH$125="YES"))*1+('10_Analysis_Ready'!$AI$125="YES")+('10_Analysis_Ready'!$AJ$125="YES")+('10_Analysis_Ready'!$AK$125="YES")+('10_Analysis_Ready'!$AL$125="YES"))=0,'10_Analysis_Ready'!$AF$125&lt;&gt;"NONE"),AND(((OR('10_Analysis_Ready'!$AG$125="YES",'10_Analysis_Ready'!$AH$125="YES"))*1+('10_Analysis_Ready'!$AI$125="YES")+('10_Analysis_Ready'!$AJ$125="YES")+('10_Analysis_Ready'!$AK$125="YES")+('10_Analysis_Ready'!$AL$125="YES"))=1,OR('10_Analysis_Ready'!$AF$125="NONE",'10_Analysis_Ready'!$AF$125="MULTIPLE")),AND(((OR('10_Analysis_Ready'!$AG$125="YES",'10_Analysis_Ready'!$AH$125="YES"))*1+('10_Analysis_Ready'!$AI$125="YES")+('10_Analysis_Ready'!$AJ$125="YES")+('10_Analysis_Ready'!$AK$125="YES")+('10_Analysis_Ready'!$AL$125="YES"))&gt;=2,'10_Analysis_Ready'!$AF$125&lt;&gt;"MULTIPLE")),1,0))</f>
        <v>0</v>
      </c>
      <c r="F142">
        <f>IF('10_Analysis_Ready'!$A$125="",0,IF(AND('10_Analysis_Ready'!$AO$125="NO",COUNTIF('10_Analysis_Ready'!$AP$125:$AU$125,"YES")&gt;0),1,0))</f>
        <v>0</v>
      </c>
      <c r="G142">
        <f>IF('10_Analysis_Ready'!$A$125="",0,IF(OR(AND('10_Analysis_Ready'!$Y$125="GAN",'10_Analysis_Ready'!$AA$125="YES"),AND('10_Analysis_Ready'!$Y$125="DIFFUSION",'10_Analysis_Ready'!$Z$125="YES"),AND('10_Analysis_Ready'!$Y$125="GAN+DIFFUSION",OR('10_Analysis_Ready'!$Z$125&lt;&gt;"YES",'10_Analysis_Ready'!$AA$125&lt;&gt;"YES"))),1,0))</f>
        <v>0</v>
      </c>
      <c r="H142">
        <f>IF('10_Analysis_Ready'!$A$125="",0,IF(OR(AND('10_Analysis_Ready'!$BJ$125="NO",OR('10_Analysis_Ready'!$BK$125="HIGH",'10_Analysis_Ready'!$BK$125="VERY HIGH")),AND(((OR('10_Analysis_Ready'!$AG$125="YES",'10_Analysis_Ready'!$AH$125="YES"))*1+('10_Analysis_Ready'!$AI$125="YES")+('10_Analysis_Ready'!$AJ$125="YES")+('10_Analysis_Ready'!$AK$125="YES")+('10_Analysis_Ready'!$AL$125="YES"))=0,'10_Analysis_Ready'!$BJ$125="YES")),1,0))</f>
        <v>0</v>
      </c>
      <c r="I142">
        <f>IF('10_Analysis_Ready'!$A$125="",0,IF(AND(((OR('10_Analysis_Ready'!$AG$125="YES",'10_Analysis_Ready'!$AH$125="YES"))*1+('10_Analysis_Ready'!$AI$125="YES")+('10_Analysis_Ready'!$AJ$125="YES")+('10_Analysis_Ready'!$AK$125="YES")+('10_Analysis_Ready'!$AL$125="YES"))=0,'10_Analysis_Ready'!$AM$125&lt;&gt;"N/A"),1,0))</f>
        <v>0</v>
      </c>
      <c r="J142">
        <f>IF('10_Analysis_Ready'!$A$125="",0,IF(('28_Taxonomy_Coding'!$G$125="NONE")&lt;&gt;(((OR('10_Analysis_Ready'!$AG$125="YES",'10_Analysis_Ready'!$AH$125="YES"))*1+('10_Analysis_Ready'!$AI$125="YES")+('10_Analysis_Ready'!$AJ$125="YES")+('10_Analysis_Ready'!$AK$125="YES")+('10_Analysis_Ready'!$AL$125="YES"))=0),1,0))</f>
        <v>0</v>
      </c>
    </row>
    <row r="143" spans="1:10">
      <c r="A143">
        <v>126</v>
      </c>
      <c r="B143" t="str">
        <f>IF('10_Analysis_Ready'!$A$126="","",'10_Analysis_Ready'!$A$126)</f>
        <v/>
      </c>
      <c r="C143">
        <f>IF('10_Analysis_Ready'!$A$126="",0,IF(AND('28_Taxonomy_Coding'!$A$126='10_Analysis_Ready'!$A$126,'14_Generalization_Map'!$A$126='10_Analysis_Ready'!$A$126),0,1))</f>
        <v>0</v>
      </c>
      <c r="D143">
        <f>IF('10_Analysis_Ready'!$A$126="",0,IF(COUNTIFS('06_Full_Text_Screening'!$A:$A,'10_Analysis_Ready'!$A$126,'06_Full_Text_Screening'!$J:$J,"INCLUDE")=1,0,1))</f>
        <v>0</v>
      </c>
      <c r="E143">
        <f>IF('10_Analysis_Ready'!$A$126="",0,IF(OR(AND(((OR('10_Analysis_Ready'!$AG$126="YES",'10_Analysis_Ready'!$AH$126="YES"))*1+('10_Analysis_Ready'!$AI$126="YES")+('10_Analysis_Ready'!$AJ$126="YES")+('10_Analysis_Ready'!$AK$126="YES")+('10_Analysis_Ready'!$AL$126="YES"))=0,'10_Analysis_Ready'!$AF$126&lt;&gt;"NONE"),AND(((OR('10_Analysis_Ready'!$AG$126="YES",'10_Analysis_Ready'!$AH$126="YES"))*1+('10_Analysis_Ready'!$AI$126="YES")+('10_Analysis_Ready'!$AJ$126="YES")+('10_Analysis_Ready'!$AK$126="YES")+('10_Analysis_Ready'!$AL$126="YES"))=1,OR('10_Analysis_Ready'!$AF$126="NONE",'10_Analysis_Ready'!$AF$126="MULTIPLE")),AND(((OR('10_Analysis_Ready'!$AG$126="YES",'10_Analysis_Ready'!$AH$126="YES"))*1+('10_Analysis_Ready'!$AI$126="YES")+('10_Analysis_Ready'!$AJ$126="YES")+('10_Analysis_Ready'!$AK$126="YES")+('10_Analysis_Ready'!$AL$126="YES"))&gt;=2,'10_Analysis_Ready'!$AF$126&lt;&gt;"MULTIPLE")),1,0))</f>
        <v>0</v>
      </c>
      <c r="F143">
        <f>IF('10_Analysis_Ready'!$A$126="",0,IF(AND('10_Analysis_Ready'!$AO$126="NO",COUNTIF('10_Analysis_Ready'!$AP$126:$AU$126,"YES")&gt;0),1,0))</f>
        <v>0</v>
      </c>
      <c r="G143">
        <f>IF('10_Analysis_Ready'!$A$126="",0,IF(OR(AND('10_Analysis_Ready'!$Y$126="GAN",'10_Analysis_Ready'!$AA$126="YES"),AND('10_Analysis_Ready'!$Y$126="DIFFUSION",'10_Analysis_Ready'!$Z$126="YES"),AND('10_Analysis_Ready'!$Y$126="GAN+DIFFUSION",OR('10_Analysis_Ready'!$Z$126&lt;&gt;"YES",'10_Analysis_Ready'!$AA$126&lt;&gt;"YES"))),1,0))</f>
        <v>0</v>
      </c>
      <c r="H143">
        <f>IF('10_Analysis_Ready'!$A$126="",0,IF(OR(AND('10_Analysis_Ready'!$BJ$126="NO",OR('10_Analysis_Ready'!$BK$126="HIGH",'10_Analysis_Ready'!$BK$126="VERY HIGH")),AND(((OR('10_Analysis_Ready'!$AG$126="YES",'10_Analysis_Ready'!$AH$126="YES"))*1+('10_Analysis_Ready'!$AI$126="YES")+('10_Analysis_Ready'!$AJ$126="YES")+('10_Analysis_Ready'!$AK$126="YES")+('10_Analysis_Ready'!$AL$126="YES"))=0,'10_Analysis_Ready'!$BJ$126="YES")),1,0))</f>
        <v>0</v>
      </c>
      <c r="I143">
        <f>IF('10_Analysis_Ready'!$A$126="",0,IF(AND(((OR('10_Analysis_Ready'!$AG$126="YES",'10_Analysis_Ready'!$AH$126="YES"))*1+('10_Analysis_Ready'!$AI$126="YES")+('10_Analysis_Ready'!$AJ$126="YES")+('10_Analysis_Ready'!$AK$126="YES")+('10_Analysis_Ready'!$AL$126="YES"))=0,'10_Analysis_Ready'!$AM$126&lt;&gt;"N/A"),1,0))</f>
        <v>0</v>
      </c>
      <c r="J143">
        <f>IF('10_Analysis_Ready'!$A$126="",0,IF(('28_Taxonomy_Coding'!$G$126="NONE")&lt;&gt;(((OR('10_Analysis_Ready'!$AG$126="YES",'10_Analysis_Ready'!$AH$126="YES"))*1+('10_Analysis_Ready'!$AI$126="YES")+('10_Analysis_Ready'!$AJ$126="YES")+('10_Analysis_Ready'!$AK$126="YES")+('10_Analysis_Ready'!$AL$126="YES"))=0),1,0))</f>
        <v>0</v>
      </c>
    </row>
    <row r="144" spans="1:10">
      <c r="A144">
        <v>127</v>
      </c>
      <c r="B144" t="str">
        <f>IF('10_Analysis_Ready'!$A$127="","",'10_Analysis_Ready'!$A$127)</f>
        <v/>
      </c>
      <c r="C144">
        <f>IF('10_Analysis_Ready'!$A$127="",0,IF(AND('28_Taxonomy_Coding'!$A$127='10_Analysis_Ready'!$A$127,'14_Generalization_Map'!$A$127='10_Analysis_Ready'!$A$127),0,1))</f>
        <v>0</v>
      </c>
      <c r="D144">
        <f>IF('10_Analysis_Ready'!$A$127="",0,IF(COUNTIFS('06_Full_Text_Screening'!$A:$A,'10_Analysis_Ready'!$A$127,'06_Full_Text_Screening'!$J:$J,"INCLUDE")=1,0,1))</f>
        <v>0</v>
      </c>
      <c r="E144">
        <f>IF('10_Analysis_Ready'!$A$127="",0,IF(OR(AND(((OR('10_Analysis_Ready'!$AG$127="YES",'10_Analysis_Ready'!$AH$127="YES"))*1+('10_Analysis_Ready'!$AI$127="YES")+('10_Analysis_Ready'!$AJ$127="YES")+('10_Analysis_Ready'!$AK$127="YES")+('10_Analysis_Ready'!$AL$127="YES"))=0,'10_Analysis_Ready'!$AF$127&lt;&gt;"NONE"),AND(((OR('10_Analysis_Ready'!$AG$127="YES",'10_Analysis_Ready'!$AH$127="YES"))*1+('10_Analysis_Ready'!$AI$127="YES")+('10_Analysis_Ready'!$AJ$127="YES")+('10_Analysis_Ready'!$AK$127="YES")+('10_Analysis_Ready'!$AL$127="YES"))=1,OR('10_Analysis_Ready'!$AF$127="NONE",'10_Analysis_Ready'!$AF$127="MULTIPLE")),AND(((OR('10_Analysis_Ready'!$AG$127="YES",'10_Analysis_Ready'!$AH$127="YES"))*1+('10_Analysis_Ready'!$AI$127="YES")+('10_Analysis_Ready'!$AJ$127="YES")+('10_Analysis_Ready'!$AK$127="YES")+('10_Analysis_Ready'!$AL$127="YES"))&gt;=2,'10_Analysis_Ready'!$AF$127&lt;&gt;"MULTIPLE")),1,0))</f>
        <v>0</v>
      </c>
      <c r="F144">
        <f>IF('10_Analysis_Ready'!$A$127="",0,IF(AND('10_Analysis_Ready'!$AO$127="NO",COUNTIF('10_Analysis_Ready'!$AP$127:$AU$127,"YES")&gt;0),1,0))</f>
        <v>0</v>
      </c>
      <c r="G144">
        <f>IF('10_Analysis_Ready'!$A$127="",0,IF(OR(AND('10_Analysis_Ready'!$Y$127="GAN",'10_Analysis_Ready'!$AA$127="YES"),AND('10_Analysis_Ready'!$Y$127="DIFFUSION",'10_Analysis_Ready'!$Z$127="YES"),AND('10_Analysis_Ready'!$Y$127="GAN+DIFFUSION",OR('10_Analysis_Ready'!$Z$127&lt;&gt;"YES",'10_Analysis_Ready'!$AA$127&lt;&gt;"YES"))),1,0))</f>
        <v>0</v>
      </c>
      <c r="H144">
        <f>IF('10_Analysis_Ready'!$A$127="",0,IF(OR(AND('10_Analysis_Ready'!$BJ$127="NO",OR('10_Analysis_Ready'!$BK$127="HIGH",'10_Analysis_Ready'!$BK$127="VERY HIGH")),AND(((OR('10_Analysis_Ready'!$AG$127="YES",'10_Analysis_Ready'!$AH$127="YES"))*1+('10_Analysis_Ready'!$AI$127="YES")+('10_Analysis_Ready'!$AJ$127="YES")+('10_Analysis_Ready'!$AK$127="YES")+('10_Analysis_Ready'!$AL$127="YES"))=0,'10_Analysis_Ready'!$BJ$127="YES")),1,0))</f>
        <v>0</v>
      </c>
      <c r="I144">
        <f>IF('10_Analysis_Ready'!$A$127="",0,IF(AND(((OR('10_Analysis_Ready'!$AG$127="YES",'10_Analysis_Ready'!$AH$127="YES"))*1+('10_Analysis_Ready'!$AI$127="YES")+('10_Analysis_Ready'!$AJ$127="YES")+('10_Analysis_Ready'!$AK$127="YES")+('10_Analysis_Ready'!$AL$127="YES"))=0,'10_Analysis_Ready'!$AM$127&lt;&gt;"N/A"),1,0))</f>
        <v>0</v>
      </c>
      <c r="J144">
        <f>IF('10_Analysis_Ready'!$A$127="",0,IF(('28_Taxonomy_Coding'!$G$127="NONE")&lt;&gt;(((OR('10_Analysis_Ready'!$AG$127="YES",'10_Analysis_Ready'!$AH$127="YES"))*1+('10_Analysis_Ready'!$AI$127="YES")+('10_Analysis_Ready'!$AJ$127="YES")+('10_Analysis_Ready'!$AK$127="YES")+('10_Analysis_Ready'!$AL$127="YES"))=0),1,0))</f>
        <v>0</v>
      </c>
    </row>
    <row r="145" spans="1:10">
      <c r="A145">
        <v>128</v>
      </c>
      <c r="B145" t="str">
        <f>IF('10_Analysis_Ready'!$A$128="","",'10_Analysis_Ready'!$A$128)</f>
        <v/>
      </c>
      <c r="C145">
        <f>IF('10_Analysis_Ready'!$A$128="",0,IF(AND('28_Taxonomy_Coding'!$A$128='10_Analysis_Ready'!$A$128,'14_Generalization_Map'!$A$128='10_Analysis_Ready'!$A$128),0,1))</f>
        <v>0</v>
      </c>
      <c r="D145">
        <f>IF('10_Analysis_Ready'!$A$128="",0,IF(COUNTIFS('06_Full_Text_Screening'!$A:$A,'10_Analysis_Ready'!$A$128,'06_Full_Text_Screening'!$J:$J,"INCLUDE")=1,0,1))</f>
        <v>0</v>
      </c>
      <c r="E145">
        <f>IF('10_Analysis_Ready'!$A$128="",0,IF(OR(AND(((OR('10_Analysis_Ready'!$AG$128="YES",'10_Analysis_Ready'!$AH$128="YES"))*1+('10_Analysis_Ready'!$AI$128="YES")+('10_Analysis_Ready'!$AJ$128="YES")+('10_Analysis_Ready'!$AK$128="YES")+('10_Analysis_Ready'!$AL$128="YES"))=0,'10_Analysis_Ready'!$AF$128&lt;&gt;"NONE"),AND(((OR('10_Analysis_Ready'!$AG$128="YES",'10_Analysis_Ready'!$AH$128="YES"))*1+('10_Analysis_Ready'!$AI$128="YES")+('10_Analysis_Ready'!$AJ$128="YES")+('10_Analysis_Ready'!$AK$128="YES")+('10_Analysis_Ready'!$AL$128="YES"))=1,OR('10_Analysis_Ready'!$AF$128="NONE",'10_Analysis_Ready'!$AF$128="MULTIPLE")),AND(((OR('10_Analysis_Ready'!$AG$128="YES",'10_Analysis_Ready'!$AH$128="YES"))*1+('10_Analysis_Ready'!$AI$128="YES")+('10_Analysis_Ready'!$AJ$128="YES")+('10_Analysis_Ready'!$AK$128="YES")+('10_Analysis_Ready'!$AL$128="YES"))&gt;=2,'10_Analysis_Ready'!$AF$128&lt;&gt;"MULTIPLE")),1,0))</f>
        <v>0</v>
      </c>
      <c r="F145">
        <f>IF('10_Analysis_Ready'!$A$128="",0,IF(AND('10_Analysis_Ready'!$AO$128="NO",COUNTIF('10_Analysis_Ready'!$AP$128:$AU$128,"YES")&gt;0),1,0))</f>
        <v>0</v>
      </c>
      <c r="G145">
        <f>IF('10_Analysis_Ready'!$A$128="",0,IF(OR(AND('10_Analysis_Ready'!$Y$128="GAN",'10_Analysis_Ready'!$AA$128="YES"),AND('10_Analysis_Ready'!$Y$128="DIFFUSION",'10_Analysis_Ready'!$Z$128="YES"),AND('10_Analysis_Ready'!$Y$128="GAN+DIFFUSION",OR('10_Analysis_Ready'!$Z$128&lt;&gt;"YES",'10_Analysis_Ready'!$AA$128&lt;&gt;"YES"))),1,0))</f>
        <v>0</v>
      </c>
      <c r="H145">
        <f>IF('10_Analysis_Ready'!$A$128="",0,IF(OR(AND('10_Analysis_Ready'!$BJ$128="NO",OR('10_Analysis_Ready'!$BK$128="HIGH",'10_Analysis_Ready'!$BK$128="VERY HIGH")),AND(((OR('10_Analysis_Ready'!$AG$128="YES",'10_Analysis_Ready'!$AH$128="YES"))*1+('10_Analysis_Ready'!$AI$128="YES")+('10_Analysis_Ready'!$AJ$128="YES")+('10_Analysis_Ready'!$AK$128="YES")+('10_Analysis_Ready'!$AL$128="YES"))=0,'10_Analysis_Ready'!$BJ$128="YES")),1,0))</f>
        <v>0</v>
      </c>
      <c r="I145">
        <f>IF('10_Analysis_Ready'!$A$128="",0,IF(AND(((OR('10_Analysis_Ready'!$AG$128="YES",'10_Analysis_Ready'!$AH$128="YES"))*1+('10_Analysis_Ready'!$AI$128="YES")+('10_Analysis_Ready'!$AJ$128="YES")+('10_Analysis_Ready'!$AK$128="YES")+('10_Analysis_Ready'!$AL$128="YES"))=0,'10_Analysis_Ready'!$AM$128&lt;&gt;"N/A"),1,0))</f>
        <v>0</v>
      </c>
      <c r="J145">
        <f>IF('10_Analysis_Ready'!$A$128="",0,IF(('28_Taxonomy_Coding'!$G$128="NONE")&lt;&gt;(((OR('10_Analysis_Ready'!$AG$128="YES",'10_Analysis_Ready'!$AH$128="YES"))*1+('10_Analysis_Ready'!$AI$128="YES")+('10_Analysis_Ready'!$AJ$128="YES")+('10_Analysis_Ready'!$AK$128="YES")+('10_Analysis_Ready'!$AL$128="YES"))=0),1,0))</f>
        <v>0</v>
      </c>
    </row>
    <row r="146" spans="1:10">
      <c r="A146">
        <v>129</v>
      </c>
      <c r="B146" t="str">
        <f>IF('10_Analysis_Ready'!$A$129="","",'10_Analysis_Ready'!$A$129)</f>
        <v/>
      </c>
      <c r="C146">
        <f>IF('10_Analysis_Ready'!$A$129="",0,IF(AND('28_Taxonomy_Coding'!$A$129='10_Analysis_Ready'!$A$129,'14_Generalization_Map'!$A$129='10_Analysis_Ready'!$A$129),0,1))</f>
        <v>0</v>
      </c>
      <c r="D146">
        <f>IF('10_Analysis_Ready'!$A$129="",0,IF(COUNTIFS('06_Full_Text_Screening'!$A:$A,'10_Analysis_Ready'!$A$129,'06_Full_Text_Screening'!$J:$J,"INCLUDE")=1,0,1))</f>
        <v>0</v>
      </c>
      <c r="E146">
        <f>IF('10_Analysis_Ready'!$A$129="",0,IF(OR(AND(((OR('10_Analysis_Ready'!$AG$129="YES",'10_Analysis_Ready'!$AH$129="YES"))*1+('10_Analysis_Ready'!$AI$129="YES")+('10_Analysis_Ready'!$AJ$129="YES")+('10_Analysis_Ready'!$AK$129="YES")+('10_Analysis_Ready'!$AL$129="YES"))=0,'10_Analysis_Ready'!$AF$129&lt;&gt;"NONE"),AND(((OR('10_Analysis_Ready'!$AG$129="YES",'10_Analysis_Ready'!$AH$129="YES"))*1+('10_Analysis_Ready'!$AI$129="YES")+('10_Analysis_Ready'!$AJ$129="YES")+('10_Analysis_Ready'!$AK$129="YES")+('10_Analysis_Ready'!$AL$129="YES"))=1,OR('10_Analysis_Ready'!$AF$129="NONE",'10_Analysis_Ready'!$AF$129="MULTIPLE")),AND(((OR('10_Analysis_Ready'!$AG$129="YES",'10_Analysis_Ready'!$AH$129="YES"))*1+('10_Analysis_Ready'!$AI$129="YES")+('10_Analysis_Ready'!$AJ$129="YES")+('10_Analysis_Ready'!$AK$129="YES")+('10_Analysis_Ready'!$AL$129="YES"))&gt;=2,'10_Analysis_Ready'!$AF$129&lt;&gt;"MULTIPLE")),1,0))</f>
        <v>0</v>
      </c>
      <c r="F146">
        <f>IF('10_Analysis_Ready'!$A$129="",0,IF(AND('10_Analysis_Ready'!$AO$129="NO",COUNTIF('10_Analysis_Ready'!$AP$129:$AU$129,"YES")&gt;0),1,0))</f>
        <v>0</v>
      </c>
      <c r="G146">
        <f>IF('10_Analysis_Ready'!$A$129="",0,IF(OR(AND('10_Analysis_Ready'!$Y$129="GAN",'10_Analysis_Ready'!$AA$129="YES"),AND('10_Analysis_Ready'!$Y$129="DIFFUSION",'10_Analysis_Ready'!$Z$129="YES"),AND('10_Analysis_Ready'!$Y$129="GAN+DIFFUSION",OR('10_Analysis_Ready'!$Z$129&lt;&gt;"YES",'10_Analysis_Ready'!$AA$129&lt;&gt;"YES"))),1,0))</f>
        <v>0</v>
      </c>
      <c r="H146">
        <f>IF('10_Analysis_Ready'!$A$129="",0,IF(OR(AND('10_Analysis_Ready'!$BJ$129="NO",OR('10_Analysis_Ready'!$BK$129="HIGH",'10_Analysis_Ready'!$BK$129="VERY HIGH")),AND(((OR('10_Analysis_Ready'!$AG$129="YES",'10_Analysis_Ready'!$AH$129="YES"))*1+('10_Analysis_Ready'!$AI$129="YES")+('10_Analysis_Ready'!$AJ$129="YES")+('10_Analysis_Ready'!$AK$129="YES")+('10_Analysis_Ready'!$AL$129="YES"))=0,'10_Analysis_Ready'!$BJ$129="YES")),1,0))</f>
        <v>0</v>
      </c>
      <c r="I146">
        <f>IF('10_Analysis_Ready'!$A$129="",0,IF(AND(((OR('10_Analysis_Ready'!$AG$129="YES",'10_Analysis_Ready'!$AH$129="YES"))*1+('10_Analysis_Ready'!$AI$129="YES")+('10_Analysis_Ready'!$AJ$129="YES")+('10_Analysis_Ready'!$AK$129="YES")+('10_Analysis_Ready'!$AL$129="YES"))=0,'10_Analysis_Ready'!$AM$129&lt;&gt;"N/A"),1,0))</f>
        <v>0</v>
      </c>
      <c r="J146">
        <f>IF('10_Analysis_Ready'!$A$129="",0,IF(('28_Taxonomy_Coding'!$G$129="NONE")&lt;&gt;(((OR('10_Analysis_Ready'!$AG$129="YES",'10_Analysis_Ready'!$AH$129="YES"))*1+('10_Analysis_Ready'!$AI$129="YES")+('10_Analysis_Ready'!$AJ$129="YES")+('10_Analysis_Ready'!$AK$129="YES")+('10_Analysis_Ready'!$AL$129="YES"))=0),1,0))</f>
        <v>0</v>
      </c>
    </row>
    <row r="147" spans="1:10">
      <c r="A147">
        <v>130</v>
      </c>
      <c r="B147" t="str">
        <f>IF('10_Analysis_Ready'!$A$130="","",'10_Analysis_Ready'!$A$130)</f>
        <v/>
      </c>
      <c r="C147">
        <f>IF('10_Analysis_Ready'!$A$130="",0,IF(AND('28_Taxonomy_Coding'!$A$130='10_Analysis_Ready'!$A$130,'14_Generalization_Map'!$A$130='10_Analysis_Ready'!$A$130),0,1))</f>
        <v>0</v>
      </c>
      <c r="D147">
        <f>IF('10_Analysis_Ready'!$A$130="",0,IF(COUNTIFS('06_Full_Text_Screening'!$A:$A,'10_Analysis_Ready'!$A$130,'06_Full_Text_Screening'!$J:$J,"INCLUDE")=1,0,1))</f>
        <v>0</v>
      </c>
      <c r="E147">
        <f>IF('10_Analysis_Ready'!$A$130="",0,IF(OR(AND(((OR('10_Analysis_Ready'!$AG$130="YES",'10_Analysis_Ready'!$AH$130="YES"))*1+('10_Analysis_Ready'!$AI$130="YES")+('10_Analysis_Ready'!$AJ$130="YES")+('10_Analysis_Ready'!$AK$130="YES")+('10_Analysis_Ready'!$AL$130="YES"))=0,'10_Analysis_Ready'!$AF$130&lt;&gt;"NONE"),AND(((OR('10_Analysis_Ready'!$AG$130="YES",'10_Analysis_Ready'!$AH$130="YES"))*1+('10_Analysis_Ready'!$AI$130="YES")+('10_Analysis_Ready'!$AJ$130="YES")+('10_Analysis_Ready'!$AK$130="YES")+('10_Analysis_Ready'!$AL$130="YES"))=1,OR('10_Analysis_Ready'!$AF$130="NONE",'10_Analysis_Ready'!$AF$130="MULTIPLE")),AND(((OR('10_Analysis_Ready'!$AG$130="YES",'10_Analysis_Ready'!$AH$130="YES"))*1+('10_Analysis_Ready'!$AI$130="YES")+('10_Analysis_Ready'!$AJ$130="YES")+('10_Analysis_Ready'!$AK$130="YES")+('10_Analysis_Ready'!$AL$130="YES"))&gt;=2,'10_Analysis_Ready'!$AF$130&lt;&gt;"MULTIPLE")),1,0))</f>
        <v>0</v>
      </c>
      <c r="F147">
        <f>IF('10_Analysis_Ready'!$A$130="",0,IF(AND('10_Analysis_Ready'!$AO$130="NO",COUNTIF('10_Analysis_Ready'!$AP$130:$AU$130,"YES")&gt;0),1,0))</f>
        <v>0</v>
      </c>
      <c r="G147">
        <f>IF('10_Analysis_Ready'!$A$130="",0,IF(OR(AND('10_Analysis_Ready'!$Y$130="GAN",'10_Analysis_Ready'!$AA$130="YES"),AND('10_Analysis_Ready'!$Y$130="DIFFUSION",'10_Analysis_Ready'!$Z$130="YES"),AND('10_Analysis_Ready'!$Y$130="GAN+DIFFUSION",OR('10_Analysis_Ready'!$Z$130&lt;&gt;"YES",'10_Analysis_Ready'!$AA$130&lt;&gt;"YES"))),1,0))</f>
        <v>0</v>
      </c>
      <c r="H147">
        <f>IF('10_Analysis_Ready'!$A$130="",0,IF(OR(AND('10_Analysis_Ready'!$BJ$130="NO",OR('10_Analysis_Ready'!$BK$130="HIGH",'10_Analysis_Ready'!$BK$130="VERY HIGH")),AND(((OR('10_Analysis_Ready'!$AG$130="YES",'10_Analysis_Ready'!$AH$130="YES"))*1+('10_Analysis_Ready'!$AI$130="YES")+('10_Analysis_Ready'!$AJ$130="YES")+('10_Analysis_Ready'!$AK$130="YES")+('10_Analysis_Ready'!$AL$130="YES"))=0,'10_Analysis_Ready'!$BJ$130="YES")),1,0))</f>
        <v>0</v>
      </c>
      <c r="I147">
        <f>IF('10_Analysis_Ready'!$A$130="",0,IF(AND(((OR('10_Analysis_Ready'!$AG$130="YES",'10_Analysis_Ready'!$AH$130="YES"))*1+('10_Analysis_Ready'!$AI$130="YES")+('10_Analysis_Ready'!$AJ$130="YES")+('10_Analysis_Ready'!$AK$130="YES")+('10_Analysis_Ready'!$AL$130="YES"))=0,'10_Analysis_Ready'!$AM$130&lt;&gt;"N/A"),1,0))</f>
        <v>0</v>
      </c>
      <c r="J147">
        <f>IF('10_Analysis_Ready'!$A$130="",0,IF(('28_Taxonomy_Coding'!$G$130="NONE")&lt;&gt;(((OR('10_Analysis_Ready'!$AG$130="YES",'10_Analysis_Ready'!$AH$130="YES"))*1+('10_Analysis_Ready'!$AI$130="YES")+('10_Analysis_Ready'!$AJ$130="YES")+('10_Analysis_Ready'!$AK$130="YES")+('10_Analysis_Ready'!$AL$130="YES"))=0),1,0))</f>
        <v>0</v>
      </c>
    </row>
    <row r="148" spans="1:10">
      <c r="A148">
        <v>131</v>
      </c>
      <c r="B148" t="str">
        <f>IF('10_Analysis_Ready'!$A$131="","",'10_Analysis_Ready'!$A$131)</f>
        <v/>
      </c>
      <c r="C148">
        <f>IF('10_Analysis_Ready'!$A$131="",0,IF(AND('28_Taxonomy_Coding'!$A$131='10_Analysis_Ready'!$A$131,'14_Generalization_Map'!$A$131='10_Analysis_Ready'!$A$131),0,1))</f>
        <v>0</v>
      </c>
      <c r="D148">
        <f>IF('10_Analysis_Ready'!$A$131="",0,IF(COUNTIFS('06_Full_Text_Screening'!$A:$A,'10_Analysis_Ready'!$A$131,'06_Full_Text_Screening'!$J:$J,"INCLUDE")=1,0,1))</f>
        <v>0</v>
      </c>
      <c r="E148">
        <f>IF('10_Analysis_Ready'!$A$131="",0,IF(OR(AND(((OR('10_Analysis_Ready'!$AG$131="YES",'10_Analysis_Ready'!$AH$131="YES"))*1+('10_Analysis_Ready'!$AI$131="YES")+('10_Analysis_Ready'!$AJ$131="YES")+('10_Analysis_Ready'!$AK$131="YES")+('10_Analysis_Ready'!$AL$131="YES"))=0,'10_Analysis_Ready'!$AF$131&lt;&gt;"NONE"),AND(((OR('10_Analysis_Ready'!$AG$131="YES",'10_Analysis_Ready'!$AH$131="YES"))*1+('10_Analysis_Ready'!$AI$131="YES")+('10_Analysis_Ready'!$AJ$131="YES")+('10_Analysis_Ready'!$AK$131="YES")+('10_Analysis_Ready'!$AL$131="YES"))=1,OR('10_Analysis_Ready'!$AF$131="NONE",'10_Analysis_Ready'!$AF$131="MULTIPLE")),AND(((OR('10_Analysis_Ready'!$AG$131="YES",'10_Analysis_Ready'!$AH$131="YES"))*1+('10_Analysis_Ready'!$AI$131="YES")+('10_Analysis_Ready'!$AJ$131="YES")+('10_Analysis_Ready'!$AK$131="YES")+('10_Analysis_Ready'!$AL$131="YES"))&gt;=2,'10_Analysis_Ready'!$AF$131&lt;&gt;"MULTIPLE")),1,0))</f>
        <v>0</v>
      </c>
      <c r="F148">
        <f>IF('10_Analysis_Ready'!$A$131="",0,IF(AND('10_Analysis_Ready'!$AO$131="NO",COUNTIF('10_Analysis_Ready'!$AP$131:$AU$131,"YES")&gt;0),1,0))</f>
        <v>0</v>
      </c>
      <c r="G148">
        <f>IF('10_Analysis_Ready'!$A$131="",0,IF(OR(AND('10_Analysis_Ready'!$Y$131="GAN",'10_Analysis_Ready'!$AA$131="YES"),AND('10_Analysis_Ready'!$Y$131="DIFFUSION",'10_Analysis_Ready'!$Z$131="YES"),AND('10_Analysis_Ready'!$Y$131="GAN+DIFFUSION",OR('10_Analysis_Ready'!$Z$131&lt;&gt;"YES",'10_Analysis_Ready'!$AA$131&lt;&gt;"YES"))),1,0))</f>
        <v>0</v>
      </c>
      <c r="H148">
        <f>IF('10_Analysis_Ready'!$A$131="",0,IF(OR(AND('10_Analysis_Ready'!$BJ$131="NO",OR('10_Analysis_Ready'!$BK$131="HIGH",'10_Analysis_Ready'!$BK$131="VERY HIGH")),AND(((OR('10_Analysis_Ready'!$AG$131="YES",'10_Analysis_Ready'!$AH$131="YES"))*1+('10_Analysis_Ready'!$AI$131="YES")+('10_Analysis_Ready'!$AJ$131="YES")+('10_Analysis_Ready'!$AK$131="YES")+('10_Analysis_Ready'!$AL$131="YES"))=0,'10_Analysis_Ready'!$BJ$131="YES")),1,0))</f>
        <v>0</v>
      </c>
      <c r="I148">
        <f>IF('10_Analysis_Ready'!$A$131="",0,IF(AND(((OR('10_Analysis_Ready'!$AG$131="YES",'10_Analysis_Ready'!$AH$131="YES"))*1+('10_Analysis_Ready'!$AI$131="YES")+('10_Analysis_Ready'!$AJ$131="YES")+('10_Analysis_Ready'!$AK$131="YES")+('10_Analysis_Ready'!$AL$131="YES"))=0,'10_Analysis_Ready'!$AM$131&lt;&gt;"N/A"),1,0))</f>
        <v>0</v>
      </c>
      <c r="J148">
        <f>IF('10_Analysis_Ready'!$A$131="",0,IF(('28_Taxonomy_Coding'!$G$131="NONE")&lt;&gt;(((OR('10_Analysis_Ready'!$AG$131="YES",'10_Analysis_Ready'!$AH$131="YES"))*1+('10_Analysis_Ready'!$AI$131="YES")+('10_Analysis_Ready'!$AJ$131="YES")+('10_Analysis_Ready'!$AK$131="YES")+('10_Analysis_Ready'!$AL$131="YES"))=0),1,0))</f>
        <v>0</v>
      </c>
    </row>
    <row r="149" spans="1:10">
      <c r="A149">
        <v>132</v>
      </c>
      <c r="B149" t="str">
        <f>IF('10_Analysis_Ready'!$A$132="","",'10_Analysis_Ready'!$A$132)</f>
        <v/>
      </c>
      <c r="C149">
        <f>IF('10_Analysis_Ready'!$A$132="",0,IF(AND('28_Taxonomy_Coding'!$A$132='10_Analysis_Ready'!$A$132,'14_Generalization_Map'!$A$132='10_Analysis_Ready'!$A$132),0,1))</f>
        <v>0</v>
      </c>
      <c r="D149">
        <f>IF('10_Analysis_Ready'!$A$132="",0,IF(COUNTIFS('06_Full_Text_Screening'!$A:$A,'10_Analysis_Ready'!$A$132,'06_Full_Text_Screening'!$J:$J,"INCLUDE")=1,0,1))</f>
        <v>0</v>
      </c>
      <c r="E149">
        <f>IF('10_Analysis_Ready'!$A$132="",0,IF(OR(AND(((OR('10_Analysis_Ready'!$AG$132="YES",'10_Analysis_Ready'!$AH$132="YES"))*1+('10_Analysis_Ready'!$AI$132="YES")+('10_Analysis_Ready'!$AJ$132="YES")+('10_Analysis_Ready'!$AK$132="YES")+('10_Analysis_Ready'!$AL$132="YES"))=0,'10_Analysis_Ready'!$AF$132&lt;&gt;"NONE"),AND(((OR('10_Analysis_Ready'!$AG$132="YES",'10_Analysis_Ready'!$AH$132="YES"))*1+('10_Analysis_Ready'!$AI$132="YES")+('10_Analysis_Ready'!$AJ$132="YES")+('10_Analysis_Ready'!$AK$132="YES")+('10_Analysis_Ready'!$AL$132="YES"))=1,OR('10_Analysis_Ready'!$AF$132="NONE",'10_Analysis_Ready'!$AF$132="MULTIPLE")),AND(((OR('10_Analysis_Ready'!$AG$132="YES",'10_Analysis_Ready'!$AH$132="YES"))*1+('10_Analysis_Ready'!$AI$132="YES")+('10_Analysis_Ready'!$AJ$132="YES")+('10_Analysis_Ready'!$AK$132="YES")+('10_Analysis_Ready'!$AL$132="YES"))&gt;=2,'10_Analysis_Ready'!$AF$132&lt;&gt;"MULTIPLE")),1,0))</f>
        <v>0</v>
      </c>
      <c r="F149">
        <f>IF('10_Analysis_Ready'!$A$132="",0,IF(AND('10_Analysis_Ready'!$AO$132="NO",COUNTIF('10_Analysis_Ready'!$AP$132:$AU$132,"YES")&gt;0),1,0))</f>
        <v>0</v>
      </c>
      <c r="G149">
        <f>IF('10_Analysis_Ready'!$A$132="",0,IF(OR(AND('10_Analysis_Ready'!$Y$132="GAN",'10_Analysis_Ready'!$AA$132="YES"),AND('10_Analysis_Ready'!$Y$132="DIFFUSION",'10_Analysis_Ready'!$Z$132="YES"),AND('10_Analysis_Ready'!$Y$132="GAN+DIFFUSION",OR('10_Analysis_Ready'!$Z$132&lt;&gt;"YES",'10_Analysis_Ready'!$AA$132&lt;&gt;"YES"))),1,0))</f>
        <v>0</v>
      </c>
      <c r="H149">
        <f>IF('10_Analysis_Ready'!$A$132="",0,IF(OR(AND('10_Analysis_Ready'!$BJ$132="NO",OR('10_Analysis_Ready'!$BK$132="HIGH",'10_Analysis_Ready'!$BK$132="VERY HIGH")),AND(((OR('10_Analysis_Ready'!$AG$132="YES",'10_Analysis_Ready'!$AH$132="YES"))*1+('10_Analysis_Ready'!$AI$132="YES")+('10_Analysis_Ready'!$AJ$132="YES")+('10_Analysis_Ready'!$AK$132="YES")+('10_Analysis_Ready'!$AL$132="YES"))=0,'10_Analysis_Ready'!$BJ$132="YES")),1,0))</f>
        <v>0</v>
      </c>
      <c r="I149">
        <f>IF('10_Analysis_Ready'!$A$132="",0,IF(AND(((OR('10_Analysis_Ready'!$AG$132="YES",'10_Analysis_Ready'!$AH$132="YES"))*1+('10_Analysis_Ready'!$AI$132="YES")+('10_Analysis_Ready'!$AJ$132="YES")+('10_Analysis_Ready'!$AK$132="YES")+('10_Analysis_Ready'!$AL$132="YES"))=0,'10_Analysis_Ready'!$AM$132&lt;&gt;"N/A"),1,0))</f>
        <v>0</v>
      </c>
      <c r="J149">
        <f>IF('10_Analysis_Ready'!$A$132="",0,IF(('28_Taxonomy_Coding'!$G$132="NONE")&lt;&gt;(((OR('10_Analysis_Ready'!$AG$132="YES",'10_Analysis_Ready'!$AH$132="YES"))*1+('10_Analysis_Ready'!$AI$132="YES")+('10_Analysis_Ready'!$AJ$132="YES")+('10_Analysis_Ready'!$AK$132="YES")+('10_Analysis_Ready'!$AL$132="YES"))=0),1,0))</f>
        <v>0</v>
      </c>
    </row>
    <row r="150" spans="1:10">
      <c r="A150">
        <v>133</v>
      </c>
      <c r="B150" t="str">
        <f>IF('10_Analysis_Ready'!$A$133="","",'10_Analysis_Ready'!$A$133)</f>
        <v/>
      </c>
      <c r="C150">
        <f>IF('10_Analysis_Ready'!$A$133="",0,IF(AND('28_Taxonomy_Coding'!$A$133='10_Analysis_Ready'!$A$133,'14_Generalization_Map'!$A$133='10_Analysis_Ready'!$A$133),0,1))</f>
        <v>0</v>
      </c>
      <c r="D150">
        <f>IF('10_Analysis_Ready'!$A$133="",0,IF(COUNTIFS('06_Full_Text_Screening'!$A:$A,'10_Analysis_Ready'!$A$133,'06_Full_Text_Screening'!$J:$J,"INCLUDE")=1,0,1))</f>
        <v>0</v>
      </c>
      <c r="E150">
        <f>IF('10_Analysis_Ready'!$A$133="",0,IF(OR(AND(((OR('10_Analysis_Ready'!$AG$133="YES",'10_Analysis_Ready'!$AH$133="YES"))*1+('10_Analysis_Ready'!$AI$133="YES")+('10_Analysis_Ready'!$AJ$133="YES")+('10_Analysis_Ready'!$AK$133="YES")+('10_Analysis_Ready'!$AL$133="YES"))=0,'10_Analysis_Ready'!$AF$133&lt;&gt;"NONE"),AND(((OR('10_Analysis_Ready'!$AG$133="YES",'10_Analysis_Ready'!$AH$133="YES"))*1+('10_Analysis_Ready'!$AI$133="YES")+('10_Analysis_Ready'!$AJ$133="YES")+('10_Analysis_Ready'!$AK$133="YES")+('10_Analysis_Ready'!$AL$133="YES"))=1,OR('10_Analysis_Ready'!$AF$133="NONE",'10_Analysis_Ready'!$AF$133="MULTIPLE")),AND(((OR('10_Analysis_Ready'!$AG$133="YES",'10_Analysis_Ready'!$AH$133="YES"))*1+('10_Analysis_Ready'!$AI$133="YES")+('10_Analysis_Ready'!$AJ$133="YES")+('10_Analysis_Ready'!$AK$133="YES")+('10_Analysis_Ready'!$AL$133="YES"))&gt;=2,'10_Analysis_Ready'!$AF$133&lt;&gt;"MULTIPLE")),1,0))</f>
        <v>0</v>
      </c>
      <c r="F150">
        <f>IF('10_Analysis_Ready'!$A$133="",0,IF(AND('10_Analysis_Ready'!$AO$133="NO",COUNTIF('10_Analysis_Ready'!$AP$133:$AU$133,"YES")&gt;0),1,0))</f>
        <v>0</v>
      </c>
      <c r="G150">
        <f>IF('10_Analysis_Ready'!$A$133="",0,IF(OR(AND('10_Analysis_Ready'!$Y$133="GAN",'10_Analysis_Ready'!$AA$133="YES"),AND('10_Analysis_Ready'!$Y$133="DIFFUSION",'10_Analysis_Ready'!$Z$133="YES"),AND('10_Analysis_Ready'!$Y$133="GAN+DIFFUSION",OR('10_Analysis_Ready'!$Z$133&lt;&gt;"YES",'10_Analysis_Ready'!$AA$133&lt;&gt;"YES"))),1,0))</f>
        <v>0</v>
      </c>
      <c r="H150">
        <f>IF('10_Analysis_Ready'!$A$133="",0,IF(OR(AND('10_Analysis_Ready'!$BJ$133="NO",OR('10_Analysis_Ready'!$BK$133="HIGH",'10_Analysis_Ready'!$BK$133="VERY HIGH")),AND(((OR('10_Analysis_Ready'!$AG$133="YES",'10_Analysis_Ready'!$AH$133="YES"))*1+('10_Analysis_Ready'!$AI$133="YES")+('10_Analysis_Ready'!$AJ$133="YES")+('10_Analysis_Ready'!$AK$133="YES")+('10_Analysis_Ready'!$AL$133="YES"))=0,'10_Analysis_Ready'!$BJ$133="YES")),1,0))</f>
        <v>0</v>
      </c>
      <c r="I150">
        <f>IF('10_Analysis_Ready'!$A$133="",0,IF(AND(((OR('10_Analysis_Ready'!$AG$133="YES",'10_Analysis_Ready'!$AH$133="YES"))*1+('10_Analysis_Ready'!$AI$133="YES")+('10_Analysis_Ready'!$AJ$133="YES")+('10_Analysis_Ready'!$AK$133="YES")+('10_Analysis_Ready'!$AL$133="YES"))=0,'10_Analysis_Ready'!$AM$133&lt;&gt;"N/A"),1,0))</f>
        <v>0</v>
      </c>
      <c r="J150">
        <f>IF('10_Analysis_Ready'!$A$133="",0,IF(('28_Taxonomy_Coding'!$G$133="NONE")&lt;&gt;(((OR('10_Analysis_Ready'!$AG$133="YES",'10_Analysis_Ready'!$AH$133="YES"))*1+('10_Analysis_Ready'!$AI$133="YES")+('10_Analysis_Ready'!$AJ$133="YES")+('10_Analysis_Ready'!$AK$133="YES")+('10_Analysis_Ready'!$AL$133="YES"))=0),1,0))</f>
        <v>0</v>
      </c>
    </row>
    <row r="151" spans="1:10">
      <c r="A151">
        <v>134</v>
      </c>
      <c r="B151" t="str">
        <f>IF('10_Analysis_Ready'!$A$134="","",'10_Analysis_Ready'!$A$134)</f>
        <v/>
      </c>
      <c r="C151">
        <f>IF('10_Analysis_Ready'!$A$134="",0,IF(AND('28_Taxonomy_Coding'!$A$134='10_Analysis_Ready'!$A$134,'14_Generalization_Map'!$A$134='10_Analysis_Ready'!$A$134),0,1))</f>
        <v>0</v>
      </c>
      <c r="D151">
        <f>IF('10_Analysis_Ready'!$A$134="",0,IF(COUNTIFS('06_Full_Text_Screening'!$A:$A,'10_Analysis_Ready'!$A$134,'06_Full_Text_Screening'!$J:$J,"INCLUDE")=1,0,1))</f>
        <v>0</v>
      </c>
      <c r="E151">
        <f>IF('10_Analysis_Ready'!$A$134="",0,IF(OR(AND(((OR('10_Analysis_Ready'!$AG$134="YES",'10_Analysis_Ready'!$AH$134="YES"))*1+('10_Analysis_Ready'!$AI$134="YES")+('10_Analysis_Ready'!$AJ$134="YES")+('10_Analysis_Ready'!$AK$134="YES")+('10_Analysis_Ready'!$AL$134="YES"))=0,'10_Analysis_Ready'!$AF$134&lt;&gt;"NONE"),AND(((OR('10_Analysis_Ready'!$AG$134="YES",'10_Analysis_Ready'!$AH$134="YES"))*1+('10_Analysis_Ready'!$AI$134="YES")+('10_Analysis_Ready'!$AJ$134="YES")+('10_Analysis_Ready'!$AK$134="YES")+('10_Analysis_Ready'!$AL$134="YES"))=1,OR('10_Analysis_Ready'!$AF$134="NONE",'10_Analysis_Ready'!$AF$134="MULTIPLE")),AND(((OR('10_Analysis_Ready'!$AG$134="YES",'10_Analysis_Ready'!$AH$134="YES"))*1+('10_Analysis_Ready'!$AI$134="YES")+('10_Analysis_Ready'!$AJ$134="YES")+('10_Analysis_Ready'!$AK$134="YES")+('10_Analysis_Ready'!$AL$134="YES"))&gt;=2,'10_Analysis_Ready'!$AF$134&lt;&gt;"MULTIPLE")),1,0))</f>
        <v>0</v>
      </c>
      <c r="F151">
        <f>IF('10_Analysis_Ready'!$A$134="",0,IF(AND('10_Analysis_Ready'!$AO$134="NO",COUNTIF('10_Analysis_Ready'!$AP$134:$AU$134,"YES")&gt;0),1,0))</f>
        <v>0</v>
      </c>
      <c r="G151">
        <f>IF('10_Analysis_Ready'!$A$134="",0,IF(OR(AND('10_Analysis_Ready'!$Y$134="GAN",'10_Analysis_Ready'!$AA$134="YES"),AND('10_Analysis_Ready'!$Y$134="DIFFUSION",'10_Analysis_Ready'!$Z$134="YES"),AND('10_Analysis_Ready'!$Y$134="GAN+DIFFUSION",OR('10_Analysis_Ready'!$Z$134&lt;&gt;"YES",'10_Analysis_Ready'!$AA$134&lt;&gt;"YES"))),1,0))</f>
        <v>0</v>
      </c>
      <c r="H151">
        <f>IF('10_Analysis_Ready'!$A$134="",0,IF(OR(AND('10_Analysis_Ready'!$BJ$134="NO",OR('10_Analysis_Ready'!$BK$134="HIGH",'10_Analysis_Ready'!$BK$134="VERY HIGH")),AND(((OR('10_Analysis_Ready'!$AG$134="YES",'10_Analysis_Ready'!$AH$134="YES"))*1+('10_Analysis_Ready'!$AI$134="YES")+('10_Analysis_Ready'!$AJ$134="YES")+('10_Analysis_Ready'!$AK$134="YES")+('10_Analysis_Ready'!$AL$134="YES"))=0,'10_Analysis_Ready'!$BJ$134="YES")),1,0))</f>
        <v>0</v>
      </c>
      <c r="I151">
        <f>IF('10_Analysis_Ready'!$A$134="",0,IF(AND(((OR('10_Analysis_Ready'!$AG$134="YES",'10_Analysis_Ready'!$AH$134="YES"))*1+('10_Analysis_Ready'!$AI$134="YES")+('10_Analysis_Ready'!$AJ$134="YES")+('10_Analysis_Ready'!$AK$134="YES")+('10_Analysis_Ready'!$AL$134="YES"))=0,'10_Analysis_Ready'!$AM$134&lt;&gt;"N/A"),1,0))</f>
        <v>0</v>
      </c>
      <c r="J151">
        <f>IF('10_Analysis_Ready'!$A$134="",0,IF(('28_Taxonomy_Coding'!$G$134="NONE")&lt;&gt;(((OR('10_Analysis_Ready'!$AG$134="YES",'10_Analysis_Ready'!$AH$134="YES"))*1+('10_Analysis_Ready'!$AI$134="YES")+('10_Analysis_Ready'!$AJ$134="YES")+('10_Analysis_Ready'!$AK$134="YES")+('10_Analysis_Ready'!$AL$134="YES"))=0),1,0))</f>
        <v>0</v>
      </c>
    </row>
    <row r="152" spans="1:10">
      <c r="A152">
        <v>135</v>
      </c>
      <c r="B152" t="str">
        <f>IF('10_Analysis_Ready'!$A$135="","",'10_Analysis_Ready'!$A$135)</f>
        <v/>
      </c>
      <c r="C152">
        <f>IF('10_Analysis_Ready'!$A$135="",0,IF(AND('28_Taxonomy_Coding'!$A$135='10_Analysis_Ready'!$A$135,'14_Generalization_Map'!$A$135='10_Analysis_Ready'!$A$135),0,1))</f>
        <v>0</v>
      </c>
      <c r="D152">
        <f>IF('10_Analysis_Ready'!$A$135="",0,IF(COUNTIFS('06_Full_Text_Screening'!$A:$A,'10_Analysis_Ready'!$A$135,'06_Full_Text_Screening'!$J:$J,"INCLUDE")=1,0,1))</f>
        <v>0</v>
      </c>
      <c r="E152">
        <f>IF('10_Analysis_Ready'!$A$135="",0,IF(OR(AND(((OR('10_Analysis_Ready'!$AG$135="YES",'10_Analysis_Ready'!$AH$135="YES"))*1+('10_Analysis_Ready'!$AI$135="YES")+('10_Analysis_Ready'!$AJ$135="YES")+('10_Analysis_Ready'!$AK$135="YES")+('10_Analysis_Ready'!$AL$135="YES"))=0,'10_Analysis_Ready'!$AF$135&lt;&gt;"NONE"),AND(((OR('10_Analysis_Ready'!$AG$135="YES",'10_Analysis_Ready'!$AH$135="YES"))*1+('10_Analysis_Ready'!$AI$135="YES")+('10_Analysis_Ready'!$AJ$135="YES")+('10_Analysis_Ready'!$AK$135="YES")+('10_Analysis_Ready'!$AL$135="YES"))=1,OR('10_Analysis_Ready'!$AF$135="NONE",'10_Analysis_Ready'!$AF$135="MULTIPLE")),AND(((OR('10_Analysis_Ready'!$AG$135="YES",'10_Analysis_Ready'!$AH$135="YES"))*1+('10_Analysis_Ready'!$AI$135="YES")+('10_Analysis_Ready'!$AJ$135="YES")+('10_Analysis_Ready'!$AK$135="YES")+('10_Analysis_Ready'!$AL$135="YES"))&gt;=2,'10_Analysis_Ready'!$AF$135&lt;&gt;"MULTIPLE")),1,0))</f>
        <v>0</v>
      </c>
      <c r="F152">
        <f>IF('10_Analysis_Ready'!$A$135="",0,IF(AND('10_Analysis_Ready'!$AO$135="NO",COUNTIF('10_Analysis_Ready'!$AP$135:$AU$135,"YES")&gt;0),1,0))</f>
        <v>0</v>
      </c>
      <c r="G152">
        <f>IF('10_Analysis_Ready'!$A$135="",0,IF(OR(AND('10_Analysis_Ready'!$Y$135="GAN",'10_Analysis_Ready'!$AA$135="YES"),AND('10_Analysis_Ready'!$Y$135="DIFFUSION",'10_Analysis_Ready'!$Z$135="YES"),AND('10_Analysis_Ready'!$Y$135="GAN+DIFFUSION",OR('10_Analysis_Ready'!$Z$135&lt;&gt;"YES",'10_Analysis_Ready'!$AA$135&lt;&gt;"YES"))),1,0))</f>
        <v>0</v>
      </c>
      <c r="H152">
        <f>IF('10_Analysis_Ready'!$A$135="",0,IF(OR(AND('10_Analysis_Ready'!$BJ$135="NO",OR('10_Analysis_Ready'!$BK$135="HIGH",'10_Analysis_Ready'!$BK$135="VERY HIGH")),AND(((OR('10_Analysis_Ready'!$AG$135="YES",'10_Analysis_Ready'!$AH$135="YES"))*1+('10_Analysis_Ready'!$AI$135="YES")+('10_Analysis_Ready'!$AJ$135="YES")+('10_Analysis_Ready'!$AK$135="YES")+('10_Analysis_Ready'!$AL$135="YES"))=0,'10_Analysis_Ready'!$BJ$135="YES")),1,0))</f>
        <v>0</v>
      </c>
      <c r="I152">
        <f>IF('10_Analysis_Ready'!$A$135="",0,IF(AND(((OR('10_Analysis_Ready'!$AG$135="YES",'10_Analysis_Ready'!$AH$135="YES"))*1+('10_Analysis_Ready'!$AI$135="YES")+('10_Analysis_Ready'!$AJ$135="YES")+('10_Analysis_Ready'!$AK$135="YES")+('10_Analysis_Ready'!$AL$135="YES"))=0,'10_Analysis_Ready'!$AM$135&lt;&gt;"N/A"),1,0))</f>
        <v>0</v>
      </c>
      <c r="J152">
        <f>IF('10_Analysis_Ready'!$A$135="",0,IF(('28_Taxonomy_Coding'!$G$135="NONE")&lt;&gt;(((OR('10_Analysis_Ready'!$AG$135="YES",'10_Analysis_Ready'!$AH$135="YES"))*1+('10_Analysis_Ready'!$AI$135="YES")+('10_Analysis_Ready'!$AJ$135="YES")+('10_Analysis_Ready'!$AK$135="YES")+('10_Analysis_Ready'!$AL$135="YES"))=0),1,0))</f>
        <v>0</v>
      </c>
    </row>
    <row r="153" spans="1:10">
      <c r="A153">
        <v>136</v>
      </c>
      <c r="B153" t="str">
        <f>IF('10_Analysis_Ready'!$A$136="","",'10_Analysis_Ready'!$A$136)</f>
        <v/>
      </c>
      <c r="C153">
        <f>IF('10_Analysis_Ready'!$A$136="",0,IF(AND('28_Taxonomy_Coding'!$A$136='10_Analysis_Ready'!$A$136,'14_Generalization_Map'!$A$136='10_Analysis_Ready'!$A$136),0,1))</f>
        <v>0</v>
      </c>
      <c r="D153">
        <f>IF('10_Analysis_Ready'!$A$136="",0,IF(COUNTIFS('06_Full_Text_Screening'!$A:$A,'10_Analysis_Ready'!$A$136,'06_Full_Text_Screening'!$J:$J,"INCLUDE")=1,0,1))</f>
        <v>0</v>
      </c>
      <c r="E153">
        <f>IF('10_Analysis_Ready'!$A$136="",0,IF(OR(AND(((OR('10_Analysis_Ready'!$AG$136="YES",'10_Analysis_Ready'!$AH$136="YES"))*1+('10_Analysis_Ready'!$AI$136="YES")+('10_Analysis_Ready'!$AJ$136="YES")+('10_Analysis_Ready'!$AK$136="YES")+('10_Analysis_Ready'!$AL$136="YES"))=0,'10_Analysis_Ready'!$AF$136&lt;&gt;"NONE"),AND(((OR('10_Analysis_Ready'!$AG$136="YES",'10_Analysis_Ready'!$AH$136="YES"))*1+('10_Analysis_Ready'!$AI$136="YES")+('10_Analysis_Ready'!$AJ$136="YES")+('10_Analysis_Ready'!$AK$136="YES")+('10_Analysis_Ready'!$AL$136="YES"))=1,OR('10_Analysis_Ready'!$AF$136="NONE",'10_Analysis_Ready'!$AF$136="MULTIPLE")),AND(((OR('10_Analysis_Ready'!$AG$136="YES",'10_Analysis_Ready'!$AH$136="YES"))*1+('10_Analysis_Ready'!$AI$136="YES")+('10_Analysis_Ready'!$AJ$136="YES")+('10_Analysis_Ready'!$AK$136="YES")+('10_Analysis_Ready'!$AL$136="YES"))&gt;=2,'10_Analysis_Ready'!$AF$136&lt;&gt;"MULTIPLE")),1,0))</f>
        <v>0</v>
      </c>
      <c r="F153">
        <f>IF('10_Analysis_Ready'!$A$136="",0,IF(AND('10_Analysis_Ready'!$AO$136="NO",COUNTIF('10_Analysis_Ready'!$AP$136:$AU$136,"YES")&gt;0),1,0))</f>
        <v>0</v>
      </c>
      <c r="G153">
        <f>IF('10_Analysis_Ready'!$A$136="",0,IF(OR(AND('10_Analysis_Ready'!$Y$136="GAN",'10_Analysis_Ready'!$AA$136="YES"),AND('10_Analysis_Ready'!$Y$136="DIFFUSION",'10_Analysis_Ready'!$Z$136="YES"),AND('10_Analysis_Ready'!$Y$136="GAN+DIFFUSION",OR('10_Analysis_Ready'!$Z$136&lt;&gt;"YES",'10_Analysis_Ready'!$AA$136&lt;&gt;"YES"))),1,0))</f>
        <v>0</v>
      </c>
      <c r="H153">
        <f>IF('10_Analysis_Ready'!$A$136="",0,IF(OR(AND('10_Analysis_Ready'!$BJ$136="NO",OR('10_Analysis_Ready'!$BK$136="HIGH",'10_Analysis_Ready'!$BK$136="VERY HIGH")),AND(((OR('10_Analysis_Ready'!$AG$136="YES",'10_Analysis_Ready'!$AH$136="YES"))*1+('10_Analysis_Ready'!$AI$136="YES")+('10_Analysis_Ready'!$AJ$136="YES")+('10_Analysis_Ready'!$AK$136="YES")+('10_Analysis_Ready'!$AL$136="YES"))=0,'10_Analysis_Ready'!$BJ$136="YES")),1,0))</f>
        <v>0</v>
      </c>
      <c r="I153">
        <f>IF('10_Analysis_Ready'!$A$136="",0,IF(AND(((OR('10_Analysis_Ready'!$AG$136="YES",'10_Analysis_Ready'!$AH$136="YES"))*1+('10_Analysis_Ready'!$AI$136="YES")+('10_Analysis_Ready'!$AJ$136="YES")+('10_Analysis_Ready'!$AK$136="YES")+('10_Analysis_Ready'!$AL$136="YES"))=0,'10_Analysis_Ready'!$AM$136&lt;&gt;"N/A"),1,0))</f>
        <v>0</v>
      </c>
      <c r="J153">
        <f>IF('10_Analysis_Ready'!$A$136="",0,IF(('28_Taxonomy_Coding'!$G$136="NONE")&lt;&gt;(((OR('10_Analysis_Ready'!$AG$136="YES",'10_Analysis_Ready'!$AH$136="YES"))*1+('10_Analysis_Ready'!$AI$136="YES")+('10_Analysis_Ready'!$AJ$136="YES")+('10_Analysis_Ready'!$AK$136="YES")+('10_Analysis_Ready'!$AL$136="YES"))=0),1,0))</f>
        <v>0</v>
      </c>
    </row>
    <row r="154" spans="1:10">
      <c r="A154">
        <v>137</v>
      </c>
      <c r="B154" t="str">
        <f>IF('10_Analysis_Ready'!$A$137="","",'10_Analysis_Ready'!$A$137)</f>
        <v/>
      </c>
      <c r="C154">
        <f>IF('10_Analysis_Ready'!$A$137="",0,IF(AND('28_Taxonomy_Coding'!$A$137='10_Analysis_Ready'!$A$137,'14_Generalization_Map'!$A$137='10_Analysis_Ready'!$A$137),0,1))</f>
        <v>0</v>
      </c>
      <c r="D154">
        <f>IF('10_Analysis_Ready'!$A$137="",0,IF(COUNTIFS('06_Full_Text_Screening'!$A:$A,'10_Analysis_Ready'!$A$137,'06_Full_Text_Screening'!$J:$J,"INCLUDE")=1,0,1))</f>
        <v>0</v>
      </c>
      <c r="E154">
        <f>IF('10_Analysis_Ready'!$A$137="",0,IF(OR(AND(((OR('10_Analysis_Ready'!$AG$137="YES",'10_Analysis_Ready'!$AH$137="YES"))*1+('10_Analysis_Ready'!$AI$137="YES")+('10_Analysis_Ready'!$AJ$137="YES")+('10_Analysis_Ready'!$AK$137="YES")+('10_Analysis_Ready'!$AL$137="YES"))=0,'10_Analysis_Ready'!$AF$137&lt;&gt;"NONE"),AND(((OR('10_Analysis_Ready'!$AG$137="YES",'10_Analysis_Ready'!$AH$137="YES"))*1+('10_Analysis_Ready'!$AI$137="YES")+('10_Analysis_Ready'!$AJ$137="YES")+('10_Analysis_Ready'!$AK$137="YES")+('10_Analysis_Ready'!$AL$137="YES"))=1,OR('10_Analysis_Ready'!$AF$137="NONE",'10_Analysis_Ready'!$AF$137="MULTIPLE")),AND(((OR('10_Analysis_Ready'!$AG$137="YES",'10_Analysis_Ready'!$AH$137="YES"))*1+('10_Analysis_Ready'!$AI$137="YES")+('10_Analysis_Ready'!$AJ$137="YES")+('10_Analysis_Ready'!$AK$137="YES")+('10_Analysis_Ready'!$AL$137="YES"))&gt;=2,'10_Analysis_Ready'!$AF$137&lt;&gt;"MULTIPLE")),1,0))</f>
        <v>0</v>
      </c>
      <c r="F154">
        <f>IF('10_Analysis_Ready'!$A$137="",0,IF(AND('10_Analysis_Ready'!$AO$137="NO",COUNTIF('10_Analysis_Ready'!$AP$137:$AU$137,"YES")&gt;0),1,0))</f>
        <v>0</v>
      </c>
      <c r="G154">
        <f>IF('10_Analysis_Ready'!$A$137="",0,IF(OR(AND('10_Analysis_Ready'!$Y$137="GAN",'10_Analysis_Ready'!$AA$137="YES"),AND('10_Analysis_Ready'!$Y$137="DIFFUSION",'10_Analysis_Ready'!$Z$137="YES"),AND('10_Analysis_Ready'!$Y$137="GAN+DIFFUSION",OR('10_Analysis_Ready'!$Z$137&lt;&gt;"YES",'10_Analysis_Ready'!$AA$137&lt;&gt;"YES"))),1,0))</f>
        <v>0</v>
      </c>
      <c r="H154">
        <f>IF('10_Analysis_Ready'!$A$137="",0,IF(OR(AND('10_Analysis_Ready'!$BJ$137="NO",OR('10_Analysis_Ready'!$BK$137="HIGH",'10_Analysis_Ready'!$BK$137="VERY HIGH")),AND(((OR('10_Analysis_Ready'!$AG$137="YES",'10_Analysis_Ready'!$AH$137="YES"))*1+('10_Analysis_Ready'!$AI$137="YES")+('10_Analysis_Ready'!$AJ$137="YES")+('10_Analysis_Ready'!$AK$137="YES")+('10_Analysis_Ready'!$AL$137="YES"))=0,'10_Analysis_Ready'!$BJ$137="YES")),1,0))</f>
        <v>0</v>
      </c>
      <c r="I154">
        <f>IF('10_Analysis_Ready'!$A$137="",0,IF(AND(((OR('10_Analysis_Ready'!$AG$137="YES",'10_Analysis_Ready'!$AH$137="YES"))*1+('10_Analysis_Ready'!$AI$137="YES")+('10_Analysis_Ready'!$AJ$137="YES")+('10_Analysis_Ready'!$AK$137="YES")+('10_Analysis_Ready'!$AL$137="YES"))=0,'10_Analysis_Ready'!$AM$137&lt;&gt;"N/A"),1,0))</f>
        <v>0</v>
      </c>
      <c r="J154">
        <f>IF('10_Analysis_Ready'!$A$137="",0,IF(('28_Taxonomy_Coding'!$G$137="NONE")&lt;&gt;(((OR('10_Analysis_Ready'!$AG$137="YES",'10_Analysis_Ready'!$AH$137="YES"))*1+('10_Analysis_Ready'!$AI$137="YES")+('10_Analysis_Ready'!$AJ$137="YES")+('10_Analysis_Ready'!$AK$137="YES")+('10_Analysis_Ready'!$AL$137="YES"))=0),1,0))</f>
        <v>0</v>
      </c>
    </row>
    <row r="155" spans="1:10">
      <c r="A155">
        <v>138</v>
      </c>
      <c r="B155" t="str">
        <f>IF('10_Analysis_Ready'!$A$138="","",'10_Analysis_Ready'!$A$138)</f>
        <v/>
      </c>
      <c r="C155">
        <f>IF('10_Analysis_Ready'!$A$138="",0,IF(AND('28_Taxonomy_Coding'!$A$138='10_Analysis_Ready'!$A$138,'14_Generalization_Map'!$A$138='10_Analysis_Ready'!$A$138),0,1))</f>
        <v>0</v>
      </c>
      <c r="D155">
        <f>IF('10_Analysis_Ready'!$A$138="",0,IF(COUNTIFS('06_Full_Text_Screening'!$A:$A,'10_Analysis_Ready'!$A$138,'06_Full_Text_Screening'!$J:$J,"INCLUDE")=1,0,1))</f>
        <v>0</v>
      </c>
      <c r="E155">
        <f>IF('10_Analysis_Ready'!$A$138="",0,IF(OR(AND(((OR('10_Analysis_Ready'!$AG$138="YES",'10_Analysis_Ready'!$AH$138="YES"))*1+('10_Analysis_Ready'!$AI$138="YES")+('10_Analysis_Ready'!$AJ$138="YES")+('10_Analysis_Ready'!$AK$138="YES")+('10_Analysis_Ready'!$AL$138="YES"))=0,'10_Analysis_Ready'!$AF$138&lt;&gt;"NONE"),AND(((OR('10_Analysis_Ready'!$AG$138="YES",'10_Analysis_Ready'!$AH$138="YES"))*1+('10_Analysis_Ready'!$AI$138="YES")+('10_Analysis_Ready'!$AJ$138="YES")+('10_Analysis_Ready'!$AK$138="YES")+('10_Analysis_Ready'!$AL$138="YES"))=1,OR('10_Analysis_Ready'!$AF$138="NONE",'10_Analysis_Ready'!$AF$138="MULTIPLE")),AND(((OR('10_Analysis_Ready'!$AG$138="YES",'10_Analysis_Ready'!$AH$138="YES"))*1+('10_Analysis_Ready'!$AI$138="YES")+('10_Analysis_Ready'!$AJ$138="YES")+('10_Analysis_Ready'!$AK$138="YES")+('10_Analysis_Ready'!$AL$138="YES"))&gt;=2,'10_Analysis_Ready'!$AF$138&lt;&gt;"MULTIPLE")),1,0))</f>
        <v>0</v>
      </c>
      <c r="F155">
        <f>IF('10_Analysis_Ready'!$A$138="",0,IF(AND('10_Analysis_Ready'!$AO$138="NO",COUNTIF('10_Analysis_Ready'!$AP$138:$AU$138,"YES")&gt;0),1,0))</f>
        <v>0</v>
      </c>
      <c r="G155">
        <f>IF('10_Analysis_Ready'!$A$138="",0,IF(OR(AND('10_Analysis_Ready'!$Y$138="GAN",'10_Analysis_Ready'!$AA$138="YES"),AND('10_Analysis_Ready'!$Y$138="DIFFUSION",'10_Analysis_Ready'!$Z$138="YES"),AND('10_Analysis_Ready'!$Y$138="GAN+DIFFUSION",OR('10_Analysis_Ready'!$Z$138&lt;&gt;"YES",'10_Analysis_Ready'!$AA$138&lt;&gt;"YES"))),1,0))</f>
        <v>0</v>
      </c>
      <c r="H155">
        <f>IF('10_Analysis_Ready'!$A$138="",0,IF(OR(AND('10_Analysis_Ready'!$BJ$138="NO",OR('10_Analysis_Ready'!$BK$138="HIGH",'10_Analysis_Ready'!$BK$138="VERY HIGH")),AND(((OR('10_Analysis_Ready'!$AG$138="YES",'10_Analysis_Ready'!$AH$138="YES"))*1+('10_Analysis_Ready'!$AI$138="YES")+('10_Analysis_Ready'!$AJ$138="YES")+('10_Analysis_Ready'!$AK$138="YES")+('10_Analysis_Ready'!$AL$138="YES"))=0,'10_Analysis_Ready'!$BJ$138="YES")),1,0))</f>
        <v>0</v>
      </c>
      <c r="I155">
        <f>IF('10_Analysis_Ready'!$A$138="",0,IF(AND(((OR('10_Analysis_Ready'!$AG$138="YES",'10_Analysis_Ready'!$AH$138="YES"))*1+('10_Analysis_Ready'!$AI$138="YES")+('10_Analysis_Ready'!$AJ$138="YES")+('10_Analysis_Ready'!$AK$138="YES")+('10_Analysis_Ready'!$AL$138="YES"))=0,'10_Analysis_Ready'!$AM$138&lt;&gt;"N/A"),1,0))</f>
        <v>0</v>
      </c>
      <c r="J155">
        <f>IF('10_Analysis_Ready'!$A$138="",0,IF(('28_Taxonomy_Coding'!$G$138="NONE")&lt;&gt;(((OR('10_Analysis_Ready'!$AG$138="YES",'10_Analysis_Ready'!$AH$138="YES"))*1+('10_Analysis_Ready'!$AI$138="YES")+('10_Analysis_Ready'!$AJ$138="YES")+('10_Analysis_Ready'!$AK$138="YES")+('10_Analysis_Ready'!$AL$138="YES"))=0),1,0))</f>
        <v>0</v>
      </c>
    </row>
    <row r="156" spans="1:10">
      <c r="A156">
        <v>139</v>
      </c>
      <c r="B156" t="str">
        <f>IF('10_Analysis_Ready'!$A$139="","",'10_Analysis_Ready'!$A$139)</f>
        <v/>
      </c>
      <c r="C156">
        <f>IF('10_Analysis_Ready'!$A$139="",0,IF(AND('28_Taxonomy_Coding'!$A$139='10_Analysis_Ready'!$A$139,'14_Generalization_Map'!$A$139='10_Analysis_Ready'!$A$139),0,1))</f>
        <v>0</v>
      </c>
      <c r="D156">
        <f>IF('10_Analysis_Ready'!$A$139="",0,IF(COUNTIFS('06_Full_Text_Screening'!$A:$A,'10_Analysis_Ready'!$A$139,'06_Full_Text_Screening'!$J:$J,"INCLUDE")=1,0,1))</f>
        <v>0</v>
      </c>
      <c r="E156">
        <f>IF('10_Analysis_Ready'!$A$139="",0,IF(OR(AND(((OR('10_Analysis_Ready'!$AG$139="YES",'10_Analysis_Ready'!$AH$139="YES"))*1+('10_Analysis_Ready'!$AI$139="YES")+('10_Analysis_Ready'!$AJ$139="YES")+('10_Analysis_Ready'!$AK$139="YES")+('10_Analysis_Ready'!$AL$139="YES"))=0,'10_Analysis_Ready'!$AF$139&lt;&gt;"NONE"),AND(((OR('10_Analysis_Ready'!$AG$139="YES",'10_Analysis_Ready'!$AH$139="YES"))*1+('10_Analysis_Ready'!$AI$139="YES")+('10_Analysis_Ready'!$AJ$139="YES")+('10_Analysis_Ready'!$AK$139="YES")+('10_Analysis_Ready'!$AL$139="YES"))=1,OR('10_Analysis_Ready'!$AF$139="NONE",'10_Analysis_Ready'!$AF$139="MULTIPLE")),AND(((OR('10_Analysis_Ready'!$AG$139="YES",'10_Analysis_Ready'!$AH$139="YES"))*1+('10_Analysis_Ready'!$AI$139="YES")+('10_Analysis_Ready'!$AJ$139="YES")+('10_Analysis_Ready'!$AK$139="YES")+('10_Analysis_Ready'!$AL$139="YES"))&gt;=2,'10_Analysis_Ready'!$AF$139&lt;&gt;"MULTIPLE")),1,0))</f>
        <v>0</v>
      </c>
      <c r="F156">
        <f>IF('10_Analysis_Ready'!$A$139="",0,IF(AND('10_Analysis_Ready'!$AO$139="NO",COUNTIF('10_Analysis_Ready'!$AP$139:$AU$139,"YES")&gt;0),1,0))</f>
        <v>0</v>
      </c>
      <c r="G156">
        <f>IF('10_Analysis_Ready'!$A$139="",0,IF(OR(AND('10_Analysis_Ready'!$Y$139="GAN",'10_Analysis_Ready'!$AA$139="YES"),AND('10_Analysis_Ready'!$Y$139="DIFFUSION",'10_Analysis_Ready'!$Z$139="YES"),AND('10_Analysis_Ready'!$Y$139="GAN+DIFFUSION",OR('10_Analysis_Ready'!$Z$139&lt;&gt;"YES",'10_Analysis_Ready'!$AA$139&lt;&gt;"YES"))),1,0))</f>
        <v>0</v>
      </c>
      <c r="H156">
        <f>IF('10_Analysis_Ready'!$A$139="",0,IF(OR(AND('10_Analysis_Ready'!$BJ$139="NO",OR('10_Analysis_Ready'!$BK$139="HIGH",'10_Analysis_Ready'!$BK$139="VERY HIGH")),AND(((OR('10_Analysis_Ready'!$AG$139="YES",'10_Analysis_Ready'!$AH$139="YES"))*1+('10_Analysis_Ready'!$AI$139="YES")+('10_Analysis_Ready'!$AJ$139="YES")+('10_Analysis_Ready'!$AK$139="YES")+('10_Analysis_Ready'!$AL$139="YES"))=0,'10_Analysis_Ready'!$BJ$139="YES")),1,0))</f>
        <v>0</v>
      </c>
      <c r="I156">
        <f>IF('10_Analysis_Ready'!$A$139="",0,IF(AND(((OR('10_Analysis_Ready'!$AG$139="YES",'10_Analysis_Ready'!$AH$139="YES"))*1+('10_Analysis_Ready'!$AI$139="YES")+('10_Analysis_Ready'!$AJ$139="YES")+('10_Analysis_Ready'!$AK$139="YES")+('10_Analysis_Ready'!$AL$139="YES"))=0,'10_Analysis_Ready'!$AM$139&lt;&gt;"N/A"),1,0))</f>
        <v>0</v>
      </c>
      <c r="J156">
        <f>IF('10_Analysis_Ready'!$A$139="",0,IF(('28_Taxonomy_Coding'!$G$139="NONE")&lt;&gt;(((OR('10_Analysis_Ready'!$AG$139="YES",'10_Analysis_Ready'!$AH$139="YES"))*1+('10_Analysis_Ready'!$AI$139="YES")+('10_Analysis_Ready'!$AJ$139="YES")+('10_Analysis_Ready'!$AK$139="YES")+('10_Analysis_Ready'!$AL$139="YES"))=0),1,0))</f>
        <v>0</v>
      </c>
    </row>
    <row r="157" spans="1:10">
      <c r="A157">
        <v>140</v>
      </c>
      <c r="B157" t="str">
        <f>IF('10_Analysis_Ready'!$A$140="","",'10_Analysis_Ready'!$A$140)</f>
        <v/>
      </c>
      <c r="C157">
        <f>IF('10_Analysis_Ready'!$A$140="",0,IF(AND('28_Taxonomy_Coding'!$A$140='10_Analysis_Ready'!$A$140,'14_Generalization_Map'!$A$140='10_Analysis_Ready'!$A$140),0,1))</f>
        <v>0</v>
      </c>
      <c r="D157">
        <f>IF('10_Analysis_Ready'!$A$140="",0,IF(COUNTIFS('06_Full_Text_Screening'!$A:$A,'10_Analysis_Ready'!$A$140,'06_Full_Text_Screening'!$J:$J,"INCLUDE")=1,0,1))</f>
        <v>0</v>
      </c>
      <c r="E157">
        <f>IF('10_Analysis_Ready'!$A$140="",0,IF(OR(AND(((OR('10_Analysis_Ready'!$AG$140="YES",'10_Analysis_Ready'!$AH$140="YES"))*1+('10_Analysis_Ready'!$AI$140="YES")+('10_Analysis_Ready'!$AJ$140="YES")+('10_Analysis_Ready'!$AK$140="YES")+('10_Analysis_Ready'!$AL$140="YES"))=0,'10_Analysis_Ready'!$AF$140&lt;&gt;"NONE"),AND(((OR('10_Analysis_Ready'!$AG$140="YES",'10_Analysis_Ready'!$AH$140="YES"))*1+('10_Analysis_Ready'!$AI$140="YES")+('10_Analysis_Ready'!$AJ$140="YES")+('10_Analysis_Ready'!$AK$140="YES")+('10_Analysis_Ready'!$AL$140="YES"))=1,OR('10_Analysis_Ready'!$AF$140="NONE",'10_Analysis_Ready'!$AF$140="MULTIPLE")),AND(((OR('10_Analysis_Ready'!$AG$140="YES",'10_Analysis_Ready'!$AH$140="YES"))*1+('10_Analysis_Ready'!$AI$140="YES")+('10_Analysis_Ready'!$AJ$140="YES")+('10_Analysis_Ready'!$AK$140="YES")+('10_Analysis_Ready'!$AL$140="YES"))&gt;=2,'10_Analysis_Ready'!$AF$140&lt;&gt;"MULTIPLE")),1,0))</f>
        <v>0</v>
      </c>
      <c r="F157">
        <f>IF('10_Analysis_Ready'!$A$140="",0,IF(AND('10_Analysis_Ready'!$AO$140="NO",COUNTIF('10_Analysis_Ready'!$AP$140:$AU$140,"YES")&gt;0),1,0))</f>
        <v>0</v>
      </c>
      <c r="G157">
        <f>IF('10_Analysis_Ready'!$A$140="",0,IF(OR(AND('10_Analysis_Ready'!$Y$140="GAN",'10_Analysis_Ready'!$AA$140="YES"),AND('10_Analysis_Ready'!$Y$140="DIFFUSION",'10_Analysis_Ready'!$Z$140="YES"),AND('10_Analysis_Ready'!$Y$140="GAN+DIFFUSION",OR('10_Analysis_Ready'!$Z$140&lt;&gt;"YES",'10_Analysis_Ready'!$AA$140&lt;&gt;"YES"))),1,0))</f>
        <v>0</v>
      </c>
      <c r="H157">
        <f>IF('10_Analysis_Ready'!$A$140="",0,IF(OR(AND('10_Analysis_Ready'!$BJ$140="NO",OR('10_Analysis_Ready'!$BK$140="HIGH",'10_Analysis_Ready'!$BK$140="VERY HIGH")),AND(((OR('10_Analysis_Ready'!$AG$140="YES",'10_Analysis_Ready'!$AH$140="YES"))*1+('10_Analysis_Ready'!$AI$140="YES")+('10_Analysis_Ready'!$AJ$140="YES")+('10_Analysis_Ready'!$AK$140="YES")+('10_Analysis_Ready'!$AL$140="YES"))=0,'10_Analysis_Ready'!$BJ$140="YES")),1,0))</f>
        <v>0</v>
      </c>
      <c r="I157">
        <f>IF('10_Analysis_Ready'!$A$140="",0,IF(AND(((OR('10_Analysis_Ready'!$AG$140="YES",'10_Analysis_Ready'!$AH$140="YES"))*1+('10_Analysis_Ready'!$AI$140="YES")+('10_Analysis_Ready'!$AJ$140="YES")+('10_Analysis_Ready'!$AK$140="YES")+('10_Analysis_Ready'!$AL$140="YES"))=0,'10_Analysis_Ready'!$AM$140&lt;&gt;"N/A"),1,0))</f>
        <v>0</v>
      </c>
      <c r="J157">
        <f>IF('10_Analysis_Ready'!$A$140="",0,IF(('28_Taxonomy_Coding'!$G$140="NONE")&lt;&gt;(((OR('10_Analysis_Ready'!$AG$140="YES",'10_Analysis_Ready'!$AH$140="YES"))*1+('10_Analysis_Ready'!$AI$140="YES")+('10_Analysis_Ready'!$AJ$140="YES")+('10_Analysis_Ready'!$AK$140="YES")+('10_Analysis_Ready'!$AL$140="YES"))=0),1,0))</f>
        <v>0</v>
      </c>
    </row>
    <row r="158" spans="1:10">
      <c r="A158">
        <v>141</v>
      </c>
      <c r="B158" t="str">
        <f>IF('10_Analysis_Ready'!$A$141="","",'10_Analysis_Ready'!$A$141)</f>
        <v/>
      </c>
      <c r="C158">
        <f>IF('10_Analysis_Ready'!$A$141="",0,IF(AND('28_Taxonomy_Coding'!$A$141='10_Analysis_Ready'!$A$141,'14_Generalization_Map'!$A$141='10_Analysis_Ready'!$A$141),0,1))</f>
        <v>0</v>
      </c>
      <c r="D158">
        <f>IF('10_Analysis_Ready'!$A$141="",0,IF(COUNTIFS('06_Full_Text_Screening'!$A:$A,'10_Analysis_Ready'!$A$141,'06_Full_Text_Screening'!$J:$J,"INCLUDE")=1,0,1))</f>
        <v>0</v>
      </c>
      <c r="E158">
        <f>IF('10_Analysis_Ready'!$A$141="",0,IF(OR(AND(((OR('10_Analysis_Ready'!$AG$141="YES",'10_Analysis_Ready'!$AH$141="YES"))*1+('10_Analysis_Ready'!$AI$141="YES")+('10_Analysis_Ready'!$AJ$141="YES")+('10_Analysis_Ready'!$AK$141="YES")+('10_Analysis_Ready'!$AL$141="YES"))=0,'10_Analysis_Ready'!$AF$141&lt;&gt;"NONE"),AND(((OR('10_Analysis_Ready'!$AG$141="YES",'10_Analysis_Ready'!$AH$141="YES"))*1+('10_Analysis_Ready'!$AI$141="YES")+('10_Analysis_Ready'!$AJ$141="YES")+('10_Analysis_Ready'!$AK$141="YES")+('10_Analysis_Ready'!$AL$141="YES"))=1,OR('10_Analysis_Ready'!$AF$141="NONE",'10_Analysis_Ready'!$AF$141="MULTIPLE")),AND(((OR('10_Analysis_Ready'!$AG$141="YES",'10_Analysis_Ready'!$AH$141="YES"))*1+('10_Analysis_Ready'!$AI$141="YES")+('10_Analysis_Ready'!$AJ$141="YES")+('10_Analysis_Ready'!$AK$141="YES")+('10_Analysis_Ready'!$AL$141="YES"))&gt;=2,'10_Analysis_Ready'!$AF$141&lt;&gt;"MULTIPLE")),1,0))</f>
        <v>0</v>
      </c>
      <c r="F158">
        <f>IF('10_Analysis_Ready'!$A$141="",0,IF(AND('10_Analysis_Ready'!$AO$141="NO",COUNTIF('10_Analysis_Ready'!$AP$141:$AU$141,"YES")&gt;0),1,0))</f>
        <v>0</v>
      </c>
      <c r="G158">
        <f>IF('10_Analysis_Ready'!$A$141="",0,IF(OR(AND('10_Analysis_Ready'!$Y$141="GAN",'10_Analysis_Ready'!$AA$141="YES"),AND('10_Analysis_Ready'!$Y$141="DIFFUSION",'10_Analysis_Ready'!$Z$141="YES"),AND('10_Analysis_Ready'!$Y$141="GAN+DIFFUSION",OR('10_Analysis_Ready'!$Z$141&lt;&gt;"YES",'10_Analysis_Ready'!$AA$141&lt;&gt;"YES"))),1,0))</f>
        <v>0</v>
      </c>
      <c r="H158">
        <f>IF('10_Analysis_Ready'!$A$141="",0,IF(OR(AND('10_Analysis_Ready'!$BJ$141="NO",OR('10_Analysis_Ready'!$BK$141="HIGH",'10_Analysis_Ready'!$BK$141="VERY HIGH")),AND(((OR('10_Analysis_Ready'!$AG$141="YES",'10_Analysis_Ready'!$AH$141="YES"))*1+('10_Analysis_Ready'!$AI$141="YES")+('10_Analysis_Ready'!$AJ$141="YES")+('10_Analysis_Ready'!$AK$141="YES")+('10_Analysis_Ready'!$AL$141="YES"))=0,'10_Analysis_Ready'!$BJ$141="YES")),1,0))</f>
        <v>0</v>
      </c>
      <c r="I158">
        <f>IF('10_Analysis_Ready'!$A$141="",0,IF(AND(((OR('10_Analysis_Ready'!$AG$141="YES",'10_Analysis_Ready'!$AH$141="YES"))*1+('10_Analysis_Ready'!$AI$141="YES")+('10_Analysis_Ready'!$AJ$141="YES")+('10_Analysis_Ready'!$AK$141="YES")+('10_Analysis_Ready'!$AL$141="YES"))=0,'10_Analysis_Ready'!$AM$141&lt;&gt;"N/A"),1,0))</f>
        <v>0</v>
      </c>
      <c r="J158">
        <f>IF('10_Analysis_Ready'!$A$141="",0,IF(('28_Taxonomy_Coding'!$G$141="NONE")&lt;&gt;(((OR('10_Analysis_Ready'!$AG$141="YES",'10_Analysis_Ready'!$AH$141="YES"))*1+('10_Analysis_Ready'!$AI$141="YES")+('10_Analysis_Ready'!$AJ$141="YES")+('10_Analysis_Ready'!$AK$141="YES")+('10_Analysis_Ready'!$AL$141="YES"))=0),1,0))</f>
        <v>0</v>
      </c>
    </row>
    <row r="159" spans="1:10">
      <c r="A159">
        <v>142</v>
      </c>
      <c r="B159" t="str">
        <f>IF('10_Analysis_Ready'!$A$142="","",'10_Analysis_Ready'!$A$142)</f>
        <v/>
      </c>
      <c r="C159">
        <f>IF('10_Analysis_Ready'!$A$142="",0,IF(AND('28_Taxonomy_Coding'!$A$142='10_Analysis_Ready'!$A$142,'14_Generalization_Map'!$A$142='10_Analysis_Ready'!$A$142),0,1))</f>
        <v>0</v>
      </c>
      <c r="D159">
        <f>IF('10_Analysis_Ready'!$A$142="",0,IF(COUNTIFS('06_Full_Text_Screening'!$A:$A,'10_Analysis_Ready'!$A$142,'06_Full_Text_Screening'!$J:$J,"INCLUDE")=1,0,1))</f>
        <v>0</v>
      </c>
      <c r="E159">
        <f>IF('10_Analysis_Ready'!$A$142="",0,IF(OR(AND(((OR('10_Analysis_Ready'!$AG$142="YES",'10_Analysis_Ready'!$AH$142="YES"))*1+('10_Analysis_Ready'!$AI$142="YES")+('10_Analysis_Ready'!$AJ$142="YES")+('10_Analysis_Ready'!$AK$142="YES")+('10_Analysis_Ready'!$AL$142="YES"))=0,'10_Analysis_Ready'!$AF$142&lt;&gt;"NONE"),AND(((OR('10_Analysis_Ready'!$AG$142="YES",'10_Analysis_Ready'!$AH$142="YES"))*1+('10_Analysis_Ready'!$AI$142="YES")+('10_Analysis_Ready'!$AJ$142="YES")+('10_Analysis_Ready'!$AK$142="YES")+('10_Analysis_Ready'!$AL$142="YES"))=1,OR('10_Analysis_Ready'!$AF$142="NONE",'10_Analysis_Ready'!$AF$142="MULTIPLE")),AND(((OR('10_Analysis_Ready'!$AG$142="YES",'10_Analysis_Ready'!$AH$142="YES"))*1+('10_Analysis_Ready'!$AI$142="YES")+('10_Analysis_Ready'!$AJ$142="YES")+('10_Analysis_Ready'!$AK$142="YES")+('10_Analysis_Ready'!$AL$142="YES"))&gt;=2,'10_Analysis_Ready'!$AF$142&lt;&gt;"MULTIPLE")),1,0))</f>
        <v>0</v>
      </c>
      <c r="F159">
        <f>IF('10_Analysis_Ready'!$A$142="",0,IF(AND('10_Analysis_Ready'!$AO$142="NO",COUNTIF('10_Analysis_Ready'!$AP$142:$AU$142,"YES")&gt;0),1,0))</f>
        <v>0</v>
      </c>
      <c r="G159">
        <f>IF('10_Analysis_Ready'!$A$142="",0,IF(OR(AND('10_Analysis_Ready'!$Y$142="GAN",'10_Analysis_Ready'!$AA$142="YES"),AND('10_Analysis_Ready'!$Y$142="DIFFUSION",'10_Analysis_Ready'!$Z$142="YES"),AND('10_Analysis_Ready'!$Y$142="GAN+DIFFUSION",OR('10_Analysis_Ready'!$Z$142&lt;&gt;"YES",'10_Analysis_Ready'!$AA$142&lt;&gt;"YES"))),1,0))</f>
        <v>0</v>
      </c>
      <c r="H159">
        <f>IF('10_Analysis_Ready'!$A$142="",0,IF(OR(AND('10_Analysis_Ready'!$BJ$142="NO",OR('10_Analysis_Ready'!$BK$142="HIGH",'10_Analysis_Ready'!$BK$142="VERY HIGH")),AND(((OR('10_Analysis_Ready'!$AG$142="YES",'10_Analysis_Ready'!$AH$142="YES"))*1+('10_Analysis_Ready'!$AI$142="YES")+('10_Analysis_Ready'!$AJ$142="YES")+('10_Analysis_Ready'!$AK$142="YES")+('10_Analysis_Ready'!$AL$142="YES"))=0,'10_Analysis_Ready'!$BJ$142="YES")),1,0))</f>
        <v>0</v>
      </c>
      <c r="I159">
        <f>IF('10_Analysis_Ready'!$A$142="",0,IF(AND(((OR('10_Analysis_Ready'!$AG$142="YES",'10_Analysis_Ready'!$AH$142="YES"))*1+('10_Analysis_Ready'!$AI$142="YES")+('10_Analysis_Ready'!$AJ$142="YES")+('10_Analysis_Ready'!$AK$142="YES")+('10_Analysis_Ready'!$AL$142="YES"))=0,'10_Analysis_Ready'!$AM$142&lt;&gt;"N/A"),1,0))</f>
        <v>0</v>
      </c>
      <c r="J159">
        <f>IF('10_Analysis_Ready'!$A$142="",0,IF(('28_Taxonomy_Coding'!$G$142="NONE")&lt;&gt;(((OR('10_Analysis_Ready'!$AG$142="YES",'10_Analysis_Ready'!$AH$142="YES"))*1+('10_Analysis_Ready'!$AI$142="YES")+('10_Analysis_Ready'!$AJ$142="YES")+('10_Analysis_Ready'!$AK$142="YES")+('10_Analysis_Ready'!$AL$142="YES"))=0),1,0))</f>
        <v>0</v>
      </c>
    </row>
    <row r="160" spans="1:10">
      <c r="A160">
        <v>143</v>
      </c>
      <c r="B160" t="str">
        <f>IF('10_Analysis_Ready'!$A$143="","",'10_Analysis_Ready'!$A$143)</f>
        <v/>
      </c>
      <c r="C160">
        <f>IF('10_Analysis_Ready'!$A$143="",0,IF(AND('28_Taxonomy_Coding'!$A$143='10_Analysis_Ready'!$A$143,'14_Generalization_Map'!$A$143='10_Analysis_Ready'!$A$143),0,1))</f>
        <v>0</v>
      </c>
      <c r="D160">
        <f>IF('10_Analysis_Ready'!$A$143="",0,IF(COUNTIFS('06_Full_Text_Screening'!$A:$A,'10_Analysis_Ready'!$A$143,'06_Full_Text_Screening'!$J:$J,"INCLUDE")=1,0,1))</f>
        <v>0</v>
      </c>
      <c r="E160">
        <f>IF('10_Analysis_Ready'!$A$143="",0,IF(OR(AND(((OR('10_Analysis_Ready'!$AG$143="YES",'10_Analysis_Ready'!$AH$143="YES"))*1+('10_Analysis_Ready'!$AI$143="YES")+('10_Analysis_Ready'!$AJ$143="YES")+('10_Analysis_Ready'!$AK$143="YES")+('10_Analysis_Ready'!$AL$143="YES"))=0,'10_Analysis_Ready'!$AF$143&lt;&gt;"NONE"),AND(((OR('10_Analysis_Ready'!$AG$143="YES",'10_Analysis_Ready'!$AH$143="YES"))*1+('10_Analysis_Ready'!$AI$143="YES")+('10_Analysis_Ready'!$AJ$143="YES")+('10_Analysis_Ready'!$AK$143="YES")+('10_Analysis_Ready'!$AL$143="YES"))=1,OR('10_Analysis_Ready'!$AF$143="NONE",'10_Analysis_Ready'!$AF$143="MULTIPLE")),AND(((OR('10_Analysis_Ready'!$AG$143="YES",'10_Analysis_Ready'!$AH$143="YES"))*1+('10_Analysis_Ready'!$AI$143="YES")+('10_Analysis_Ready'!$AJ$143="YES")+('10_Analysis_Ready'!$AK$143="YES")+('10_Analysis_Ready'!$AL$143="YES"))&gt;=2,'10_Analysis_Ready'!$AF$143&lt;&gt;"MULTIPLE")),1,0))</f>
        <v>0</v>
      </c>
      <c r="F160">
        <f>IF('10_Analysis_Ready'!$A$143="",0,IF(AND('10_Analysis_Ready'!$AO$143="NO",COUNTIF('10_Analysis_Ready'!$AP$143:$AU$143,"YES")&gt;0),1,0))</f>
        <v>0</v>
      </c>
      <c r="G160">
        <f>IF('10_Analysis_Ready'!$A$143="",0,IF(OR(AND('10_Analysis_Ready'!$Y$143="GAN",'10_Analysis_Ready'!$AA$143="YES"),AND('10_Analysis_Ready'!$Y$143="DIFFUSION",'10_Analysis_Ready'!$Z$143="YES"),AND('10_Analysis_Ready'!$Y$143="GAN+DIFFUSION",OR('10_Analysis_Ready'!$Z$143&lt;&gt;"YES",'10_Analysis_Ready'!$AA$143&lt;&gt;"YES"))),1,0))</f>
        <v>0</v>
      </c>
      <c r="H160">
        <f>IF('10_Analysis_Ready'!$A$143="",0,IF(OR(AND('10_Analysis_Ready'!$BJ$143="NO",OR('10_Analysis_Ready'!$BK$143="HIGH",'10_Analysis_Ready'!$BK$143="VERY HIGH")),AND(((OR('10_Analysis_Ready'!$AG$143="YES",'10_Analysis_Ready'!$AH$143="YES"))*1+('10_Analysis_Ready'!$AI$143="YES")+('10_Analysis_Ready'!$AJ$143="YES")+('10_Analysis_Ready'!$AK$143="YES")+('10_Analysis_Ready'!$AL$143="YES"))=0,'10_Analysis_Ready'!$BJ$143="YES")),1,0))</f>
        <v>0</v>
      </c>
      <c r="I160">
        <f>IF('10_Analysis_Ready'!$A$143="",0,IF(AND(((OR('10_Analysis_Ready'!$AG$143="YES",'10_Analysis_Ready'!$AH$143="YES"))*1+('10_Analysis_Ready'!$AI$143="YES")+('10_Analysis_Ready'!$AJ$143="YES")+('10_Analysis_Ready'!$AK$143="YES")+('10_Analysis_Ready'!$AL$143="YES"))=0,'10_Analysis_Ready'!$AM$143&lt;&gt;"N/A"),1,0))</f>
        <v>0</v>
      </c>
      <c r="J160">
        <f>IF('10_Analysis_Ready'!$A$143="",0,IF(('28_Taxonomy_Coding'!$G$143="NONE")&lt;&gt;(((OR('10_Analysis_Ready'!$AG$143="YES",'10_Analysis_Ready'!$AH$143="YES"))*1+('10_Analysis_Ready'!$AI$143="YES")+('10_Analysis_Ready'!$AJ$143="YES")+('10_Analysis_Ready'!$AK$143="YES")+('10_Analysis_Ready'!$AL$143="YES"))=0),1,0))</f>
        <v>0</v>
      </c>
    </row>
    <row r="161" spans="1:10">
      <c r="A161">
        <v>144</v>
      </c>
      <c r="B161" t="str">
        <f>IF('10_Analysis_Ready'!$A$144="","",'10_Analysis_Ready'!$A$144)</f>
        <v/>
      </c>
      <c r="C161">
        <f>IF('10_Analysis_Ready'!$A$144="",0,IF(AND('28_Taxonomy_Coding'!$A$144='10_Analysis_Ready'!$A$144,'14_Generalization_Map'!$A$144='10_Analysis_Ready'!$A$144),0,1))</f>
        <v>0</v>
      </c>
      <c r="D161">
        <f>IF('10_Analysis_Ready'!$A$144="",0,IF(COUNTIFS('06_Full_Text_Screening'!$A:$A,'10_Analysis_Ready'!$A$144,'06_Full_Text_Screening'!$J:$J,"INCLUDE")=1,0,1))</f>
        <v>0</v>
      </c>
      <c r="E161">
        <f>IF('10_Analysis_Ready'!$A$144="",0,IF(OR(AND(((OR('10_Analysis_Ready'!$AG$144="YES",'10_Analysis_Ready'!$AH$144="YES"))*1+('10_Analysis_Ready'!$AI$144="YES")+('10_Analysis_Ready'!$AJ$144="YES")+('10_Analysis_Ready'!$AK$144="YES")+('10_Analysis_Ready'!$AL$144="YES"))=0,'10_Analysis_Ready'!$AF$144&lt;&gt;"NONE"),AND(((OR('10_Analysis_Ready'!$AG$144="YES",'10_Analysis_Ready'!$AH$144="YES"))*1+('10_Analysis_Ready'!$AI$144="YES")+('10_Analysis_Ready'!$AJ$144="YES")+('10_Analysis_Ready'!$AK$144="YES")+('10_Analysis_Ready'!$AL$144="YES"))=1,OR('10_Analysis_Ready'!$AF$144="NONE",'10_Analysis_Ready'!$AF$144="MULTIPLE")),AND(((OR('10_Analysis_Ready'!$AG$144="YES",'10_Analysis_Ready'!$AH$144="YES"))*1+('10_Analysis_Ready'!$AI$144="YES")+('10_Analysis_Ready'!$AJ$144="YES")+('10_Analysis_Ready'!$AK$144="YES")+('10_Analysis_Ready'!$AL$144="YES"))&gt;=2,'10_Analysis_Ready'!$AF$144&lt;&gt;"MULTIPLE")),1,0))</f>
        <v>0</v>
      </c>
      <c r="F161">
        <f>IF('10_Analysis_Ready'!$A$144="",0,IF(AND('10_Analysis_Ready'!$AO$144="NO",COUNTIF('10_Analysis_Ready'!$AP$144:$AU$144,"YES")&gt;0),1,0))</f>
        <v>0</v>
      </c>
      <c r="G161">
        <f>IF('10_Analysis_Ready'!$A$144="",0,IF(OR(AND('10_Analysis_Ready'!$Y$144="GAN",'10_Analysis_Ready'!$AA$144="YES"),AND('10_Analysis_Ready'!$Y$144="DIFFUSION",'10_Analysis_Ready'!$Z$144="YES"),AND('10_Analysis_Ready'!$Y$144="GAN+DIFFUSION",OR('10_Analysis_Ready'!$Z$144&lt;&gt;"YES",'10_Analysis_Ready'!$AA$144&lt;&gt;"YES"))),1,0))</f>
        <v>0</v>
      </c>
      <c r="H161">
        <f>IF('10_Analysis_Ready'!$A$144="",0,IF(OR(AND('10_Analysis_Ready'!$BJ$144="NO",OR('10_Analysis_Ready'!$BK$144="HIGH",'10_Analysis_Ready'!$BK$144="VERY HIGH")),AND(((OR('10_Analysis_Ready'!$AG$144="YES",'10_Analysis_Ready'!$AH$144="YES"))*1+('10_Analysis_Ready'!$AI$144="YES")+('10_Analysis_Ready'!$AJ$144="YES")+('10_Analysis_Ready'!$AK$144="YES")+('10_Analysis_Ready'!$AL$144="YES"))=0,'10_Analysis_Ready'!$BJ$144="YES")),1,0))</f>
        <v>0</v>
      </c>
      <c r="I161">
        <f>IF('10_Analysis_Ready'!$A$144="",0,IF(AND(((OR('10_Analysis_Ready'!$AG$144="YES",'10_Analysis_Ready'!$AH$144="YES"))*1+('10_Analysis_Ready'!$AI$144="YES")+('10_Analysis_Ready'!$AJ$144="YES")+('10_Analysis_Ready'!$AK$144="YES")+('10_Analysis_Ready'!$AL$144="YES"))=0,'10_Analysis_Ready'!$AM$144&lt;&gt;"N/A"),1,0))</f>
        <v>0</v>
      </c>
      <c r="J161">
        <f>IF('10_Analysis_Ready'!$A$144="",0,IF(('28_Taxonomy_Coding'!$G$144="NONE")&lt;&gt;(((OR('10_Analysis_Ready'!$AG$144="YES",'10_Analysis_Ready'!$AH$144="YES"))*1+('10_Analysis_Ready'!$AI$144="YES")+('10_Analysis_Ready'!$AJ$144="YES")+('10_Analysis_Ready'!$AK$144="YES")+('10_Analysis_Ready'!$AL$144="YES"))=0),1,0))</f>
        <v>0</v>
      </c>
    </row>
    <row r="162" spans="1:10">
      <c r="A162">
        <v>145</v>
      </c>
      <c r="B162" t="str">
        <f>IF('10_Analysis_Ready'!$A$145="","",'10_Analysis_Ready'!$A$145)</f>
        <v/>
      </c>
      <c r="C162">
        <f>IF('10_Analysis_Ready'!$A$145="",0,IF(AND('28_Taxonomy_Coding'!$A$145='10_Analysis_Ready'!$A$145,'14_Generalization_Map'!$A$145='10_Analysis_Ready'!$A$145),0,1))</f>
        <v>0</v>
      </c>
      <c r="D162">
        <f>IF('10_Analysis_Ready'!$A$145="",0,IF(COUNTIFS('06_Full_Text_Screening'!$A:$A,'10_Analysis_Ready'!$A$145,'06_Full_Text_Screening'!$J:$J,"INCLUDE")=1,0,1))</f>
        <v>0</v>
      </c>
      <c r="E162">
        <f>IF('10_Analysis_Ready'!$A$145="",0,IF(OR(AND(((OR('10_Analysis_Ready'!$AG$145="YES",'10_Analysis_Ready'!$AH$145="YES"))*1+('10_Analysis_Ready'!$AI$145="YES")+('10_Analysis_Ready'!$AJ$145="YES")+('10_Analysis_Ready'!$AK$145="YES")+('10_Analysis_Ready'!$AL$145="YES"))=0,'10_Analysis_Ready'!$AF$145&lt;&gt;"NONE"),AND(((OR('10_Analysis_Ready'!$AG$145="YES",'10_Analysis_Ready'!$AH$145="YES"))*1+('10_Analysis_Ready'!$AI$145="YES")+('10_Analysis_Ready'!$AJ$145="YES")+('10_Analysis_Ready'!$AK$145="YES")+('10_Analysis_Ready'!$AL$145="YES"))=1,OR('10_Analysis_Ready'!$AF$145="NONE",'10_Analysis_Ready'!$AF$145="MULTIPLE")),AND(((OR('10_Analysis_Ready'!$AG$145="YES",'10_Analysis_Ready'!$AH$145="YES"))*1+('10_Analysis_Ready'!$AI$145="YES")+('10_Analysis_Ready'!$AJ$145="YES")+('10_Analysis_Ready'!$AK$145="YES")+('10_Analysis_Ready'!$AL$145="YES"))&gt;=2,'10_Analysis_Ready'!$AF$145&lt;&gt;"MULTIPLE")),1,0))</f>
        <v>0</v>
      </c>
      <c r="F162">
        <f>IF('10_Analysis_Ready'!$A$145="",0,IF(AND('10_Analysis_Ready'!$AO$145="NO",COUNTIF('10_Analysis_Ready'!$AP$145:$AU$145,"YES")&gt;0),1,0))</f>
        <v>0</v>
      </c>
      <c r="G162">
        <f>IF('10_Analysis_Ready'!$A$145="",0,IF(OR(AND('10_Analysis_Ready'!$Y$145="GAN",'10_Analysis_Ready'!$AA$145="YES"),AND('10_Analysis_Ready'!$Y$145="DIFFUSION",'10_Analysis_Ready'!$Z$145="YES"),AND('10_Analysis_Ready'!$Y$145="GAN+DIFFUSION",OR('10_Analysis_Ready'!$Z$145&lt;&gt;"YES",'10_Analysis_Ready'!$AA$145&lt;&gt;"YES"))),1,0))</f>
        <v>0</v>
      </c>
      <c r="H162">
        <f>IF('10_Analysis_Ready'!$A$145="",0,IF(OR(AND('10_Analysis_Ready'!$BJ$145="NO",OR('10_Analysis_Ready'!$BK$145="HIGH",'10_Analysis_Ready'!$BK$145="VERY HIGH")),AND(((OR('10_Analysis_Ready'!$AG$145="YES",'10_Analysis_Ready'!$AH$145="YES"))*1+('10_Analysis_Ready'!$AI$145="YES")+('10_Analysis_Ready'!$AJ$145="YES")+('10_Analysis_Ready'!$AK$145="YES")+('10_Analysis_Ready'!$AL$145="YES"))=0,'10_Analysis_Ready'!$BJ$145="YES")),1,0))</f>
        <v>0</v>
      </c>
      <c r="I162">
        <f>IF('10_Analysis_Ready'!$A$145="",0,IF(AND(((OR('10_Analysis_Ready'!$AG$145="YES",'10_Analysis_Ready'!$AH$145="YES"))*1+('10_Analysis_Ready'!$AI$145="YES")+('10_Analysis_Ready'!$AJ$145="YES")+('10_Analysis_Ready'!$AK$145="YES")+('10_Analysis_Ready'!$AL$145="YES"))=0,'10_Analysis_Ready'!$AM$145&lt;&gt;"N/A"),1,0))</f>
        <v>0</v>
      </c>
      <c r="J162">
        <f>IF('10_Analysis_Ready'!$A$145="",0,IF(('28_Taxonomy_Coding'!$G$145="NONE")&lt;&gt;(((OR('10_Analysis_Ready'!$AG$145="YES",'10_Analysis_Ready'!$AH$145="YES"))*1+('10_Analysis_Ready'!$AI$145="YES")+('10_Analysis_Ready'!$AJ$145="YES")+('10_Analysis_Ready'!$AK$145="YES")+('10_Analysis_Ready'!$AL$145="YES"))=0),1,0))</f>
        <v>0</v>
      </c>
    </row>
    <row r="163" spans="1:10">
      <c r="A163">
        <v>146</v>
      </c>
      <c r="B163" t="str">
        <f>IF('10_Analysis_Ready'!$A$146="","",'10_Analysis_Ready'!$A$146)</f>
        <v/>
      </c>
      <c r="C163">
        <f>IF('10_Analysis_Ready'!$A$146="",0,IF(AND('28_Taxonomy_Coding'!$A$146='10_Analysis_Ready'!$A$146,'14_Generalization_Map'!$A$146='10_Analysis_Ready'!$A$146),0,1))</f>
        <v>0</v>
      </c>
      <c r="D163">
        <f>IF('10_Analysis_Ready'!$A$146="",0,IF(COUNTIFS('06_Full_Text_Screening'!$A:$A,'10_Analysis_Ready'!$A$146,'06_Full_Text_Screening'!$J:$J,"INCLUDE")=1,0,1))</f>
        <v>0</v>
      </c>
      <c r="E163">
        <f>IF('10_Analysis_Ready'!$A$146="",0,IF(OR(AND(((OR('10_Analysis_Ready'!$AG$146="YES",'10_Analysis_Ready'!$AH$146="YES"))*1+('10_Analysis_Ready'!$AI$146="YES")+('10_Analysis_Ready'!$AJ$146="YES")+('10_Analysis_Ready'!$AK$146="YES")+('10_Analysis_Ready'!$AL$146="YES"))=0,'10_Analysis_Ready'!$AF$146&lt;&gt;"NONE"),AND(((OR('10_Analysis_Ready'!$AG$146="YES",'10_Analysis_Ready'!$AH$146="YES"))*1+('10_Analysis_Ready'!$AI$146="YES")+('10_Analysis_Ready'!$AJ$146="YES")+('10_Analysis_Ready'!$AK$146="YES")+('10_Analysis_Ready'!$AL$146="YES"))=1,OR('10_Analysis_Ready'!$AF$146="NONE",'10_Analysis_Ready'!$AF$146="MULTIPLE")),AND(((OR('10_Analysis_Ready'!$AG$146="YES",'10_Analysis_Ready'!$AH$146="YES"))*1+('10_Analysis_Ready'!$AI$146="YES")+('10_Analysis_Ready'!$AJ$146="YES")+('10_Analysis_Ready'!$AK$146="YES")+('10_Analysis_Ready'!$AL$146="YES"))&gt;=2,'10_Analysis_Ready'!$AF$146&lt;&gt;"MULTIPLE")),1,0))</f>
        <v>0</v>
      </c>
      <c r="F163">
        <f>IF('10_Analysis_Ready'!$A$146="",0,IF(AND('10_Analysis_Ready'!$AO$146="NO",COUNTIF('10_Analysis_Ready'!$AP$146:$AU$146,"YES")&gt;0),1,0))</f>
        <v>0</v>
      </c>
      <c r="G163">
        <f>IF('10_Analysis_Ready'!$A$146="",0,IF(OR(AND('10_Analysis_Ready'!$Y$146="GAN",'10_Analysis_Ready'!$AA$146="YES"),AND('10_Analysis_Ready'!$Y$146="DIFFUSION",'10_Analysis_Ready'!$Z$146="YES"),AND('10_Analysis_Ready'!$Y$146="GAN+DIFFUSION",OR('10_Analysis_Ready'!$Z$146&lt;&gt;"YES",'10_Analysis_Ready'!$AA$146&lt;&gt;"YES"))),1,0))</f>
        <v>0</v>
      </c>
      <c r="H163">
        <f>IF('10_Analysis_Ready'!$A$146="",0,IF(OR(AND('10_Analysis_Ready'!$BJ$146="NO",OR('10_Analysis_Ready'!$BK$146="HIGH",'10_Analysis_Ready'!$BK$146="VERY HIGH")),AND(((OR('10_Analysis_Ready'!$AG$146="YES",'10_Analysis_Ready'!$AH$146="YES"))*1+('10_Analysis_Ready'!$AI$146="YES")+('10_Analysis_Ready'!$AJ$146="YES")+('10_Analysis_Ready'!$AK$146="YES")+('10_Analysis_Ready'!$AL$146="YES"))=0,'10_Analysis_Ready'!$BJ$146="YES")),1,0))</f>
        <v>0</v>
      </c>
      <c r="I163">
        <f>IF('10_Analysis_Ready'!$A$146="",0,IF(AND(((OR('10_Analysis_Ready'!$AG$146="YES",'10_Analysis_Ready'!$AH$146="YES"))*1+('10_Analysis_Ready'!$AI$146="YES")+('10_Analysis_Ready'!$AJ$146="YES")+('10_Analysis_Ready'!$AK$146="YES")+('10_Analysis_Ready'!$AL$146="YES"))=0,'10_Analysis_Ready'!$AM$146&lt;&gt;"N/A"),1,0))</f>
        <v>0</v>
      </c>
      <c r="J163">
        <f>IF('10_Analysis_Ready'!$A$146="",0,IF(('28_Taxonomy_Coding'!$G$146="NONE")&lt;&gt;(((OR('10_Analysis_Ready'!$AG$146="YES",'10_Analysis_Ready'!$AH$146="YES"))*1+('10_Analysis_Ready'!$AI$146="YES")+('10_Analysis_Ready'!$AJ$146="YES")+('10_Analysis_Ready'!$AK$146="YES")+('10_Analysis_Ready'!$AL$146="YES"))=0),1,0))</f>
        <v>0</v>
      </c>
    </row>
    <row r="164" spans="1:10">
      <c r="A164">
        <v>147</v>
      </c>
      <c r="B164" t="str">
        <f>IF('10_Analysis_Ready'!$A$147="","",'10_Analysis_Ready'!$A$147)</f>
        <v/>
      </c>
      <c r="C164">
        <f>IF('10_Analysis_Ready'!$A$147="",0,IF(AND('28_Taxonomy_Coding'!$A$147='10_Analysis_Ready'!$A$147,'14_Generalization_Map'!$A$147='10_Analysis_Ready'!$A$147),0,1))</f>
        <v>0</v>
      </c>
      <c r="D164">
        <f>IF('10_Analysis_Ready'!$A$147="",0,IF(COUNTIFS('06_Full_Text_Screening'!$A:$A,'10_Analysis_Ready'!$A$147,'06_Full_Text_Screening'!$J:$J,"INCLUDE")=1,0,1))</f>
        <v>0</v>
      </c>
      <c r="E164">
        <f>IF('10_Analysis_Ready'!$A$147="",0,IF(OR(AND(((OR('10_Analysis_Ready'!$AG$147="YES",'10_Analysis_Ready'!$AH$147="YES"))*1+('10_Analysis_Ready'!$AI$147="YES")+('10_Analysis_Ready'!$AJ$147="YES")+('10_Analysis_Ready'!$AK$147="YES")+('10_Analysis_Ready'!$AL$147="YES"))=0,'10_Analysis_Ready'!$AF$147&lt;&gt;"NONE"),AND(((OR('10_Analysis_Ready'!$AG$147="YES",'10_Analysis_Ready'!$AH$147="YES"))*1+('10_Analysis_Ready'!$AI$147="YES")+('10_Analysis_Ready'!$AJ$147="YES")+('10_Analysis_Ready'!$AK$147="YES")+('10_Analysis_Ready'!$AL$147="YES"))=1,OR('10_Analysis_Ready'!$AF$147="NONE",'10_Analysis_Ready'!$AF$147="MULTIPLE")),AND(((OR('10_Analysis_Ready'!$AG$147="YES",'10_Analysis_Ready'!$AH$147="YES"))*1+('10_Analysis_Ready'!$AI$147="YES")+('10_Analysis_Ready'!$AJ$147="YES")+('10_Analysis_Ready'!$AK$147="YES")+('10_Analysis_Ready'!$AL$147="YES"))&gt;=2,'10_Analysis_Ready'!$AF$147&lt;&gt;"MULTIPLE")),1,0))</f>
        <v>0</v>
      </c>
      <c r="F164">
        <f>IF('10_Analysis_Ready'!$A$147="",0,IF(AND('10_Analysis_Ready'!$AO$147="NO",COUNTIF('10_Analysis_Ready'!$AP$147:$AU$147,"YES")&gt;0),1,0))</f>
        <v>0</v>
      </c>
      <c r="G164">
        <f>IF('10_Analysis_Ready'!$A$147="",0,IF(OR(AND('10_Analysis_Ready'!$Y$147="GAN",'10_Analysis_Ready'!$AA$147="YES"),AND('10_Analysis_Ready'!$Y$147="DIFFUSION",'10_Analysis_Ready'!$Z$147="YES"),AND('10_Analysis_Ready'!$Y$147="GAN+DIFFUSION",OR('10_Analysis_Ready'!$Z$147&lt;&gt;"YES",'10_Analysis_Ready'!$AA$147&lt;&gt;"YES"))),1,0))</f>
        <v>0</v>
      </c>
      <c r="H164">
        <f>IF('10_Analysis_Ready'!$A$147="",0,IF(OR(AND('10_Analysis_Ready'!$BJ$147="NO",OR('10_Analysis_Ready'!$BK$147="HIGH",'10_Analysis_Ready'!$BK$147="VERY HIGH")),AND(((OR('10_Analysis_Ready'!$AG$147="YES",'10_Analysis_Ready'!$AH$147="YES"))*1+('10_Analysis_Ready'!$AI$147="YES")+('10_Analysis_Ready'!$AJ$147="YES")+('10_Analysis_Ready'!$AK$147="YES")+('10_Analysis_Ready'!$AL$147="YES"))=0,'10_Analysis_Ready'!$BJ$147="YES")),1,0))</f>
        <v>0</v>
      </c>
      <c r="I164">
        <f>IF('10_Analysis_Ready'!$A$147="",0,IF(AND(((OR('10_Analysis_Ready'!$AG$147="YES",'10_Analysis_Ready'!$AH$147="YES"))*1+('10_Analysis_Ready'!$AI$147="YES")+('10_Analysis_Ready'!$AJ$147="YES")+('10_Analysis_Ready'!$AK$147="YES")+('10_Analysis_Ready'!$AL$147="YES"))=0,'10_Analysis_Ready'!$AM$147&lt;&gt;"N/A"),1,0))</f>
        <v>0</v>
      </c>
      <c r="J164">
        <f>IF('10_Analysis_Ready'!$A$147="",0,IF(('28_Taxonomy_Coding'!$G$147="NONE")&lt;&gt;(((OR('10_Analysis_Ready'!$AG$147="YES",'10_Analysis_Ready'!$AH$147="YES"))*1+('10_Analysis_Ready'!$AI$147="YES")+('10_Analysis_Ready'!$AJ$147="YES")+('10_Analysis_Ready'!$AK$147="YES")+('10_Analysis_Ready'!$AL$147="YES"))=0),1,0))</f>
        <v>0</v>
      </c>
    </row>
    <row r="165" spans="1:10">
      <c r="A165">
        <v>148</v>
      </c>
      <c r="B165" t="str">
        <f>IF('10_Analysis_Ready'!$A$148="","",'10_Analysis_Ready'!$A$148)</f>
        <v/>
      </c>
      <c r="C165">
        <f>IF('10_Analysis_Ready'!$A$148="",0,IF(AND('28_Taxonomy_Coding'!$A$148='10_Analysis_Ready'!$A$148,'14_Generalization_Map'!$A$148='10_Analysis_Ready'!$A$148),0,1))</f>
        <v>0</v>
      </c>
      <c r="D165">
        <f>IF('10_Analysis_Ready'!$A$148="",0,IF(COUNTIFS('06_Full_Text_Screening'!$A:$A,'10_Analysis_Ready'!$A$148,'06_Full_Text_Screening'!$J:$J,"INCLUDE")=1,0,1))</f>
        <v>0</v>
      </c>
      <c r="E165">
        <f>IF('10_Analysis_Ready'!$A$148="",0,IF(OR(AND(((OR('10_Analysis_Ready'!$AG$148="YES",'10_Analysis_Ready'!$AH$148="YES"))*1+('10_Analysis_Ready'!$AI$148="YES")+('10_Analysis_Ready'!$AJ$148="YES")+('10_Analysis_Ready'!$AK$148="YES")+('10_Analysis_Ready'!$AL$148="YES"))=0,'10_Analysis_Ready'!$AF$148&lt;&gt;"NONE"),AND(((OR('10_Analysis_Ready'!$AG$148="YES",'10_Analysis_Ready'!$AH$148="YES"))*1+('10_Analysis_Ready'!$AI$148="YES")+('10_Analysis_Ready'!$AJ$148="YES")+('10_Analysis_Ready'!$AK$148="YES")+('10_Analysis_Ready'!$AL$148="YES"))=1,OR('10_Analysis_Ready'!$AF$148="NONE",'10_Analysis_Ready'!$AF$148="MULTIPLE")),AND(((OR('10_Analysis_Ready'!$AG$148="YES",'10_Analysis_Ready'!$AH$148="YES"))*1+('10_Analysis_Ready'!$AI$148="YES")+('10_Analysis_Ready'!$AJ$148="YES")+('10_Analysis_Ready'!$AK$148="YES")+('10_Analysis_Ready'!$AL$148="YES"))&gt;=2,'10_Analysis_Ready'!$AF$148&lt;&gt;"MULTIPLE")),1,0))</f>
        <v>0</v>
      </c>
      <c r="F165">
        <f>IF('10_Analysis_Ready'!$A$148="",0,IF(AND('10_Analysis_Ready'!$AO$148="NO",COUNTIF('10_Analysis_Ready'!$AP$148:$AU$148,"YES")&gt;0),1,0))</f>
        <v>0</v>
      </c>
      <c r="G165">
        <f>IF('10_Analysis_Ready'!$A$148="",0,IF(OR(AND('10_Analysis_Ready'!$Y$148="GAN",'10_Analysis_Ready'!$AA$148="YES"),AND('10_Analysis_Ready'!$Y$148="DIFFUSION",'10_Analysis_Ready'!$Z$148="YES"),AND('10_Analysis_Ready'!$Y$148="GAN+DIFFUSION",OR('10_Analysis_Ready'!$Z$148&lt;&gt;"YES",'10_Analysis_Ready'!$AA$148&lt;&gt;"YES"))),1,0))</f>
        <v>0</v>
      </c>
      <c r="H165">
        <f>IF('10_Analysis_Ready'!$A$148="",0,IF(OR(AND('10_Analysis_Ready'!$BJ$148="NO",OR('10_Analysis_Ready'!$BK$148="HIGH",'10_Analysis_Ready'!$BK$148="VERY HIGH")),AND(((OR('10_Analysis_Ready'!$AG$148="YES",'10_Analysis_Ready'!$AH$148="YES"))*1+('10_Analysis_Ready'!$AI$148="YES")+('10_Analysis_Ready'!$AJ$148="YES")+('10_Analysis_Ready'!$AK$148="YES")+('10_Analysis_Ready'!$AL$148="YES"))=0,'10_Analysis_Ready'!$BJ$148="YES")),1,0))</f>
        <v>0</v>
      </c>
      <c r="I165">
        <f>IF('10_Analysis_Ready'!$A$148="",0,IF(AND(((OR('10_Analysis_Ready'!$AG$148="YES",'10_Analysis_Ready'!$AH$148="YES"))*1+('10_Analysis_Ready'!$AI$148="YES")+('10_Analysis_Ready'!$AJ$148="YES")+('10_Analysis_Ready'!$AK$148="YES")+('10_Analysis_Ready'!$AL$148="YES"))=0,'10_Analysis_Ready'!$AM$148&lt;&gt;"N/A"),1,0))</f>
        <v>0</v>
      </c>
      <c r="J165">
        <f>IF('10_Analysis_Ready'!$A$148="",0,IF(('28_Taxonomy_Coding'!$G$148="NONE")&lt;&gt;(((OR('10_Analysis_Ready'!$AG$148="YES",'10_Analysis_Ready'!$AH$148="YES"))*1+('10_Analysis_Ready'!$AI$148="YES")+('10_Analysis_Ready'!$AJ$148="YES")+('10_Analysis_Ready'!$AK$148="YES")+('10_Analysis_Ready'!$AL$148="YES"))=0),1,0))</f>
        <v>0</v>
      </c>
    </row>
    <row r="166" spans="1:10">
      <c r="A166">
        <v>149</v>
      </c>
      <c r="B166" t="str">
        <f>IF('10_Analysis_Ready'!$A$149="","",'10_Analysis_Ready'!$A$149)</f>
        <v/>
      </c>
      <c r="C166">
        <f>IF('10_Analysis_Ready'!$A$149="",0,IF(AND('28_Taxonomy_Coding'!$A$149='10_Analysis_Ready'!$A$149,'14_Generalization_Map'!$A$149='10_Analysis_Ready'!$A$149),0,1))</f>
        <v>0</v>
      </c>
      <c r="D166">
        <f>IF('10_Analysis_Ready'!$A$149="",0,IF(COUNTIFS('06_Full_Text_Screening'!$A:$A,'10_Analysis_Ready'!$A$149,'06_Full_Text_Screening'!$J:$J,"INCLUDE")=1,0,1))</f>
        <v>0</v>
      </c>
      <c r="E166">
        <f>IF('10_Analysis_Ready'!$A$149="",0,IF(OR(AND(((OR('10_Analysis_Ready'!$AG$149="YES",'10_Analysis_Ready'!$AH$149="YES"))*1+('10_Analysis_Ready'!$AI$149="YES")+('10_Analysis_Ready'!$AJ$149="YES")+('10_Analysis_Ready'!$AK$149="YES")+('10_Analysis_Ready'!$AL$149="YES"))=0,'10_Analysis_Ready'!$AF$149&lt;&gt;"NONE"),AND(((OR('10_Analysis_Ready'!$AG$149="YES",'10_Analysis_Ready'!$AH$149="YES"))*1+('10_Analysis_Ready'!$AI$149="YES")+('10_Analysis_Ready'!$AJ$149="YES")+('10_Analysis_Ready'!$AK$149="YES")+('10_Analysis_Ready'!$AL$149="YES"))=1,OR('10_Analysis_Ready'!$AF$149="NONE",'10_Analysis_Ready'!$AF$149="MULTIPLE")),AND(((OR('10_Analysis_Ready'!$AG$149="YES",'10_Analysis_Ready'!$AH$149="YES"))*1+('10_Analysis_Ready'!$AI$149="YES")+('10_Analysis_Ready'!$AJ$149="YES")+('10_Analysis_Ready'!$AK$149="YES")+('10_Analysis_Ready'!$AL$149="YES"))&gt;=2,'10_Analysis_Ready'!$AF$149&lt;&gt;"MULTIPLE")),1,0))</f>
        <v>0</v>
      </c>
      <c r="F166">
        <f>IF('10_Analysis_Ready'!$A$149="",0,IF(AND('10_Analysis_Ready'!$AO$149="NO",COUNTIF('10_Analysis_Ready'!$AP$149:$AU$149,"YES")&gt;0),1,0))</f>
        <v>0</v>
      </c>
      <c r="G166">
        <f>IF('10_Analysis_Ready'!$A$149="",0,IF(OR(AND('10_Analysis_Ready'!$Y$149="GAN",'10_Analysis_Ready'!$AA$149="YES"),AND('10_Analysis_Ready'!$Y$149="DIFFUSION",'10_Analysis_Ready'!$Z$149="YES"),AND('10_Analysis_Ready'!$Y$149="GAN+DIFFUSION",OR('10_Analysis_Ready'!$Z$149&lt;&gt;"YES",'10_Analysis_Ready'!$AA$149&lt;&gt;"YES"))),1,0))</f>
        <v>0</v>
      </c>
      <c r="H166">
        <f>IF('10_Analysis_Ready'!$A$149="",0,IF(OR(AND('10_Analysis_Ready'!$BJ$149="NO",OR('10_Analysis_Ready'!$BK$149="HIGH",'10_Analysis_Ready'!$BK$149="VERY HIGH")),AND(((OR('10_Analysis_Ready'!$AG$149="YES",'10_Analysis_Ready'!$AH$149="YES"))*1+('10_Analysis_Ready'!$AI$149="YES")+('10_Analysis_Ready'!$AJ$149="YES")+('10_Analysis_Ready'!$AK$149="YES")+('10_Analysis_Ready'!$AL$149="YES"))=0,'10_Analysis_Ready'!$BJ$149="YES")),1,0))</f>
        <v>0</v>
      </c>
      <c r="I166">
        <f>IF('10_Analysis_Ready'!$A$149="",0,IF(AND(((OR('10_Analysis_Ready'!$AG$149="YES",'10_Analysis_Ready'!$AH$149="YES"))*1+('10_Analysis_Ready'!$AI$149="YES")+('10_Analysis_Ready'!$AJ$149="YES")+('10_Analysis_Ready'!$AK$149="YES")+('10_Analysis_Ready'!$AL$149="YES"))=0,'10_Analysis_Ready'!$AM$149&lt;&gt;"N/A"),1,0))</f>
        <v>0</v>
      </c>
      <c r="J166">
        <f>IF('10_Analysis_Ready'!$A$149="",0,IF(('28_Taxonomy_Coding'!$G$149="NONE")&lt;&gt;(((OR('10_Analysis_Ready'!$AG$149="YES",'10_Analysis_Ready'!$AH$149="YES"))*1+('10_Analysis_Ready'!$AI$149="YES")+('10_Analysis_Ready'!$AJ$149="YES")+('10_Analysis_Ready'!$AK$149="YES")+('10_Analysis_Ready'!$AL$149="YES"))=0),1,0))</f>
        <v>0</v>
      </c>
    </row>
    <row r="167" spans="1:10">
      <c r="A167">
        <v>150</v>
      </c>
      <c r="B167" t="str">
        <f>IF('10_Analysis_Ready'!$A$150="","",'10_Analysis_Ready'!$A$150)</f>
        <v/>
      </c>
      <c r="C167">
        <f>IF('10_Analysis_Ready'!$A$150="",0,IF(AND('28_Taxonomy_Coding'!$A$150='10_Analysis_Ready'!$A$150,'14_Generalization_Map'!$A$150='10_Analysis_Ready'!$A$150),0,1))</f>
        <v>0</v>
      </c>
      <c r="D167">
        <f>IF('10_Analysis_Ready'!$A$150="",0,IF(COUNTIFS('06_Full_Text_Screening'!$A:$A,'10_Analysis_Ready'!$A$150,'06_Full_Text_Screening'!$J:$J,"INCLUDE")=1,0,1))</f>
        <v>0</v>
      </c>
      <c r="E167">
        <f>IF('10_Analysis_Ready'!$A$150="",0,IF(OR(AND(((OR('10_Analysis_Ready'!$AG$150="YES",'10_Analysis_Ready'!$AH$150="YES"))*1+('10_Analysis_Ready'!$AI$150="YES")+('10_Analysis_Ready'!$AJ$150="YES")+('10_Analysis_Ready'!$AK$150="YES")+('10_Analysis_Ready'!$AL$150="YES"))=0,'10_Analysis_Ready'!$AF$150&lt;&gt;"NONE"),AND(((OR('10_Analysis_Ready'!$AG$150="YES",'10_Analysis_Ready'!$AH$150="YES"))*1+('10_Analysis_Ready'!$AI$150="YES")+('10_Analysis_Ready'!$AJ$150="YES")+('10_Analysis_Ready'!$AK$150="YES")+('10_Analysis_Ready'!$AL$150="YES"))=1,OR('10_Analysis_Ready'!$AF$150="NONE",'10_Analysis_Ready'!$AF$150="MULTIPLE")),AND(((OR('10_Analysis_Ready'!$AG$150="YES",'10_Analysis_Ready'!$AH$150="YES"))*1+('10_Analysis_Ready'!$AI$150="YES")+('10_Analysis_Ready'!$AJ$150="YES")+('10_Analysis_Ready'!$AK$150="YES")+('10_Analysis_Ready'!$AL$150="YES"))&gt;=2,'10_Analysis_Ready'!$AF$150&lt;&gt;"MULTIPLE")),1,0))</f>
        <v>0</v>
      </c>
      <c r="F167">
        <f>IF('10_Analysis_Ready'!$A$150="",0,IF(AND('10_Analysis_Ready'!$AO$150="NO",COUNTIF('10_Analysis_Ready'!$AP$150:$AU$150,"YES")&gt;0),1,0))</f>
        <v>0</v>
      </c>
      <c r="G167">
        <f>IF('10_Analysis_Ready'!$A$150="",0,IF(OR(AND('10_Analysis_Ready'!$Y$150="GAN",'10_Analysis_Ready'!$AA$150="YES"),AND('10_Analysis_Ready'!$Y$150="DIFFUSION",'10_Analysis_Ready'!$Z$150="YES"),AND('10_Analysis_Ready'!$Y$150="GAN+DIFFUSION",OR('10_Analysis_Ready'!$Z$150&lt;&gt;"YES",'10_Analysis_Ready'!$AA$150&lt;&gt;"YES"))),1,0))</f>
        <v>0</v>
      </c>
      <c r="H167">
        <f>IF('10_Analysis_Ready'!$A$150="",0,IF(OR(AND('10_Analysis_Ready'!$BJ$150="NO",OR('10_Analysis_Ready'!$BK$150="HIGH",'10_Analysis_Ready'!$BK$150="VERY HIGH")),AND(((OR('10_Analysis_Ready'!$AG$150="YES",'10_Analysis_Ready'!$AH$150="YES"))*1+('10_Analysis_Ready'!$AI$150="YES")+('10_Analysis_Ready'!$AJ$150="YES")+('10_Analysis_Ready'!$AK$150="YES")+('10_Analysis_Ready'!$AL$150="YES"))=0,'10_Analysis_Ready'!$BJ$150="YES")),1,0))</f>
        <v>0</v>
      </c>
      <c r="I167">
        <f>IF('10_Analysis_Ready'!$A$150="",0,IF(AND(((OR('10_Analysis_Ready'!$AG$150="YES",'10_Analysis_Ready'!$AH$150="YES"))*1+('10_Analysis_Ready'!$AI$150="YES")+('10_Analysis_Ready'!$AJ$150="YES")+('10_Analysis_Ready'!$AK$150="YES")+('10_Analysis_Ready'!$AL$150="YES"))=0,'10_Analysis_Ready'!$AM$150&lt;&gt;"N/A"),1,0))</f>
        <v>0</v>
      </c>
      <c r="J167">
        <f>IF('10_Analysis_Ready'!$A$150="",0,IF(('28_Taxonomy_Coding'!$G$150="NONE")&lt;&gt;(((OR('10_Analysis_Ready'!$AG$150="YES",'10_Analysis_Ready'!$AH$150="YES"))*1+('10_Analysis_Ready'!$AI$150="YES")+('10_Analysis_Ready'!$AJ$150="YES")+('10_Analysis_Ready'!$AK$150="YES")+('10_Analysis_Ready'!$AL$150="YES"))=0),1,0))</f>
        <v>0</v>
      </c>
    </row>
    <row r="168" spans="1:10">
      <c r="A168">
        <v>151</v>
      </c>
      <c r="B168" t="str">
        <f>IF('10_Analysis_Ready'!$A$151="","",'10_Analysis_Ready'!$A$151)</f>
        <v/>
      </c>
      <c r="C168">
        <f>IF('10_Analysis_Ready'!$A$151="",0,IF(AND('28_Taxonomy_Coding'!$A$151='10_Analysis_Ready'!$A$151,'14_Generalization_Map'!$A$151='10_Analysis_Ready'!$A$151),0,1))</f>
        <v>0</v>
      </c>
      <c r="D168">
        <f>IF('10_Analysis_Ready'!$A$151="",0,IF(COUNTIFS('06_Full_Text_Screening'!$A:$A,'10_Analysis_Ready'!$A$151,'06_Full_Text_Screening'!$J:$J,"INCLUDE")=1,0,1))</f>
        <v>0</v>
      </c>
      <c r="E168">
        <f>IF('10_Analysis_Ready'!$A$151="",0,IF(OR(AND(((OR('10_Analysis_Ready'!$AG$151="YES",'10_Analysis_Ready'!$AH$151="YES"))*1+('10_Analysis_Ready'!$AI$151="YES")+('10_Analysis_Ready'!$AJ$151="YES")+('10_Analysis_Ready'!$AK$151="YES")+('10_Analysis_Ready'!$AL$151="YES"))=0,'10_Analysis_Ready'!$AF$151&lt;&gt;"NONE"),AND(((OR('10_Analysis_Ready'!$AG$151="YES",'10_Analysis_Ready'!$AH$151="YES"))*1+('10_Analysis_Ready'!$AI$151="YES")+('10_Analysis_Ready'!$AJ$151="YES")+('10_Analysis_Ready'!$AK$151="YES")+('10_Analysis_Ready'!$AL$151="YES"))=1,OR('10_Analysis_Ready'!$AF$151="NONE",'10_Analysis_Ready'!$AF$151="MULTIPLE")),AND(((OR('10_Analysis_Ready'!$AG$151="YES",'10_Analysis_Ready'!$AH$151="YES"))*1+('10_Analysis_Ready'!$AI$151="YES")+('10_Analysis_Ready'!$AJ$151="YES")+('10_Analysis_Ready'!$AK$151="YES")+('10_Analysis_Ready'!$AL$151="YES"))&gt;=2,'10_Analysis_Ready'!$AF$151&lt;&gt;"MULTIPLE")),1,0))</f>
        <v>0</v>
      </c>
      <c r="F168">
        <f>IF('10_Analysis_Ready'!$A$151="",0,IF(AND('10_Analysis_Ready'!$AO$151="NO",COUNTIF('10_Analysis_Ready'!$AP$151:$AU$151,"YES")&gt;0),1,0))</f>
        <v>0</v>
      </c>
      <c r="G168">
        <f>IF('10_Analysis_Ready'!$A$151="",0,IF(OR(AND('10_Analysis_Ready'!$Y$151="GAN",'10_Analysis_Ready'!$AA$151="YES"),AND('10_Analysis_Ready'!$Y$151="DIFFUSION",'10_Analysis_Ready'!$Z$151="YES"),AND('10_Analysis_Ready'!$Y$151="GAN+DIFFUSION",OR('10_Analysis_Ready'!$Z$151&lt;&gt;"YES",'10_Analysis_Ready'!$AA$151&lt;&gt;"YES"))),1,0))</f>
        <v>0</v>
      </c>
      <c r="H168">
        <f>IF('10_Analysis_Ready'!$A$151="",0,IF(OR(AND('10_Analysis_Ready'!$BJ$151="NO",OR('10_Analysis_Ready'!$BK$151="HIGH",'10_Analysis_Ready'!$BK$151="VERY HIGH")),AND(((OR('10_Analysis_Ready'!$AG$151="YES",'10_Analysis_Ready'!$AH$151="YES"))*1+('10_Analysis_Ready'!$AI$151="YES")+('10_Analysis_Ready'!$AJ$151="YES")+('10_Analysis_Ready'!$AK$151="YES")+('10_Analysis_Ready'!$AL$151="YES"))=0,'10_Analysis_Ready'!$BJ$151="YES")),1,0))</f>
        <v>0</v>
      </c>
      <c r="I168">
        <f>IF('10_Analysis_Ready'!$A$151="",0,IF(AND(((OR('10_Analysis_Ready'!$AG$151="YES",'10_Analysis_Ready'!$AH$151="YES"))*1+('10_Analysis_Ready'!$AI$151="YES")+('10_Analysis_Ready'!$AJ$151="YES")+('10_Analysis_Ready'!$AK$151="YES")+('10_Analysis_Ready'!$AL$151="YES"))=0,'10_Analysis_Ready'!$AM$151&lt;&gt;"N/A"),1,0))</f>
        <v>0</v>
      </c>
      <c r="J168">
        <f>IF('10_Analysis_Ready'!$A$151="",0,IF(('28_Taxonomy_Coding'!$G$151="NONE")&lt;&gt;(((OR('10_Analysis_Ready'!$AG$151="YES",'10_Analysis_Ready'!$AH$151="YES"))*1+('10_Analysis_Ready'!$AI$151="YES")+('10_Analysis_Ready'!$AJ$151="YES")+('10_Analysis_Ready'!$AK$151="YES")+('10_Analysis_Ready'!$AL$151="YES"))=0),1,0))</f>
        <v>0</v>
      </c>
    </row>
    <row r="169" spans="1:10">
      <c r="A169">
        <v>152</v>
      </c>
      <c r="B169" t="str">
        <f>IF('10_Analysis_Ready'!$A$152="","",'10_Analysis_Ready'!$A$152)</f>
        <v/>
      </c>
      <c r="C169">
        <f>IF('10_Analysis_Ready'!$A$152="",0,IF(AND('28_Taxonomy_Coding'!$A$152='10_Analysis_Ready'!$A$152,'14_Generalization_Map'!$A$152='10_Analysis_Ready'!$A$152),0,1))</f>
        <v>0</v>
      </c>
      <c r="D169">
        <f>IF('10_Analysis_Ready'!$A$152="",0,IF(COUNTIFS('06_Full_Text_Screening'!$A:$A,'10_Analysis_Ready'!$A$152,'06_Full_Text_Screening'!$J:$J,"INCLUDE")=1,0,1))</f>
        <v>0</v>
      </c>
      <c r="E169">
        <f>IF('10_Analysis_Ready'!$A$152="",0,IF(OR(AND(((OR('10_Analysis_Ready'!$AG$152="YES",'10_Analysis_Ready'!$AH$152="YES"))*1+('10_Analysis_Ready'!$AI$152="YES")+('10_Analysis_Ready'!$AJ$152="YES")+('10_Analysis_Ready'!$AK$152="YES")+('10_Analysis_Ready'!$AL$152="YES"))=0,'10_Analysis_Ready'!$AF$152&lt;&gt;"NONE"),AND(((OR('10_Analysis_Ready'!$AG$152="YES",'10_Analysis_Ready'!$AH$152="YES"))*1+('10_Analysis_Ready'!$AI$152="YES")+('10_Analysis_Ready'!$AJ$152="YES")+('10_Analysis_Ready'!$AK$152="YES")+('10_Analysis_Ready'!$AL$152="YES"))=1,OR('10_Analysis_Ready'!$AF$152="NONE",'10_Analysis_Ready'!$AF$152="MULTIPLE")),AND(((OR('10_Analysis_Ready'!$AG$152="YES",'10_Analysis_Ready'!$AH$152="YES"))*1+('10_Analysis_Ready'!$AI$152="YES")+('10_Analysis_Ready'!$AJ$152="YES")+('10_Analysis_Ready'!$AK$152="YES")+('10_Analysis_Ready'!$AL$152="YES"))&gt;=2,'10_Analysis_Ready'!$AF$152&lt;&gt;"MULTIPLE")),1,0))</f>
        <v>0</v>
      </c>
      <c r="F169">
        <f>IF('10_Analysis_Ready'!$A$152="",0,IF(AND('10_Analysis_Ready'!$AO$152="NO",COUNTIF('10_Analysis_Ready'!$AP$152:$AU$152,"YES")&gt;0),1,0))</f>
        <v>0</v>
      </c>
      <c r="G169">
        <f>IF('10_Analysis_Ready'!$A$152="",0,IF(OR(AND('10_Analysis_Ready'!$Y$152="GAN",'10_Analysis_Ready'!$AA$152="YES"),AND('10_Analysis_Ready'!$Y$152="DIFFUSION",'10_Analysis_Ready'!$Z$152="YES"),AND('10_Analysis_Ready'!$Y$152="GAN+DIFFUSION",OR('10_Analysis_Ready'!$Z$152&lt;&gt;"YES",'10_Analysis_Ready'!$AA$152&lt;&gt;"YES"))),1,0))</f>
        <v>0</v>
      </c>
      <c r="H169">
        <f>IF('10_Analysis_Ready'!$A$152="",0,IF(OR(AND('10_Analysis_Ready'!$BJ$152="NO",OR('10_Analysis_Ready'!$BK$152="HIGH",'10_Analysis_Ready'!$BK$152="VERY HIGH")),AND(((OR('10_Analysis_Ready'!$AG$152="YES",'10_Analysis_Ready'!$AH$152="YES"))*1+('10_Analysis_Ready'!$AI$152="YES")+('10_Analysis_Ready'!$AJ$152="YES")+('10_Analysis_Ready'!$AK$152="YES")+('10_Analysis_Ready'!$AL$152="YES"))=0,'10_Analysis_Ready'!$BJ$152="YES")),1,0))</f>
        <v>0</v>
      </c>
      <c r="I169">
        <f>IF('10_Analysis_Ready'!$A$152="",0,IF(AND(((OR('10_Analysis_Ready'!$AG$152="YES",'10_Analysis_Ready'!$AH$152="YES"))*1+('10_Analysis_Ready'!$AI$152="YES")+('10_Analysis_Ready'!$AJ$152="YES")+('10_Analysis_Ready'!$AK$152="YES")+('10_Analysis_Ready'!$AL$152="YES"))=0,'10_Analysis_Ready'!$AM$152&lt;&gt;"N/A"),1,0))</f>
        <v>0</v>
      </c>
      <c r="J169">
        <f>IF('10_Analysis_Ready'!$A$152="",0,IF(('28_Taxonomy_Coding'!$G$152="NONE")&lt;&gt;(((OR('10_Analysis_Ready'!$AG$152="YES",'10_Analysis_Ready'!$AH$152="YES"))*1+('10_Analysis_Ready'!$AI$152="YES")+('10_Analysis_Ready'!$AJ$152="YES")+('10_Analysis_Ready'!$AK$152="YES")+('10_Analysis_Ready'!$AL$152="YES"))=0),1,0))</f>
        <v>0</v>
      </c>
    </row>
    <row r="170" spans="1:10">
      <c r="A170">
        <v>153</v>
      </c>
      <c r="B170" t="str">
        <f>IF('10_Analysis_Ready'!$A$153="","",'10_Analysis_Ready'!$A$153)</f>
        <v/>
      </c>
      <c r="C170">
        <f>IF('10_Analysis_Ready'!$A$153="",0,IF(AND('28_Taxonomy_Coding'!$A$153='10_Analysis_Ready'!$A$153,'14_Generalization_Map'!$A$153='10_Analysis_Ready'!$A$153),0,1))</f>
        <v>0</v>
      </c>
      <c r="D170">
        <f>IF('10_Analysis_Ready'!$A$153="",0,IF(COUNTIFS('06_Full_Text_Screening'!$A:$A,'10_Analysis_Ready'!$A$153,'06_Full_Text_Screening'!$J:$J,"INCLUDE")=1,0,1))</f>
        <v>0</v>
      </c>
      <c r="E170">
        <f>IF('10_Analysis_Ready'!$A$153="",0,IF(OR(AND(((OR('10_Analysis_Ready'!$AG$153="YES",'10_Analysis_Ready'!$AH$153="YES"))*1+('10_Analysis_Ready'!$AI$153="YES")+('10_Analysis_Ready'!$AJ$153="YES")+('10_Analysis_Ready'!$AK$153="YES")+('10_Analysis_Ready'!$AL$153="YES"))=0,'10_Analysis_Ready'!$AF$153&lt;&gt;"NONE"),AND(((OR('10_Analysis_Ready'!$AG$153="YES",'10_Analysis_Ready'!$AH$153="YES"))*1+('10_Analysis_Ready'!$AI$153="YES")+('10_Analysis_Ready'!$AJ$153="YES")+('10_Analysis_Ready'!$AK$153="YES")+('10_Analysis_Ready'!$AL$153="YES"))=1,OR('10_Analysis_Ready'!$AF$153="NONE",'10_Analysis_Ready'!$AF$153="MULTIPLE")),AND(((OR('10_Analysis_Ready'!$AG$153="YES",'10_Analysis_Ready'!$AH$153="YES"))*1+('10_Analysis_Ready'!$AI$153="YES")+('10_Analysis_Ready'!$AJ$153="YES")+('10_Analysis_Ready'!$AK$153="YES")+('10_Analysis_Ready'!$AL$153="YES"))&gt;=2,'10_Analysis_Ready'!$AF$153&lt;&gt;"MULTIPLE")),1,0))</f>
        <v>0</v>
      </c>
      <c r="F170">
        <f>IF('10_Analysis_Ready'!$A$153="",0,IF(AND('10_Analysis_Ready'!$AO$153="NO",COUNTIF('10_Analysis_Ready'!$AP$153:$AU$153,"YES")&gt;0),1,0))</f>
        <v>0</v>
      </c>
      <c r="G170">
        <f>IF('10_Analysis_Ready'!$A$153="",0,IF(OR(AND('10_Analysis_Ready'!$Y$153="GAN",'10_Analysis_Ready'!$AA$153="YES"),AND('10_Analysis_Ready'!$Y$153="DIFFUSION",'10_Analysis_Ready'!$Z$153="YES"),AND('10_Analysis_Ready'!$Y$153="GAN+DIFFUSION",OR('10_Analysis_Ready'!$Z$153&lt;&gt;"YES",'10_Analysis_Ready'!$AA$153&lt;&gt;"YES"))),1,0))</f>
        <v>0</v>
      </c>
      <c r="H170">
        <f>IF('10_Analysis_Ready'!$A$153="",0,IF(OR(AND('10_Analysis_Ready'!$BJ$153="NO",OR('10_Analysis_Ready'!$BK$153="HIGH",'10_Analysis_Ready'!$BK$153="VERY HIGH")),AND(((OR('10_Analysis_Ready'!$AG$153="YES",'10_Analysis_Ready'!$AH$153="YES"))*1+('10_Analysis_Ready'!$AI$153="YES")+('10_Analysis_Ready'!$AJ$153="YES")+('10_Analysis_Ready'!$AK$153="YES")+('10_Analysis_Ready'!$AL$153="YES"))=0,'10_Analysis_Ready'!$BJ$153="YES")),1,0))</f>
        <v>0</v>
      </c>
      <c r="I170">
        <f>IF('10_Analysis_Ready'!$A$153="",0,IF(AND(((OR('10_Analysis_Ready'!$AG$153="YES",'10_Analysis_Ready'!$AH$153="YES"))*1+('10_Analysis_Ready'!$AI$153="YES")+('10_Analysis_Ready'!$AJ$153="YES")+('10_Analysis_Ready'!$AK$153="YES")+('10_Analysis_Ready'!$AL$153="YES"))=0,'10_Analysis_Ready'!$AM$153&lt;&gt;"N/A"),1,0))</f>
        <v>0</v>
      </c>
      <c r="J170">
        <f>IF('10_Analysis_Ready'!$A$153="",0,IF(('28_Taxonomy_Coding'!$G$153="NONE")&lt;&gt;(((OR('10_Analysis_Ready'!$AG$153="YES",'10_Analysis_Ready'!$AH$153="YES"))*1+('10_Analysis_Ready'!$AI$153="YES")+('10_Analysis_Ready'!$AJ$153="YES")+('10_Analysis_Ready'!$AK$153="YES")+('10_Analysis_Ready'!$AL$153="YES"))=0),1,0))</f>
        <v>0</v>
      </c>
    </row>
    <row r="171" spans="1:10">
      <c r="A171">
        <v>154</v>
      </c>
      <c r="B171" t="str">
        <f>IF('10_Analysis_Ready'!$A$154="","",'10_Analysis_Ready'!$A$154)</f>
        <v/>
      </c>
      <c r="C171">
        <f>IF('10_Analysis_Ready'!$A$154="",0,IF(AND('28_Taxonomy_Coding'!$A$154='10_Analysis_Ready'!$A$154,'14_Generalization_Map'!$A$154='10_Analysis_Ready'!$A$154),0,1))</f>
        <v>0</v>
      </c>
      <c r="D171">
        <f>IF('10_Analysis_Ready'!$A$154="",0,IF(COUNTIFS('06_Full_Text_Screening'!$A:$A,'10_Analysis_Ready'!$A$154,'06_Full_Text_Screening'!$J:$J,"INCLUDE")=1,0,1))</f>
        <v>0</v>
      </c>
      <c r="E171">
        <f>IF('10_Analysis_Ready'!$A$154="",0,IF(OR(AND(((OR('10_Analysis_Ready'!$AG$154="YES",'10_Analysis_Ready'!$AH$154="YES"))*1+('10_Analysis_Ready'!$AI$154="YES")+('10_Analysis_Ready'!$AJ$154="YES")+('10_Analysis_Ready'!$AK$154="YES")+('10_Analysis_Ready'!$AL$154="YES"))=0,'10_Analysis_Ready'!$AF$154&lt;&gt;"NONE"),AND(((OR('10_Analysis_Ready'!$AG$154="YES",'10_Analysis_Ready'!$AH$154="YES"))*1+('10_Analysis_Ready'!$AI$154="YES")+('10_Analysis_Ready'!$AJ$154="YES")+('10_Analysis_Ready'!$AK$154="YES")+('10_Analysis_Ready'!$AL$154="YES"))=1,OR('10_Analysis_Ready'!$AF$154="NONE",'10_Analysis_Ready'!$AF$154="MULTIPLE")),AND(((OR('10_Analysis_Ready'!$AG$154="YES",'10_Analysis_Ready'!$AH$154="YES"))*1+('10_Analysis_Ready'!$AI$154="YES")+('10_Analysis_Ready'!$AJ$154="YES")+('10_Analysis_Ready'!$AK$154="YES")+('10_Analysis_Ready'!$AL$154="YES"))&gt;=2,'10_Analysis_Ready'!$AF$154&lt;&gt;"MULTIPLE")),1,0))</f>
        <v>0</v>
      </c>
      <c r="F171">
        <f>IF('10_Analysis_Ready'!$A$154="",0,IF(AND('10_Analysis_Ready'!$AO$154="NO",COUNTIF('10_Analysis_Ready'!$AP$154:$AU$154,"YES")&gt;0),1,0))</f>
        <v>0</v>
      </c>
      <c r="G171">
        <f>IF('10_Analysis_Ready'!$A$154="",0,IF(OR(AND('10_Analysis_Ready'!$Y$154="GAN",'10_Analysis_Ready'!$AA$154="YES"),AND('10_Analysis_Ready'!$Y$154="DIFFUSION",'10_Analysis_Ready'!$Z$154="YES"),AND('10_Analysis_Ready'!$Y$154="GAN+DIFFUSION",OR('10_Analysis_Ready'!$Z$154&lt;&gt;"YES",'10_Analysis_Ready'!$AA$154&lt;&gt;"YES"))),1,0))</f>
        <v>0</v>
      </c>
      <c r="H171">
        <f>IF('10_Analysis_Ready'!$A$154="",0,IF(OR(AND('10_Analysis_Ready'!$BJ$154="NO",OR('10_Analysis_Ready'!$BK$154="HIGH",'10_Analysis_Ready'!$BK$154="VERY HIGH")),AND(((OR('10_Analysis_Ready'!$AG$154="YES",'10_Analysis_Ready'!$AH$154="YES"))*1+('10_Analysis_Ready'!$AI$154="YES")+('10_Analysis_Ready'!$AJ$154="YES")+('10_Analysis_Ready'!$AK$154="YES")+('10_Analysis_Ready'!$AL$154="YES"))=0,'10_Analysis_Ready'!$BJ$154="YES")),1,0))</f>
        <v>0</v>
      </c>
      <c r="I171">
        <f>IF('10_Analysis_Ready'!$A$154="",0,IF(AND(((OR('10_Analysis_Ready'!$AG$154="YES",'10_Analysis_Ready'!$AH$154="YES"))*1+('10_Analysis_Ready'!$AI$154="YES")+('10_Analysis_Ready'!$AJ$154="YES")+('10_Analysis_Ready'!$AK$154="YES")+('10_Analysis_Ready'!$AL$154="YES"))=0,'10_Analysis_Ready'!$AM$154&lt;&gt;"N/A"),1,0))</f>
        <v>0</v>
      </c>
      <c r="J171">
        <f>IF('10_Analysis_Ready'!$A$154="",0,IF(('28_Taxonomy_Coding'!$G$154="NONE")&lt;&gt;(((OR('10_Analysis_Ready'!$AG$154="YES",'10_Analysis_Ready'!$AH$154="YES"))*1+('10_Analysis_Ready'!$AI$154="YES")+('10_Analysis_Ready'!$AJ$154="YES")+('10_Analysis_Ready'!$AK$154="YES")+('10_Analysis_Ready'!$AL$154="YES"))=0),1,0))</f>
        <v>0</v>
      </c>
    </row>
    <row r="172" spans="1:10">
      <c r="A172">
        <v>155</v>
      </c>
      <c r="B172" t="str">
        <f>IF('10_Analysis_Ready'!$A$155="","",'10_Analysis_Ready'!$A$155)</f>
        <v/>
      </c>
      <c r="C172">
        <f>IF('10_Analysis_Ready'!$A$155="",0,IF(AND('28_Taxonomy_Coding'!$A$155='10_Analysis_Ready'!$A$155,'14_Generalization_Map'!$A$155='10_Analysis_Ready'!$A$155),0,1))</f>
        <v>0</v>
      </c>
      <c r="D172">
        <f>IF('10_Analysis_Ready'!$A$155="",0,IF(COUNTIFS('06_Full_Text_Screening'!$A:$A,'10_Analysis_Ready'!$A$155,'06_Full_Text_Screening'!$J:$J,"INCLUDE")=1,0,1))</f>
        <v>0</v>
      </c>
      <c r="E172">
        <f>IF('10_Analysis_Ready'!$A$155="",0,IF(OR(AND(((OR('10_Analysis_Ready'!$AG$155="YES",'10_Analysis_Ready'!$AH$155="YES"))*1+('10_Analysis_Ready'!$AI$155="YES")+('10_Analysis_Ready'!$AJ$155="YES")+('10_Analysis_Ready'!$AK$155="YES")+('10_Analysis_Ready'!$AL$155="YES"))=0,'10_Analysis_Ready'!$AF$155&lt;&gt;"NONE"),AND(((OR('10_Analysis_Ready'!$AG$155="YES",'10_Analysis_Ready'!$AH$155="YES"))*1+('10_Analysis_Ready'!$AI$155="YES")+('10_Analysis_Ready'!$AJ$155="YES")+('10_Analysis_Ready'!$AK$155="YES")+('10_Analysis_Ready'!$AL$155="YES"))=1,OR('10_Analysis_Ready'!$AF$155="NONE",'10_Analysis_Ready'!$AF$155="MULTIPLE")),AND(((OR('10_Analysis_Ready'!$AG$155="YES",'10_Analysis_Ready'!$AH$155="YES"))*1+('10_Analysis_Ready'!$AI$155="YES")+('10_Analysis_Ready'!$AJ$155="YES")+('10_Analysis_Ready'!$AK$155="YES")+('10_Analysis_Ready'!$AL$155="YES"))&gt;=2,'10_Analysis_Ready'!$AF$155&lt;&gt;"MULTIPLE")),1,0))</f>
        <v>0</v>
      </c>
      <c r="F172">
        <f>IF('10_Analysis_Ready'!$A$155="",0,IF(AND('10_Analysis_Ready'!$AO$155="NO",COUNTIF('10_Analysis_Ready'!$AP$155:$AU$155,"YES")&gt;0),1,0))</f>
        <v>0</v>
      </c>
      <c r="G172">
        <f>IF('10_Analysis_Ready'!$A$155="",0,IF(OR(AND('10_Analysis_Ready'!$Y$155="GAN",'10_Analysis_Ready'!$AA$155="YES"),AND('10_Analysis_Ready'!$Y$155="DIFFUSION",'10_Analysis_Ready'!$Z$155="YES"),AND('10_Analysis_Ready'!$Y$155="GAN+DIFFUSION",OR('10_Analysis_Ready'!$Z$155&lt;&gt;"YES",'10_Analysis_Ready'!$AA$155&lt;&gt;"YES"))),1,0))</f>
        <v>0</v>
      </c>
      <c r="H172">
        <f>IF('10_Analysis_Ready'!$A$155="",0,IF(OR(AND('10_Analysis_Ready'!$BJ$155="NO",OR('10_Analysis_Ready'!$BK$155="HIGH",'10_Analysis_Ready'!$BK$155="VERY HIGH")),AND(((OR('10_Analysis_Ready'!$AG$155="YES",'10_Analysis_Ready'!$AH$155="YES"))*1+('10_Analysis_Ready'!$AI$155="YES")+('10_Analysis_Ready'!$AJ$155="YES")+('10_Analysis_Ready'!$AK$155="YES")+('10_Analysis_Ready'!$AL$155="YES"))=0,'10_Analysis_Ready'!$BJ$155="YES")),1,0))</f>
        <v>0</v>
      </c>
      <c r="I172">
        <f>IF('10_Analysis_Ready'!$A$155="",0,IF(AND(((OR('10_Analysis_Ready'!$AG$155="YES",'10_Analysis_Ready'!$AH$155="YES"))*1+('10_Analysis_Ready'!$AI$155="YES")+('10_Analysis_Ready'!$AJ$155="YES")+('10_Analysis_Ready'!$AK$155="YES")+('10_Analysis_Ready'!$AL$155="YES"))=0,'10_Analysis_Ready'!$AM$155&lt;&gt;"N/A"),1,0))</f>
        <v>0</v>
      </c>
      <c r="J172">
        <f>IF('10_Analysis_Ready'!$A$155="",0,IF(('28_Taxonomy_Coding'!$G$155="NONE")&lt;&gt;(((OR('10_Analysis_Ready'!$AG$155="YES",'10_Analysis_Ready'!$AH$155="YES"))*1+('10_Analysis_Ready'!$AI$155="YES")+('10_Analysis_Ready'!$AJ$155="YES")+('10_Analysis_Ready'!$AK$155="YES")+('10_Analysis_Ready'!$AL$155="YES"))=0),1,0))</f>
        <v>0</v>
      </c>
    </row>
    <row r="173" spans="1:10">
      <c r="A173">
        <v>156</v>
      </c>
      <c r="B173" t="str">
        <f>IF('10_Analysis_Ready'!$A$156="","",'10_Analysis_Ready'!$A$156)</f>
        <v/>
      </c>
      <c r="C173">
        <f>IF('10_Analysis_Ready'!$A$156="",0,IF(AND('28_Taxonomy_Coding'!$A$156='10_Analysis_Ready'!$A$156,'14_Generalization_Map'!$A$156='10_Analysis_Ready'!$A$156),0,1))</f>
        <v>0</v>
      </c>
      <c r="D173">
        <f>IF('10_Analysis_Ready'!$A$156="",0,IF(COUNTIFS('06_Full_Text_Screening'!$A:$A,'10_Analysis_Ready'!$A$156,'06_Full_Text_Screening'!$J:$J,"INCLUDE")=1,0,1))</f>
        <v>0</v>
      </c>
      <c r="E173">
        <f>IF('10_Analysis_Ready'!$A$156="",0,IF(OR(AND(((OR('10_Analysis_Ready'!$AG$156="YES",'10_Analysis_Ready'!$AH$156="YES"))*1+('10_Analysis_Ready'!$AI$156="YES")+('10_Analysis_Ready'!$AJ$156="YES")+('10_Analysis_Ready'!$AK$156="YES")+('10_Analysis_Ready'!$AL$156="YES"))=0,'10_Analysis_Ready'!$AF$156&lt;&gt;"NONE"),AND(((OR('10_Analysis_Ready'!$AG$156="YES",'10_Analysis_Ready'!$AH$156="YES"))*1+('10_Analysis_Ready'!$AI$156="YES")+('10_Analysis_Ready'!$AJ$156="YES")+('10_Analysis_Ready'!$AK$156="YES")+('10_Analysis_Ready'!$AL$156="YES"))=1,OR('10_Analysis_Ready'!$AF$156="NONE",'10_Analysis_Ready'!$AF$156="MULTIPLE")),AND(((OR('10_Analysis_Ready'!$AG$156="YES",'10_Analysis_Ready'!$AH$156="YES"))*1+('10_Analysis_Ready'!$AI$156="YES")+('10_Analysis_Ready'!$AJ$156="YES")+('10_Analysis_Ready'!$AK$156="YES")+('10_Analysis_Ready'!$AL$156="YES"))&gt;=2,'10_Analysis_Ready'!$AF$156&lt;&gt;"MULTIPLE")),1,0))</f>
        <v>0</v>
      </c>
      <c r="F173">
        <f>IF('10_Analysis_Ready'!$A$156="",0,IF(AND('10_Analysis_Ready'!$AO$156="NO",COUNTIF('10_Analysis_Ready'!$AP$156:$AU$156,"YES")&gt;0),1,0))</f>
        <v>0</v>
      </c>
      <c r="G173">
        <f>IF('10_Analysis_Ready'!$A$156="",0,IF(OR(AND('10_Analysis_Ready'!$Y$156="GAN",'10_Analysis_Ready'!$AA$156="YES"),AND('10_Analysis_Ready'!$Y$156="DIFFUSION",'10_Analysis_Ready'!$Z$156="YES"),AND('10_Analysis_Ready'!$Y$156="GAN+DIFFUSION",OR('10_Analysis_Ready'!$Z$156&lt;&gt;"YES",'10_Analysis_Ready'!$AA$156&lt;&gt;"YES"))),1,0))</f>
        <v>0</v>
      </c>
      <c r="H173">
        <f>IF('10_Analysis_Ready'!$A$156="",0,IF(OR(AND('10_Analysis_Ready'!$BJ$156="NO",OR('10_Analysis_Ready'!$BK$156="HIGH",'10_Analysis_Ready'!$BK$156="VERY HIGH")),AND(((OR('10_Analysis_Ready'!$AG$156="YES",'10_Analysis_Ready'!$AH$156="YES"))*1+('10_Analysis_Ready'!$AI$156="YES")+('10_Analysis_Ready'!$AJ$156="YES")+('10_Analysis_Ready'!$AK$156="YES")+('10_Analysis_Ready'!$AL$156="YES"))=0,'10_Analysis_Ready'!$BJ$156="YES")),1,0))</f>
        <v>0</v>
      </c>
      <c r="I173">
        <f>IF('10_Analysis_Ready'!$A$156="",0,IF(AND(((OR('10_Analysis_Ready'!$AG$156="YES",'10_Analysis_Ready'!$AH$156="YES"))*1+('10_Analysis_Ready'!$AI$156="YES")+('10_Analysis_Ready'!$AJ$156="YES")+('10_Analysis_Ready'!$AK$156="YES")+('10_Analysis_Ready'!$AL$156="YES"))=0,'10_Analysis_Ready'!$AM$156&lt;&gt;"N/A"),1,0))</f>
        <v>0</v>
      </c>
      <c r="J173">
        <f>IF('10_Analysis_Ready'!$A$156="",0,IF(('28_Taxonomy_Coding'!$G$156="NONE")&lt;&gt;(((OR('10_Analysis_Ready'!$AG$156="YES",'10_Analysis_Ready'!$AH$156="YES"))*1+('10_Analysis_Ready'!$AI$156="YES")+('10_Analysis_Ready'!$AJ$156="YES")+('10_Analysis_Ready'!$AK$156="YES")+('10_Analysis_Ready'!$AL$156="YES"))=0),1,0))</f>
        <v>0</v>
      </c>
    </row>
    <row r="174" spans="1:10">
      <c r="A174">
        <v>157</v>
      </c>
      <c r="B174" t="str">
        <f>IF('10_Analysis_Ready'!$A$157="","",'10_Analysis_Ready'!$A$157)</f>
        <v/>
      </c>
      <c r="C174">
        <f>IF('10_Analysis_Ready'!$A$157="",0,IF(AND('28_Taxonomy_Coding'!$A$157='10_Analysis_Ready'!$A$157,'14_Generalization_Map'!$A$157='10_Analysis_Ready'!$A$157),0,1))</f>
        <v>0</v>
      </c>
      <c r="D174">
        <f>IF('10_Analysis_Ready'!$A$157="",0,IF(COUNTIFS('06_Full_Text_Screening'!$A:$A,'10_Analysis_Ready'!$A$157,'06_Full_Text_Screening'!$J:$J,"INCLUDE")=1,0,1))</f>
        <v>0</v>
      </c>
      <c r="E174">
        <f>IF('10_Analysis_Ready'!$A$157="",0,IF(OR(AND(((OR('10_Analysis_Ready'!$AG$157="YES",'10_Analysis_Ready'!$AH$157="YES"))*1+('10_Analysis_Ready'!$AI$157="YES")+('10_Analysis_Ready'!$AJ$157="YES")+('10_Analysis_Ready'!$AK$157="YES")+('10_Analysis_Ready'!$AL$157="YES"))=0,'10_Analysis_Ready'!$AF$157&lt;&gt;"NONE"),AND(((OR('10_Analysis_Ready'!$AG$157="YES",'10_Analysis_Ready'!$AH$157="YES"))*1+('10_Analysis_Ready'!$AI$157="YES")+('10_Analysis_Ready'!$AJ$157="YES")+('10_Analysis_Ready'!$AK$157="YES")+('10_Analysis_Ready'!$AL$157="YES"))=1,OR('10_Analysis_Ready'!$AF$157="NONE",'10_Analysis_Ready'!$AF$157="MULTIPLE")),AND(((OR('10_Analysis_Ready'!$AG$157="YES",'10_Analysis_Ready'!$AH$157="YES"))*1+('10_Analysis_Ready'!$AI$157="YES")+('10_Analysis_Ready'!$AJ$157="YES")+('10_Analysis_Ready'!$AK$157="YES")+('10_Analysis_Ready'!$AL$157="YES"))&gt;=2,'10_Analysis_Ready'!$AF$157&lt;&gt;"MULTIPLE")),1,0))</f>
        <v>0</v>
      </c>
      <c r="F174">
        <f>IF('10_Analysis_Ready'!$A$157="",0,IF(AND('10_Analysis_Ready'!$AO$157="NO",COUNTIF('10_Analysis_Ready'!$AP$157:$AU$157,"YES")&gt;0),1,0))</f>
        <v>0</v>
      </c>
      <c r="G174">
        <f>IF('10_Analysis_Ready'!$A$157="",0,IF(OR(AND('10_Analysis_Ready'!$Y$157="GAN",'10_Analysis_Ready'!$AA$157="YES"),AND('10_Analysis_Ready'!$Y$157="DIFFUSION",'10_Analysis_Ready'!$Z$157="YES"),AND('10_Analysis_Ready'!$Y$157="GAN+DIFFUSION",OR('10_Analysis_Ready'!$Z$157&lt;&gt;"YES",'10_Analysis_Ready'!$AA$157&lt;&gt;"YES"))),1,0))</f>
        <v>0</v>
      </c>
      <c r="H174">
        <f>IF('10_Analysis_Ready'!$A$157="",0,IF(OR(AND('10_Analysis_Ready'!$BJ$157="NO",OR('10_Analysis_Ready'!$BK$157="HIGH",'10_Analysis_Ready'!$BK$157="VERY HIGH")),AND(((OR('10_Analysis_Ready'!$AG$157="YES",'10_Analysis_Ready'!$AH$157="YES"))*1+('10_Analysis_Ready'!$AI$157="YES")+('10_Analysis_Ready'!$AJ$157="YES")+('10_Analysis_Ready'!$AK$157="YES")+('10_Analysis_Ready'!$AL$157="YES"))=0,'10_Analysis_Ready'!$BJ$157="YES")),1,0))</f>
        <v>0</v>
      </c>
      <c r="I174">
        <f>IF('10_Analysis_Ready'!$A$157="",0,IF(AND(((OR('10_Analysis_Ready'!$AG$157="YES",'10_Analysis_Ready'!$AH$157="YES"))*1+('10_Analysis_Ready'!$AI$157="YES")+('10_Analysis_Ready'!$AJ$157="YES")+('10_Analysis_Ready'!$AK$157="YES")+('10_Analysis_Ready'!$AL$157="YES"))=0,'10_Analysis_Ready'!$AM$157&lt;&gt;"N/A"),1,0))</f>
        <v>0</v>
      </c>
      <c r="J174">
        <f>IF('10_Analysis_Ready'!$A$157="",0,IF(('28_Taxonomy_Coding'!$G$157="NONE")&lt;&gt;(((OR('10_Analysis_Ready'!$AG$157="YES",'10_Analysis_Ready'!$AH$157="YES"))*1+('10_Analysis_Ready'!$AI$157="YES")+('10_Analysis_Ready'!$AJ$157="YES")+('10_Analysis_Ready'!$AK$157="YES")+('10_Analysis_Ready'!$AL$157="YES"))=0),1,0))</f>
        <v>0</v>
      </c>
    </row>
    <row r="175" spans="1:10">
      <c r="A175">
        <v>158</v>
      </c>
      <c r="B175" t="str">
        <f>IF('10_Analysis_Ready'!$A$158="","",'10_Analysis_Ready'!$A$158)</f>
        <v/>
      </c>
      <c r="C175">
        <f>IF('10_Analysis_Ready'!$A$158="",0,IF(AND('28_Taxonomy_Coding'!$A$158='10_Analysis_Ready'!$A$158,'14_Generalization_Map'!$A$158='10_Analysis_Ready'!$A$158),0,1))</f>
        <v>0</v>
      </c>
      <c r="D175">
        <f>IF('10_Analysis_Ready'!$A$158="",0,IF(COUNTIFS('06_Full_Text_Screening'!$A:$A,'10_Analysis_Ready'!$A$158,'06_Full_Text_Screening'!$J:$J,"INCLUDE")=1,0,1))</f>
        <v>0</v>
      </c>
      <c r="E175">
        <f>IF('10_Analysis_Ready'!$A$158="",0,IF(OR(AND(((OR('10_Analysis_Ready'!$AG$158="YES",'10_Analysis_Ready'!$AH$158="YES"))*1+('10_Analysis_Ready'!$AI$158="YES")+('10_Analysis_Ready'!$AJ$158="YES")+('10_Analysis_Ready'!$AK$158="YES")+('10_Analysis_Ready'!$AL$158="YES"))=0,'10_Analysis_Ready'!$AF$158&lt;&gt;"NONE"),AND(((OR('10_Analysis_Ready'!$AG$158="YES",'10_Analysis_Ready'!$AH$158="YES"))*1+('10_Analysis_Ready'!$AI$158="YES")+('10_Analysis_Ready'!$AJ$158="YES")+('10_Analysis_Ready'!$AK$158="YES")+('10_Analysis_Ready'!$AL$158="YES"))=1,OR('10_Analysis_Ready'!$AF$158="NONE",'10_Analysis_Ready'!$AF$158="MULTIPLE")),AND(((OR('10_Analysis_Ready'!$AG$158="YES",'10_Analysis_Ready'!$AH$158="YES"))*1+('10_Analysis_Ready'!$AI$158="YES")+('10_Analysis_Ready'!$AJ$158="YES")+('10_Analysis_Ready'!$AK$158="YES")+('10_Analysis_Ready'!$AL$158="YES"))&gt;=2,'10_Analysis_Ready'!$AF$158&lt;&gt;"MULTIPLE")),1,0))</f>
        <v>0</v>
      </c>
      <c r="F175">
        <f>IF('10_Analysis_Ready'!$A$158="",0,IF(AND('10_Analysis_Ready'!$AO$158="NO",COUNTIF('10_Analysis_Ready'!$AP$158:$AU$158,"YES")&gt;0),1,0))</f>
        <v>0</v>
      </c>
      <c r="G175">
        <f>IF('10_Analysis_Ready'!$A$158="",0,IF(OR(AND('10_Analysis_Ready'!$Y$158="GAN",'10_Analysis_Ready'!$AA$158="YES"),AND('10_Analysis_Ready'!$Y$158="DIFFUSION",'10_Analysis_Ready'!$Z$158="YES"),AND('10_Analysis_Ready'!$Y$158="GAN+DIFFUSION",OR('10_Analysis_Ready'!$Z$158&lt;&gt;"YES",'10_Analysis_Ready'!$AA$158&lt;&gt;"YES"))),1,0))</f>
        <v>0</v>
      </c>
      <c r="H175">
        <f>IF('10_Analysis_Ready'!$A$158="",0,IF(OR(AND('10_Analysis_Ready'!$BJ$158="NO",OR('10_Analysis_Ready'!$BK$158="HIGH",'10_Analysis_Ready'!$BK$158="VERY HIGH")),AND(((OR('10_Analysis_Ready'!$AG$158="YES",'10_Analysis_Ready'!$AH$158="YES"))*1+('10_Analysis_Ready'!$AI$158="YES")+('10_Analysis_Ready'!$AJ$158="YES")+('10_Analysis_Ready'!$AK$158="YES")+('10_Analysis_Ready'!$AL$158="YES"))=0,'10_Analysis_Ready'!$BJ$158="YES")),1,0))</f>
        <v>0</v>
      </c>
      <c r="I175">
        <f>IF('10_Analysis_Ready'!$A$158="",0,IF(AND(((OR('10_Analysis_Ready'!$AG$158="YES",'10_Analysis_Ready'!$AH$158="YES"))*1+('10_Analysis_Ready'!$AI$158="YES")+('10_Analysis_Ready'!$AJ$158="YES")+('10_Analysis_Ready'!$AK$158="YES")+('10_Analysis_Ready'!$AL$158="YES"))=0,'10_Analysis_Ready'!$AM$158&lt;&gt;"N/A"),1,0))</f>
        <v>0</v>
      </c>
      <c r="J175">
        <f>IF('10_Analysis_Ready'!$A$158="",0,IF(('28_Taxonomy_Coding'!$G$158="NONE")&lt;&gt;(((OR('10_Analysis_Ready'!$AG$158="YES",'10_Analysis_Ready'!$AH$158="YES"))*1+('10_Analysis_Ready'!$AI$158="YES")+('10_Analysis_Ready'!$AJ$158="YES")+('10_Analysis_Ready'!$AK$158="YES")+('10_Analysis_Ready'!$AL$158="YES"))=0),1,0))</f>
        <v>0</v>
      </c>
    </row>
    <row r="176" spans="1:10">
      <c r="A176">
        <v>159</v>
      </c>
      <c r="B176" t="str">
        <f>IF('10_Analysis_Ready'!$A$159="","",'10_Analysis_Ready'!$A$159)</f>
        <v/>
      </c>
      <c r="C176">
        <f>IF('10_Analysis_Ready'!$A$159="",0,IF(AND('28_Taxonomy_Coding'!$A$159='10_Analysis_Ready'!$A$159,'14_Generalization_Map'!$A$159='10_Analysis_Ready'!$A$159),0,1))</f>
        <v>0</v>
      </c>
      <c r="D176">
        <f>IF('10_Analysis_Ready'!$A$159="",0,IF(COUNTIFS('06_Full_Text_Screening'!$A:$A,'10_Analysis_Ready'!$A$159,'06_Full_Text_Screening'!$J:$J,"INCLUDE")=1,0,1))</f>
        <v>0</v>
      </c>
      <c r="E176">
        <f>IF('10_Analysis_Ready'!$A$159="",0,IF(OR(AND(((OR('10_Analysis_Ready'!$AG$159="YES",'10_Analysis_Ready'!$AH$159="YES"))*1+('10_Analysis_Ready'!$AI$159="YES")+('10_Analysis_Ready'!$AJ$159="YES")+('10_Analysis_Ready'!$AK$159="YES")+('10_Analysis_Ready'!$AL$159="YES"))=0,'10_Analysis_Ready'!$AF$159&lt;&gt;"NONE"),AND(((OR('10_Analysis_Ready'!$AG$159="YES",'10_Analysis_Ready'!$AH$159="YES"))*1+('10_Analysis_Ready'!$AI$159="YES")+('10_Analysis_Ready'!$AJ$159="YES")+('10_Analysis_Ready'!$AK$159="YES")+('10_Analysis_Ready'!$AL$159="YES"))=1,OR('10_Analysis_Ready'!$AF$159="NONE",'10_Analysis_Ready'!$AF$159="MULTIPLE")),AND(((OR('10_Analysis_Ready'!$AG$159="YES",'10_Analysis_Ready'!$AH$159="YES"))*1+('10_Analysis_Ready'!$AI$159="YES")+('10_Analysis_Ready'!$AJ$159="YES")+('10_Analysis_Ready'!$AK$159="YES")+('10_Analysis_Ready'!$AL$159="YES"))&gt;=2,'10_Analysis_Ready'!$AF$159&lt;&gt;"MULTIPLE")),1,0))</f>
        <v>0</v>
      </c>
      <c r="F176">
        <f>IF('10_Analysis_Ready'!$A$159="",0,IF(AND('10_Analysis_Ready'!$AO$159="NO",COUNTIF('10_Analysis_Ready'!$AP$159:$AU$159,"YES")&gt;0),1,0))</f>
        <v>0</v>
      </c>
      <c r="G176">
        <f>IF('10_Analysis_Ready'!$A$159="",0,IF(OR(AND('10_Analysis_Ready'!$Y$159="GAN",'10_Analysis_Ready'!$AA$159="YES"),AND('10_Analysis_Ready'!$Y$159="DIFFUSION",'10_Analysis_Ready'!$Z$159="YES"),AND('10_Analysis_Ready'!$Y$159="GAN+DIFFUSION",OR('10_Analysis_Ready'!$Z$159&lt;&gt;"YES",'10_Analysis_Ready'!$AA$159&lt;&gt;"YES"))),1,0))</f>
        <v>0</v>
      </c>
      <c r="H176">
        <f>IF('10_Analysis_Ready'!$A$159="",0,IF(OR(AND('10_Analysis_Ready'!$BJ$159="NO",OR('10_Analysis_Ready'!$BK$159="HIGH",'10_Analysis_Ready'!$BK$159="VERY HIGH")),AND(((OR('10_Analysis_Ready'!$AG$159="YES",'10_Analysis_Ready'!$AH$159="YES"))*1+('10_Analysis_Ready'!$AI$159="YES")+('10_Analysis_Ready'!$AJ$159="YES")+('10_Analysis_Ready'!$AK$159="YES")+('10_Analysis_Ready'!$AL$159="YES"))=0,'10_Analysis_Ready'!$BJ$159="YES")),1,0))</f>
        <v>0</v>
      </c>
      <c r="I176">
        <f>IF('10_Analysis_Ready'!$A$159="",0,IF(AND(((OR('10_Analysis_Ready'!$AG$159="YES",'10_Analysis_Ready'!$AH$159="YES"))*1+('10_Analysis_Ready'!$AI$159="YES")+('10_Analysis_Ready'!$AJ$159="YES")+('10_Analysis_Ready'!$AK$159="YES")+('10_Analysis_Ready'!$AL$159="YES"))=0,'10_Analysis_Ready'!$AM$159&lt;&gt;"N/A"),1,0))</f>
        <v>0</v>
      </c>
      <c r="J176">
        <f>IF('10_Analysis_Ready'!$A$159="",0,IF(('28_Taxonomy_Coding'!$G$159="NONE")&lt;&gt;(((OR('10_Analysis_Ready'!$AG$159="YES",'10_Analysis_Ready'!$AH$159="YES"))*1+('10_Analysis_Ready'!$AI$159="YES")+('10_Analysis_Ready'!$AJ$159="YES")+('10_Analysis_Ready'!$AK$159="YES")+('10_Analysis_Ready'!$AL$159="YES"))=0),1,0))</f>
        <v>0</v>
      </c>
    </row>
    <row r="177" spans="1:10">
      <c r="A177">
        <v>160</v>
      </c>
      <c r="B177" t="str">
        <f>IF('10_Analysis_Ready'!$A$160="","",'10_Analysis_Ready'!$A$160)</f>
        <v/>
      </c>
      <c r="C177">
        <f>IF('10_Analysis_Ready'!$A$160="",0,IF(AND('28_Taxonomy_Coding'!$A$160='10_Analysis_Ready'!$A$160,'14_Generalization_Map'!$A$160='10_Analysis_Ready'!$A$160),0,1))</f>
        <v>0</v>
      </c>
      <c r="D177">
        <f>IF('10_Analysis_Ready'!$A$160="",0,IF(COUNTIFS('06_Full_Text_Screening'!$A:$A,'10_Analysis_Ready'!$A$160,'06_Full_Text_Screening'!$J:$J,"INCLUDE")=1,0,1))</f>
        <v>0</v>
      </c>
      <c r="E177">
        <f>IF('10_Analysis_Ready'!$A$160="",0,IF(OR(AND(((OR('10_Analysis_Ready'!$AG$160="YES",'10_Analysis_Ready'!$AH$160="YES"))*1+('10_Analysis_Ready'!$AI$160="YES")+('10_Analysis_Ready'!$AJ$160="YES")+('10_Analysis_Ready'!$AK$160="YES")+('10_Analysis_Ready'!$AL$160="YES"))=0,'10_Analysis_Ready'!$AF$160&lt;&gt;"NONE"),AND(((OR('10_Analysis_Ready'!$AG$160="YES",'10_Analysis_Ready'!$AH$160="YES"))*1+('10_Analysis_Ready'!$AI$160="YES")+('10_Analysis_Ready'!$AJ$160="YES")+('10_Analysis_Ready'!$AK$160="YES")+('10_Analysis_Ready'!$AL$160="YES"))=1,OR('10_Analysis_Ready'!$AF$160="NONE",'10_Analysis_Ready'!$AF$160="MULTIPLE")),AND(((OR('10_Analysis_Ready'!$AG$160="YES",'10_Analysis_Ready'!$AH$160="YES"))*1+('10_Analysis_Ready'!$AI$160="YES")+('10_Analysis_Ready'!$AJ$160="YES")+('10_Analysis_Ready'!$AK$160="YES")+('10_Analysis_Ready'!$AL$160="YES"))&gt;=2,'10_Analysis_Ready'!$AF$160&lt;&gt;"MULTIPLE")),1,0))</f>
        <v>0</v>
      </c>
      <c r="F177">
        <f>IF('10_Analysis_Ready'!$A$160="",0,IF(AND('10_Analysis_Ready'!$AO$160="NO",COUNTIF('10_Analysis_Ready'!$AP$160:$AU$160,"YES")&gt;0),1,0))</f>
        <v>0</v>
      </c>
      <c r="G177">
        <f>IF('10_Analysis_Ready'!$A$160="",0,IF(OR(AND('10_Analysis_Ready'!$Y$160="GAN",'10_Analysis_Ready'!$AA$160="YES"),AND('10_Analysis_Ready'!$Y$160="DIFFUSION",'10_Analysis_Ready'!$Z$160="YES"),AND('10_Analysis_Ready'!$Y$160="GAN+DIFFUSION",OR('10_Analysis_Ready'!$Z$160&lt;&gt;"YES",'10_Analysis_Ready'!$AA$160&lt;&gt;"YES"))),1,0))</f>
        <v>0</v>
      </c>
      <c r="H177">
        <f>IF('10_Analysis_Ready'!$A$160="",0,IF(OR(AND('10_Analysis_Ready'!$BJ$160="NO",OR('10_Analysis_Ready'!$BK$160="HIGH",'10_Analysis_Ready'!$BK$160="VERY HIGH")),AND(((OR('10_Analysis_Ready'!$AG$160="YES",'10_Analysis_Ready'!$AH$160="YES"))*1+('10_Analysis_Ready'!$AI$160="YES")+('10_Analysis_Ready'!$AJ$160="YES")+('10_Analysis_Ready'!$AK$160="YES")+('10_Analysis_Ready'!$AL$160="YES"))=0,'10_Analysis_Ready'!$BJ$160="YES")),1,0))</f>
        <v>0</v>
      </c>
      <c r="I177">
        <f>IF('10_Analysis_Ready'!$A$160="",0,IF(AND(((OR('10_Analysis_Ready'!$AG$160="YES",'10_Analysis_Ready'!$AH$160="YES"))*1+('10_Analysis_Ready'!$AI$160="YES")+('10_Analysis_Ready'!$AJ$160="YES")+('10_Analysis_Ready'!$AK$160="YES")+('10_Analysis_Ready'!$AL$160="YES"))=0,'10_Analysis_Ready'!$AM$160&lt;&gt;"N/A"),1,0))</f>
        <v>0</v>
      </c>
      <c r="J177">
        <f>IF('10_Analysis_Ready'!$A$160="",0,IF(('28_Taxonomy_Coding'!$G$160="NONE")&lt;&gt;(((OR('10_Analysis_Ready'!$AG$160="YES",'10_Analysis_Ready'!$AH$160="YES"))*1+('10_Analysis_Ready'!$AI$160="YES")+('10_Analysis_Ready'!$AJ$160="YES")+('10_Analysis_Ready'!$AK$160="YES")+('10_Analysis_Ready'!$AL$160="YES"))=0),1,0))</f>
        <v>0</v>
      </c>
    </row>
    <row r="178" spans="1:10">
      <c r="A178">
        <v>161</v>
      </c>
      <c r="B178" t="str">
        <f>IF('10_Analysis_Ready'!$A$161="","",'10_Analysis_Ready'!$A$161)</f>
        <v/>
      </c>
      <c r="C178">
        <f>IF('10_Analysis_Ready'!$A$161="",0,IF(AND('28_Taxonomy_Coding'!$A$161='10_Analysis_Ready'!$A$161,'14_Generalization_Map'!$A$161='10_Analysis_Ready'!$A$161),0,1))</f>
        <v>0</v>
      </c>
      <c r="D178">
        <f>IF('10_Analysis_Ready'!$A$161="",0,IF(COUNTIFS('06_Full_Text_Screening'!$A:$A,'10_Analysis_Ready'!$A$161,'06_Full_Text_Screening'!$J:$J,"INCLUDE")=1,0,1))</f>
        <v>0</v>
      </c>
      <c r="E178">
        <f>IF('10_Analysis_Ready'!$A$161="",0,IF(OR(AND(((OR('10_Analysis_Ready'!$AG$161="YES",'10_Analysis_Ready'!$AH$161="YES"))*1+('10_Analysis_Ready'!$AI$161="YES")+('10_Analysis_Ready'!$AJ$161="YES")+('10_Analysis_Ready'!$AK$161="YES")+('10_Analysis_Ready'!$AL$161="YES"))=0,'10_Analysis_Ready'!$AF$161&lt;&gt;"NONE"),AND(((OR('10_Analysis_Ready'!$AG$161="YES",'10_Analysis_Ready'!$AH$161="YES"))*1+('10_Analysis_Ready'!$AI$161="YES")+('10_Analysis_Ready'!$AJ$161="YES")+('10_Analysis_Ready'!$AK$161="YES")+('10_Analysis_Ready'!$AL$161="YES"))=1,OR('10_Analysis_Ready'!$AF$161="NONE",'10_Analysis_Ready'!$AF$161="MULTIPLE")),AND(((OR('10_Analysis_Ready'!$AG$161="YES",'10_Analysis_Ready'!$AH$161="YES"))*1+('10_Analysis_Ready'!$AI$161="YES")+('10_Analysis_Ready'!$AJ$161="YES")+('10_Analysis_Ready'!$AK$161="YES")+('10_Analysis_Ready'!$AL$161="YES"))&gt;=2,'10_Analysis_Ready'!$AF$161&lt;&gt;"MULTIPLE")),1,0))</f>
        <v>0</v>
      </c>
      <c r="F178">
        <f>IF('10_Analysis_Ready'!$A$161="",0,IF(AND('10_Analysis_Ready'!$AO$161="NO",COUNTIF('10_Analysis_Ready'!$AP$161:$AU$161,"YES")&gt;0),1,0))</f>
        <v>0</v>
      </c>
      <c r="G178">
        <f>IF('10_Analysis_Ready'!$A$161="",0,IF(OR(AND('10_Analysis_Ready'!$Y$161="GAN",'10_Analysis_Ready'!$AA$161="YES"),AND('10_Analysis_Ready'!$Y$161="DIFFUSION",'10_Analysis_Ready'!$Z$161="YES"),AND('10_Analysis_Ready'!$Y$161="GAN+DIFFUSION",OR('10_Analysis_Ready'!$Z$161&lt;&gt;"YES",'10_Analysis_Ready'!$AA$161&lt;&gt;"YES"))),1,0))</f>
        <v>0</v>
      </c>
      <c r="H178">
        <f>IF('10_Analysis_Ready'!$A$161="",0,IF(OR(AND('10_Analysis_Ready'!$BJ$161="NO",OR('10_Analysis_Ready'!$BK$161="HIGH",'10_Analysis_Ready'!$BK$161="VERY HIGH")),AND(((OR('10_Analysis_Ready'!$AG$161="YES",'10_Analysis_Ready'!$AH$161="YES"))*1+('10_Analysis_Ready'!$AI$161="YES")+('10_Analysis_Ready'!$AJ$161="YES")+('10_Analysis_Ready'!$AK$161="YES")+('10_Analysis_Ready'!$AL$161="YES"))=0,'10_Analysis_Ready'!$BJ$161="YES")),1,0))</f>
        <v>0</v>
      </c>
      <c r="I178">
        <f>IF('10_Analysis_Ready'!$A$161="",0,IF(AND(((OR('10_Analysis_Ready'!$AG$161="YES",'10_Analysis_Ready'!$AH$161="YES"))*1+('10_Analysis_Ready'!$AI$161="YES")+('10_Analysis_Ready'!$AJ$161="YES")+('10_Analysis_Ready'!$AK$161="YES")+('10_Analysis_Ready'!$AL$161="YES"))=0,'10_Analysis_Ready'!$AM$161&lt;&gt;"N/A"),1,0))</f>
        <v>0</v>
      </c>
      <c r="J178">
        <f>IF('10_Analysis_Ready'!$A$161="",0,IF(('28_Taxonomy_Coding'!$G$161="NONE")&lt;&gt;(((OR('10_Analysis_Ready'!$AG$161="YES",'10_Analysis_Ready'!$AH$161="YES"))*1+('10_Analysis_Ready'!$AI$161="YES")+('10_Analysis_Ready'!$AJ$161="YES")+('10_Analysis_Ready'!$AK$161="YES")+('10_Analysis_Ready'!$AL$161="YES"))=0),1,0))</f>
        <v>0</v>
      </c>
    </row>
    <row r="179" spans="1:10">
      <c r="A179">
        <v>162</v>
      </c>
      <c r="B179" t="str">
        <f>IF('10_Analysis_Ready'!$A$162="","",'10_Analysis_Ready'!$A$162)</f>
        <v/>
      </c>
      <c r="C179">
        <f>IF('10_Analysis_Ready'!$A$162="",0,IF(AND('28_Taxonomy_Coding'!$A$162='10_Analysis_Ready'!$A$162,'14_Generalization_Map'!$A$162='10_Analysis_Ready'!$A$162),0,1))</f>
        <v>0</v>
      </c>
      <c r="D179">
        <f>IF('10_Analysis_Ready'!$A$162="",0,IF(COUNTIFS('06_Full_Text_Screening'!$A:$A,'10_Analysis_Ready'!$A$162,'06_Full_Text_Screening'!$J:$J,"INCLUDE")=1,0,1))</f>
        <v>0</v>
      </c>
      <c r="E179">
        <f>IF('10_Analysis_Ready'!$A$162="",0,IF(OR(AND(((OR('10_Analysis_Ready'!$AG$162="YES",'10_Analysis_Ready'!$AH$162="YES"))*1+('10_Analysis_Ready'!$AI$162="YES")+('10_Analysis_Ready'!$AJ$162="YES")+('10_Analysis_Ready'!$AK$162="YES")+('10_Analysis_Ready'!$AL$162="YES"))=0,'10_Analysis_Ready'!$AF$162&lt;&gt;"NONE"),AND(((OR('10_Analysis_Ready'!$AG$162="YES",'10_Analysis_Ready'!$AH$162="YES"))*1+('10_Analysis_Ready'!$AI$162="YES")+('10_Analysis_Ready'!$AJ$162="YES")+('10_Analysis_Ready'!$AK$162="YES")+('10_Analysis_Ready'!$AL$162="YES"))=1,OR('10_Analysis_Ready'!$AF$162="NONE",'10_Analysis_Ready'!$AF$162="MULTIPLE")),AND(((OR('10_Analysis_Ready'!$AG$162="YES",'10_Analysis_Ready'!$AH$162="YES"))*1+('10_Analysis_Ready'!$AI$162="YES")+('10_Analysis_Ready'!$AJ$162="YES")+('10_Analysis_Ready'!$AK$162="YES")+('10_Analysis_Ready'!$AL$162="YES"))&gt;=2,'10_Analysis_Ready'!$AF$162&lt;&gt;"MULTIPLE")),1,0))</f>
        <v>0</v>
      </c>
      <c r="F179">
        <f>IF('10_Analysis_Ready'!$A$162="",0,IF(AND('10_Analysis_Ready'!$AO$162="NO",COUNTIF('10_Analysis_Ready'!$AP$162:$AU$162,"YES")&gt;0),1,0))</f>
        <v>0</v>
      </c>
      <c r="G179">
        <f>IF('10_Analysis_Ready'!$A$162="",0,IF(OR(AND('10_Analysis_Ready'!$Y$162="GAN",'10_Analysis_Ready'!$AA$162="YES"),AND('10_Analysis_Ready'!$Y$162="DIFFUSION",'10_Analysis_Ready'!$Z$162="YES"),AND('10_Analysis_Ready'!$Y$162="GAN+DIFFUSION",OR('10_Analysis_Ready'!$Z$162&lt;&gt;"YES",'10_Analysis_Ready'!$AA$162&lt;&gt;"YES"))),1,0))</f>
        <v>0</v>
      </c>
      <c r="H179">
        <f>IF('10_Analysis_Ready'!$A$162="",0,IF(OR(AND('10_Analysis_Ready'!$BJ$162="NO",OR('10_Analysis_Ready'!$BK$162="HIGH",'10_Analysis_Ready'!$BK$162="VERY HIGH")),AND(((OR('10_Analysis_Ready'!$AG$162="YES",'10_Analysis_Ready'!$AH$162="YES"))*1+('10_Analysis_Ready'!$AI$162="YES")+('10_Analysis_Ready'!$AJ$162="YES")+('10_Analysis_Ready'!$AK$162="YES")+('10_Analysis_Ready'!$AL$162="YES"))=0,'10_Analysis_Ready'!$BJ$162="YES")),1,0))</f>
        <v>0</v>
      </c>
      <c r="I179">
        <f>IF('10_Analysis_Ready'!$A$162="",0,IF(AND(((OR('10_Analysis_Ready'!$AG$162="YES",'10_Analysis_Ready'!$AH$162="YES"))*1+('10_Analysis_Ready'!$AI$162="YES")+('10_Analysis_Ready'!$AJ$162="YES")+('10_Analysis_Ready'!$AK$162="YES")+('10_Analysis_Ready'!$AL$162="YES"))=0,'10_Analysis_Ready'!$AM$162&lt;&gt;"N/A"),1,0))</f>
        <v>0</v>
      </c>
      <c r="J179">
        <f>IF('10_Analysis_Ready'!$A$162="",0,IF(('28_Taxonomy_Coding'!$G$162="NONE")&lt;&gt;(((OR('10_Analysis_Ready'!$AG$162="YES",'10_Analysis_Ready'!$AH$162="YES"))*1+('10_Analysis_Ready'!$AI$162="YES")+('10_Analysis_Ready'!$AJ$162="YES")+('10_Analysis_Ready'!$AK$162="YES")+('10_Analysis_Ready'!$AL$162="YES"))=0),1,0))</f>
        <v>0</v>
      </c>
    </row>
    <row r="180" spans="1:10">
      <c r="A180">
        <v>163</v>
      </c>
      <c r="B180" t="str">
        <f>IF('10_Analysis_Ready'!$A$163="","",'10_Analysis_Ready'!$A$163)</f>
        <v/>
      </c>
      <c r="C180">
        <f>IF('10_Analysis_Ready'!$A$163="",0,IF(AND('28_Taxonomy_Coding'!$A$163='10_Analysis_Ready'!$A$163,'14_Generalization_Map'!$A$163='10_Analysis_Ready'!$A$163),0,1))</f>
        <v>0</v>
      </c>
      <c r="D180">
        <f>IF('10_Analysis_Ready'!$A$163="",0,IF(COUNTIFS('06_Full_Text_Screening'!$A:$A,'10_Analysis_Ready'!$A$163,'06_Full_Text_Screening'!$J:$J,"INCLUDE")=1,0,1))</f>
        <v>0</v>
      </c>
      <c r="E180">
        <f>IF('10_Analysis_Ready'!$A$163="",0,IF(OR(AND(((OR('10_Analysis_Ready'!$AG$163="YES",'10_Analysis_Ready'!$AH$163="YES"))*1+('10_Analysis_Ready'!$AI$163="YES")+('10_Analysis_Ready'!$AJ$163="YES")+('10_Analysis_Ready'!$AK$163="YES")+('10_Analysis_Ready'!$AL$163="YES"))=0,'10_Analysis_Ready'!$AF$163&lt;&gt;"NONE"),AND(((OR('10_Analysis_Ready'!$AG$163="YES",'10_Analysis_Ready'!$AH$163="YES"))*1+('10_Analysis_Ready'!$AI$163="YES")+('10_Analysis_Ready'!$AJ$163="YES")+('10_Analysis_Ready'!$AK$163="YES")+('10_Analysis_Ready'!$AL$163="YES"))=1,OR('10_Analysis_Ready'!$AF$163="NONE",'10_Analysis_Ready'!$AF$163="MULTIPLE")),AND(((OR('10_Analysis_Ready'!$AG$163="YES",'10_Analysis_Ready'!$AH$163="YES"))*1+('10_Analysis_Ready'!$AI$163="YES")+('10_Analysis_Ready'!$AJ$163="YES")+('10_Analysis_Ready'!$AK$163="YES")+('10_Analysis_Ready'!$AL$163="YES"))&gt;=2,'10_Analysis_Ready'!$AF$163&lt;&gt;"MULTIPLE")),1,0))</f>
        <v>0</v>
      </c>
      <c r="F180">
        <f>IF('10_Analysis_Ready'!$A$163="",0,IF(AND('10_Analysis_Ready'!$AO$163="NO",COUNTIF('10_Analysis_Ready'!$AP$163:$AU$163,"YES")&gt;0),1,0))</f>
        <v>0</v>
      </c>
      <c r="G180">
        <f>IF('10_Analysis_Ready'!$A$163="",0,IF(OR(AND('10_Analysis_Ready'!$Y$163="GAN",'10_Analysis_Ready'!$AA$163="YES"),AND('10_Analysis_Ready'!$Y$163="DIFFUSION",'10_Analysis_Ready'!$Z$163="YES"),AND('10_Analysis_Ready'!$Y$163="GAN+DIFFUSION",OR('10_Analysis_Ready'!$Z$163&lt;&gt;"YES",'10_Analysis_Ready'!$AA$163&lt;&gt;"YES"))),1,0))</f>
        <v>0</v>
      </c>
      <c r="H180">
        <f>IF('10_Analysis_Ready'!$A$163="",0,IF(OR(AND('10_Analysis_Ready'!$BJ$163="NO",OR('10_Analysis_Ready'!$BK$163="HIGH",'10_Analysis_Ready'!$BK$163="VERY HIGH")),AND(((OR('10_Analysis_Ready'!$AG$163="YES",'10_Analysis_Ready'!$AH$163="YES"))*1+('10_Analysis_Ready'!$AI$163="YES")+('10_Analysis_Ready'!$AJ$163="YES")+('10_Analysis_Ready'!$AK$163="YES")+('10_Analysis_Ready'!$AL$163="YES"))=0,'10_Analysis_Ready'!$BJ$163="YES")),1,0))</f>
        <v>0</v>
      </c>
      <c r="I180">
        <f>IF('10_Analysis_Ready'!$A$163="",0,IF(AND(((OR('10_Analysis_Ready'!$AG$163="YES",'10_Analysis_Ready'!$AH$163="YES"))*1+('10_Analysis_Ready'!$AI$163="YES")+('10_Analysis_Ready'!$AJ$163="YES")+('10_Analysis_Ready'!$AK$163="YES")+('10_Analysis_Ready'!$AL$163="YES"))=0,'10_Analysis_Ready'!$AM$163&lt;&gt;"N/A"),1,0))</f>
        <v>0</v>
      </c>
      <c r="J180">
        <f>IF('10_Analysis_Ready'!$A$163="",0,IF(('28_Taxonomy_Coding'!$G$163="NONE")&lt;&gt;(((OR('10_Analysis_Ready'!$AG$163="YES",'10_Analysis_Ready'!$AH$163="YES"))*1+('10_Analysis_Ready'!$AI$163="YES")+('10_Analysis_Ready'!$AJ$163="YES")+('10_Analysis_Ready'!$AK$163="YES")+('10_Analysis_Ready'!$AL$163="YES"))=0),1,0))</f>
        <v>0</v>
      </c>
    </row>
    <row r="181" spans="1:10">
      <c r="A181">
        <v>164</v>
      </c>
      <c r="B181" t="str">
        <f>IF('10_Analysis_Ready'!$A$164="","",'10_Analysis_Ready'!$A$164)</f>
        <v/>
      </c>
      <c r="C181">
        <f>IF('10_Analysis_Ready'!$A$164="",0,IF(AND('28_Taxonomy_Coding'!$A$164='10_Analysis_Ready'!$A$164,'14_Generalization_Map'!$A$164='10_Analysis_Ready'!$A$164),0,1))</f>
        <v>0</v>
      </c>
      <c r="D181">
        <f>IF('10_Analysis_Ready'!$A$164="",0,IF(COUNTIFS('06_Full_Text_Screening'!$A:$A,'10_Analysis_Ready'!$A$164,'06_Full_Text_Screening'!$J:$J,"INCLUDE")=1,0,1))</f>
        <v>0</v>
      </c>
      <c r="E181">
        <f>IF('10_Analysis_Ready'!$A$164="",0,IF(OR(AND(((OR('10_Analysis_Ready'!$AG$164="YES",'10_Analysis_Ready'!$AH$164="YES"))*1+('10_Analysis_Ready'!$AI$164="YES")+('10_Analysis_Ready'!$AJ$164="YES")+('10_Analysis_Ready'!$AK$164="YES")+('10_Analysis_Ready'!$AL$164="YES"))=0,'10_Analysis_Ready'!$AF$164&lt;&gt;"NONE"),AND(((OR('10_Analysis_Ready'!$AG$164="YES",'10_Analysis_Ready'!$AH$164="YES"))*1+('10_Analysis_Ready'!$AI$164="YES")+('10_Analysis_Ready'!$AJ$164="YES")+('10_Analysis_Ready'!$AK$164="YES")+('10_Analysis_Ready'!$AL$164="YES"))=1,OR('10_Analysis_Ready'!$AF$164="NONE",'10_Analysis_Ready'!$AF$164="MULTIPLE")),AND(((OR('10_Analysis_Ready'!$AG$164="YES",'10_Analysis_Ready'!$AH$164="YES"))*1+('10_Analysis_Ready'!$AI$164="YES")+('10_Analysis_Ready'!$AJ$164="YES")+('10_Analysis_Ready'!$AK$164="YES")+('10_Analysis_Ready'!$AL$164="YES"))&gt;=2,'10_Analysis_Ready'!$AF$164&lt;&gt;"MULTIPLE")),1,0))</f>
        <v>0</v>
      </c>
      <c r="F181">
        <f>IF('10_Analysis_Ready'!$A$164="",0,IF(AND('10_Analysis_Ready'!$AO$164="NO",COUNTIF('10_Analysis_Ready'!$AP$164:$AU$164,"YES")&gt;0),1,0))</f>
        <v>0</v>
      </c>
      <c r="G181">
        <f>IF('10_Analysis_Ready'!$A$164="",0,IF(OR(AND('10_Analysis_Ready'!$Y$164="GAN",'10_Analysis_Ready'!$AA$164="YES"),AND('10_Analysis_Ready'!$Y$164="DIFFUSION",'10_Analysis_Ready'!$Z$164="YES"),AND('10_Analysis_Ready'!$Y$164="GAN+DIFFUSION",OR('10_Analysis_Ready'!$Z$164&lt;&gt;"YES",'10_Analysis_Ready'!$AA$164&lt;&gt;"YES"))),1,0))</f>
        <v>0</v>
      </c>
      <c r="H181">
        <f>IF('10_Analysis_Ready'!$A$164="",0,IF(OR(AND('10_Analysis_Ready'!$BJ$164="NO",OR('10_Analysis_Ready'!$BK$164="HIGH",'10_Analysis_Ready'!$BK$164="VERY HIGH")),AND(((OR('10_Analysis_Ready'!$AG$164="YES",'10_Analysis_Ready'!$AH$164="YES"))*1+('10_Analysis_Ready'!$AI$164="YES")+('10_Analysis_Ready'!$AJ$164="YES")+('10_Analysis_Ready'!$AK$164="YES")+('10_Analysis_Ready'!$AL$164="YES"))=0,'10_Analysis_Ready'!$BJ$164="YES")),1,0))</f>
        <v>0</v>
      </c>
      <c r="I181">
        <f>IF('10_Analysis_Ready'!$A$164="",0,IF(AND(((OR('10_Analysis_Ready'!$AG$164="YES",'10_Analysis_Ready'!$AH$164="YES"))*1+('10_Analysis_Ready'!$AI$164="YES")+('10_Analysis_Ready'!$AJ$164="YES")+('10_Analysis_Ready'!$AK$164="YES")+('10_Analysis_Ready'!$AL$164="YES"))=0,'10_Analysis_Ready'!$AM$164&lt;&gt;"N/A"),1,0))</f>
        <v>0</v>
      </c>
      <c r="J181">
        <f>IF('10_Analysis_Ready'!$A$164="",0,IF(('28_Taxonomy_Coding'!$G$164="NONE")&lt;&gt;(((OR('10_Analysis_Ready'!$AG$164="YES",'10_Analysis_Ready'!$AH$164="YES"))*1+('10_Analysis_Ready'!$AI$164="YES")+('10_Analysis_Ready'!$AJ$164="YES")+('10_Analysis_Ready'!$AK$164="YES")+('10_Analysis_Ready'!$AL$164="YES"))=0),1,0))</f>
        <v>0</v>
      </c>
    </row>
    <row r="182" spans="1:10">
      <c r="A182">
        <v>165</v>
      </c>
      <c r="B182" t="str">
        <f>IF('10_Analysis_Ready'!$A$165="","",'10_Analysis_Ready'!$A$165)</f>
        <v/>
      </c>
      <c r="C182">
        <f>IF('10_Analysis_Ready'!$A$165="",0,IF(AND('28_Taxonomy_Coding'!$A$165='10_Analysis_Ready'!$A$165,'14_Generalization_Map'!$A$165='10_Analysis_Ready'!$A$165),0,1))</f>
        <v>0</v>
      </c>
      <c r="D182">
        <f>IF('10_Analysis_Ready'!$A$165="",0,IF(COUNTIFS('06_Full_Text_Screening'!$A:$A,'10_Analysis_Ready'!$A$165,'06_Full_Text_Screening'!$J:$J,"INCLUDE")=1,0,1))</f>
        <v>0</v>
      </c>
      <c r="E182">
        <f>IF('10_Analysis_Ready'!$A$165="",0,IF(OR(AND(((OR('10_Analysis_Ready'!$AG$165="YES",'10_Analysis_Ready'!$AH$165="YES"))*1+('10_Analysis_Ready'!$AI$165="YES")+('10_Analysis_Ready'!$AJ$165="YES")+('10_Analysis_Ready'!$AK$165="YES")+('10_Analysis_Ready'!$AL$165="YES"))=0,'10_Analysis_Ready'!$AF$165&lt;&gt;"NONE"),AND(((OR('10_Analysis_Ready'!$AG$165="YES",'10_Analysis_Ready'!$AH$165="YES"))*1+('10_Analysis_Ready'!$AI$165="YES")+('10_Analysis_Ready'!$AJ$165="YES")+('10_Analysis_Ready'!$AK$165="YES")+('10_Analysis_Ready'!$AL$165="YES"))=1,OR('10_Analysis_Ready'!$AF$165="NONE",'10_Analysis_Ready'!$AF$165="MULTIPLE")),AND(((OR('10_Analysis_Ready'!$AG$165="YES",'10_Analysis_Ready'!$AH$165="YES"))*1+('10_Analysis_Ready'!$AI$165="YES")+('10_Analysis_Ready'!$AJ$165="YES")+('10_Analysis_Ready'!$AK$165="YES")+('10_Analysis_Ready'!$AL$165="YES"))&gt;=2,'10_Analysis_Ready'!$AF$165&lt;&gt;"MULTIPLE")),1,0))</f>
        <v>0</v>
      </c>
      <c r="F182">
        <f>IF('10_Analysis_Ready'!$A$165="",0,IF(AND('10_Analysis_Ready'!$AO$165="NO",COUNTIF('10_Analysis_Ready'!$AP$165:$AU$165,"YES")&gt;0),1,0))</f>
        <v>0</v>
      </c>
      <c r="G182">
        <f>IF('10_Analysis_Ready'!$A$165="",0,IF(OR(AND('10_Analysis_Ready'!$Y$165="GAN",'10_Analysis_Ready'!$AA$165="YES"),AND('10_Analysis_Ready'!$Y$165="DIFFUSION",'10_Analysis_Ready'!$Z$165="YES"),AND('10_Analysis_Ready'!$Y$165="GAN+DIFFUSION",OR('10_Analysis_Ready'!$Z$165&lt;&gt;"YES",'10_Analysis_Ready'!$AA$165&lt;&gt;"YES"))),1,0))</f>
        <v>0</v>
      </c>
      <c r="H182">
        <f>IF('10_Analysis_Ready'!$A$165="",0,IF(OR(AND('10_Analysis_Ready'!$BJ$165="NO",OR('10_Analysis_Ready'!$BK$165="HIGH",'10_Analysis_Ready'!$BK$165="VERY HIGH")),AND(((OR('10_Analysis_Ready'!$AG$165="YES",'10_Analysis_Ready'!$AH$165="YES"))*1+('10_Analysis_Ready'!$AI$165="YES")+('10_Analysis_Ready'!$AJ$165="YES")+('10_Analysis_Ready'!$AK$165="YES")+('10_Analysis_Ready'!$AL$165="YES"))=0,'10_Analysis_Ready'!$BJ$165="YES")),1,0))</f>
        <v>0</v>
      </c>
      <c r="I182">
        <f>IF('10_Analysis_Ready'!$A$165="",0,IF(AND(((OR('10_Analysis_Ready'!$AG$165="YES",'10_Analysis_Ready'!$AH$165="YES"))*1+('10_Analysis_Ready'!$AI$165="YES")+('10_Analysis_Ready'!$AJ$165="YES")+('10_Analysis_Ready'!$AK$165="YES")+('10_Analysis_Ready'!$AL$165="YES"))=0,'10_Analysis_Ready'!$AM$165&lt;&gt;"N/A"),1,0))</f>
        <v>0</v>
      </c>
      <c r="J182">
        <f>IF('10_Analysis_Ready'!$A$165="",0,IF(('28_Taxonomy_Coding'!$G$165="NONE")&lt;&gt;(((OR('10_Analysis_Ready'!$AG$165="YES",'10_Analysis_Ready'!$AH$165="YES"))*1+('10_Analysis_Ready'!$AI$165="YES")+('10_Analysis_Ready'!$AJ$165="YES")+('10_Analysis_Ready'!$AK$165="YES")+('10_Analysis_Ready'!$AL$165="YES"))=0),1,0))</f>
        <v>0</v>
      </c>
    </row>
    <row r="183" spans="1:10">
      <c r="A183">
        <v>166</v>
      </c>
      <c r="B183" t="str">
        <f>IF('10_Analysis_Ready'!$A$166="","",'10_Analysis_Ready'!$A$166)</f>
        <v/>
      </c>
      <c r="C183">
        <f>IF('10_Analysis_Ready'!$A$166="",0,IF(AND('28_Taxonomy_Coding'!$A$166='10_Analysis_Ready'!$A$166,'14_Generalization_Map'!$A$166='10_Analysis_Ready'!$A$166),0,1))</f>
        <v>0</v>
      </c>
      <c r="D183">
        <f>IF('10_Analysis_Ready'!$A$166="",0,IF(COUNTIFS('06_Full_Text_Screening'!$A:$A,'10_Analysis_Ready'!$A$166,'06_Full_Text_Screening'!$J:$J,"INCLUDE")=1,0,1))</f>
        <v>0</v>
      </c>
      <c r="E183">
        <f>IF('10_Analysis_Ready'!$A$166="",0,IF(OR(AND(((OR('10_Analysis_Ready'!$AG$166="YES",'10_Analysis_Ready'!$AH$166="YES"))*1+('10_Analysis_Ready'!$AI$166="YES")+('10_Analysis_Ready'!$AJ$166="YES")+('10_Analysis_Ready'!$AK$166="YES")+('10_Analysis_Ready'!$AL$166="YES"))=0,'10_Analysis_Ready'!$AF$166&lt;&gt;"NONE"),AND(((OR('10_Analysis_Ready'!$AG$166="YES",'10_Analysis_Ready'!$AH$166="YES"))*1+('10_Analysis_Ready'!$AI$166="YES")+('10_Analysis_Ready'!$AJ$166="YES")+('10_Analysis_Ready'!$AK$166="YES")+('10_Analysis_Ready'!$AL$166="YES"))=1,OR('10_Analysis_Ready'!$AF$166="NONE",'10_Analysis_Ready'!$AF$166="MULTIPLE")),AND(((OR('10_Analysis_Ready'!$AG$166="YES",'10_Analysis_Ready'!$AH$166="YES"))*1+('10_Analysis_Ready'!$AI$166="YES")+('10_Analysis_Ready'!$AJ$166="YES")+('10_Analysis_Ready'!$AK$166="YES")+('10_Analysis_Ready'!$AL$166="YES"))&gt;=2,'10_Analysis_Ready'!$AF$166&lt;&gt;"MULTIPLE")),1,0))</f>
        <v>0</v>
      </c>
      <c r="F183">
        <f>IF('10_Analysis_Ready'!$A$166="",0,IF(AND('10_Analysis_Ready'!$AO$166="NO",COUNTIF('10_Analysis_Ready'!$AP$166:$AU$166,"YES")&gt;0),1,0))</f>
        <v>0</v>
      </c>
      <c r="G183">
        <f>IF('10_Analysis_Ready'!$A$166="",0,IF(OR(AND('10_Analysis_Ready'!$Y$166="GAN",'10_Analysis_Ready'!$AA$166="YES"),AND('10_Analysis_Ready'!$Y$166="DIFFUSION",'10_Analysis_Ready'!$Z$166="YES"),AND('10_Analysis_Ready'!$Y$166="GAN+DIFFUSION",OR('10_Analysis_Ready'!$Z$166&lt;&gt;"YES",'10_Analysis_Ready'!$AA$166&lt;&gt;"YES"))),1,0))</f>
        <v>0</v>
      </c>
      <c r="H183">
        <f>IF('10_Analysis_Ready'!$A$166="",0,IF(OR(AND('10_Analysis_Ready'!$BJ$166="NO",OR('10_Analysis_Ready'!$BK$166="HIGH",'10_Analysis_Ready'!$BK$166="VERY HIGH")),AND(((OR('10_Analysis_Ready'!$AG$166="YES",'10_Analysis_Ready'!$AH$166="YES"))*1+('10_Analysis_Ready'!$AI$166="YES")+('10_Analysis_Ready'!$AJ$166="YES")+('10_Analysis_Ready'!$AK$166="YES")+('10_Analysis_Ready'!$AL$166="YES"))=0,'10_Analysis_Ready'!$BJ$166="YES")),1,0))</f>
        <v>0</v>
      </c>
      <c r="I183">
        <f>IF('10_Analysis_Ready'!$A$166="",0,IF(AND(((OR('10_Analysis_Ready'!$AG$166="YES",'10_Analysis_Ready'!$AH$166="YES"))*1+('10_Analysis_Ready'!$AI$166="YES")+('10_Analysis_Ready'!$AJ$166="YES")+('10_Analysis_Ready'!$AK$166="YES")+('10_Analysis_Ready'!$AL$166="YES"))=0,'10_Analysis_Ready'!$AM$166&lt;&gt;"N/A"),1,0))</f>
        <v>0</v>
      </c>
      <c r="J183">
        <f>IF('10_Analysis_Ready'!$A$166="",0,IF(('28_Taxonomy_Coding'!$G$166="NONE")&lt;&gt;(((OR('10_Analysis_Ready'!$AG$166="YES",'10_Analysis_Ready'!$AH$166="YES"))*1+('10_Analysis_Ready'!$AI$166="YES")+('10_Analysis_Ready'!$AJ$166="YES")+('10_Analysis_Ready'!$AK$166="YES")+('10_Analysis_Ready'!$AL$166="YES"))=0),1,0))</f>
        <v>0</v>
      </c>
    </row>
    <row r="184" spans="1:10">
      <c r="A184">
        <v>167</v>
      </c>
      <c r="B184" t="str">
        <f>IF('10_Analysis_Ready'!$A$167="","",'10_Analysis_Ready'!$A$167)</f>
        <v/>
      </c>
      <c r="C184">
        <f>IF('10_Analysis_Ready'!$A$167="",0,IF(AND('28_Taxonomy_Coding'!$A$167='10_Analysis_Ready'!$A$167,'14_Generalization_Map'!$A$167='10_Analysis_Ready'!$A$167),0,1))</f>
        <v>0</v>
      </c>
      <c r="D184">
        <f>IF('10_Analysis_Ready'!$A$167="",0,IF(COUNTIFS('06_Full_Text_Screening'!$A:$A,'10_Analysis_Ready'!$A$167,'06_Full_Text_Screening'!$J:$J,"INCLUDE")=1,0,1))</f>
        <v>0</v>
      </c>
      <c r="E184">
        <f>IF('10_Analysis_Ready'!$A$167="",0,IF(OR(AND(((OR('10_Analysis_Ready'!$AG$167="YES",'10_Analysis_Ready'!$AH$167="YES"))*1+('10_Analysis_Ready'!$AI$167="YES")+('10_Analysis_Ready'!$AJ$167="YES")+('10_Analysis_Ready'!$AK$167="YES")+('10_Analysis_Ready'!$AL$167="YES"))=0,'10_Analysis_Ready'!$AF$167&lt;&gt;"NONE"),AND(((OR('10_Analysis_Ready'!$AG$167="YES",'10_Analysis_Ready'!$AH$167="YES"))*1+('10_Analysis_Ready'!$AI$167="YES")+('10_Analysis_Ready'!$AJ$167="YES")+('10_Analysis_Ready'!$AK$167="YES")+('10_Analysis_Ready'!$AL$167="YES"))=1,OR('10_Analysis_Ready'!$AF$167="NONE",'10_Analysis_Ready'!$AF$167="MULTIPLE")),AND(((OR('10_Analysis_Ready'!$AG$167="YES",'10_Analysis_Ready'!$AH$167="YES"))*1+('10_Analysis_Ready'!$AI$167="YES")+('10_Analysis_Ready'!$AJ$167="YES")+('10_Analysis_Ready'!$AK$167="YES")+('10_Analysis_Ready'!$AL$167="YES"))&gt;=2,'10_Analysis_Ready'!$AF$167&lt;&gt;"MULTIPLE")),1,0))</f>
        <v>0</v>
      </c>
      <c r="F184">
        <f>IF('10_Analysis_Ready'!$A$167="",0,IF(AND('10_Analysis_Ready'!$AO$167="NO",COUNTIF('10_Analysis_Ready'!$AP$167:$AU$167,"YES")&gt;0),1,0))</f>
        <v>0</v>
      </c>
      <c r="G184">
        <f>IF('10_Analysis_Ready'!$A$167="",0,IF(OR(AND('10_Analysis_Ready'!$Y$167="GAN",'10_Analysis_Ready'!$AA$167="YES"),AND('10_Analysis_Ready'!$Y$167="DIFFUSION",'10_Analysis_Ready'!$Z$167="YES"),AND('10_Analysis_Ready'!$Y$167="GAN+DIFFUSION",OR('10_Analysis_Ready'!$Z$167&lt;&gt;"YES",'10_Analysis_Ready'!$AA$167&lt;&gt;"YES"))),1,0))</f>
        <v>0</v>
      </c>
      <c r="H184">
        <f>IF('10_Analysis_Ready'!$A$167="",0,IF(OR(AND('10_Analysis_Ready'!$BJ$167="NO",OR('10_Analysis_Ready'!$BK$167="HIGH",'10_Analysis_Ready'!$BK$167="VERY HIGH")),AND(((OR('10_Analysis_Ready'!$AG$167="YES",'10_Analysis_Ready'!$AH$167="YES"))*1+('10_Analysis_Ready'!$AI$167="YES")+('10_Analysis_Ready'!$AJ$167="YES")+('10_Analysis_Ready'!$AK$167="YES")+('10_Analysis_Ready'!$AL$167="YES"))=0,'10_Analysis_Ready'!$BJ$167="YES")),1,0))</f>
        <v>0</v>
      </c>
      <c r="I184">
        <f>IF('10_Analysis_Ready'!$A$167="",0,IF(AND(((OR('10_Analysis_Ready'!$AG$167="YES",'10_Analysis_Ready'!$AH$167="YES"))*1+('10_Analysis_Ready'!$AI$167="YES")+('10_Analysis_Ready'!$AJ$167="YES")+('10_Analysis_Ready'!$AK$167="YES")+('10_Analysis_Ready'!$AL$167="YES"))=0,'10_Analysis_Ready'!$AM$167&lt;&gt;"N/A"),1,0))</f>
        <v>0</v>
      </c>
      <c r="J184">
        <f>IF('10_Analysis_Ready'!$A$167="",0,IF(('28_Taxonomy_Coding'!$G$167="NONE")&lt;&gt;(((OR('10_Analysis_Ready'!$AG$167="YES",'10_Analysis_Ready'!$AH$167="YES"))*1+('10_Analysis_Ready'!$AI$167="YES")+('10_Analysis_Ready'!$AJ$167="YES")+('10_Analysis_Ready'!$AK$167="YES")+('10_Analysis_Ready'!$AL$167="YES"))=0),1,0))</f>
        <v>0</v>
      </c>
    </row>
    <row r="185" spans="1:10">
      <c r="A185">
        <v>168</v>
      </c>
      <c r="B185" t="str">
        <f>IF('10_Analysis_Ready'!$A$168="","",'10_Analysis_Ready'!$A$168)</f>
        <v/>
      </c>
      <c r="C185">
        <f>IF('10_Analysis_Ready'!$A$168="",0,IF(AND('28_Taxonomy_Coding'!$A$168='10_Analysis_Ready'!$A$168,'14_Generalization_Map'!$A$168='10_Analysis_Ready'!$A$168),0,1))</f>
        <v>0</v>
      </c>
      <c r="D185">
        <f>IF('10_Analysis_Ready'!$A$168="",0,IF(COUNTIFS('06_Full_Text_Screening'!$A:$A,'10_Analysis_Ready'!$A$168,'06_Full_Text_Screening'!$J:$J,"INCLUDE")=1,0,1))</f>
        <v>0</v>
      </c>
      <c r="E185">
        <f>IF('10_Analysis_Ready'!$A$168="",0,IF(OR(AND(((OR('10_Analysis_Ready'!$AG$168="YES",'10_Analysis_Ready'!$AH$168="YES"))*1+('10_Analysis_Ready'!$AI$168="YES")+('10_Analysis_Ready'!$AJ$168="YES")+('10_Analysis_Ready'!$AK$168="YES")+('10_Analysis_Ready'!$AL$168="YES"))=0,'10_Analysis_Ready'!$AF$168&lt;&gt;"NONE"),AND(((OR('10_Analysis_Ready'!$AG$168="YES",'10_Analysis_Ready'!$AH$168="YES"))*1+('10_Analysis_Ready'!$AI$168="YES")+('10_Analysis_Ready'!$AJ$168="YES")+('10_Analysis_Ready'!$AK$168="YES")+('10_Analysis_Ready'!$AL$168="YES"))=1,OR('10_Analysis_Ready'!$AF$168="NONE",'10_Analysis_Ready'!$AF$168="MULTIPLE")),AND(((OR('10_Analysis_Ready'!$AG$168="YES",'10_Analysis_Ready'!$AH$168="YES"))*1+('10_Analysis_Ready'!$AI$168="YES")+('10_Analysis_Ready'!$AJ$168="YES")+('10_Analysis_Ready'!$AK$168="YES")+('10_Analysis_Ready'!$AL$168="YES"))&gt;=2,'10_Analysis_Ready'!$AF$168&lt;&gt;"MULTIPLE")),1,0))</f>
        <v>0</v>
      </c>
      <c r="F185">
        <f>IF('10_Analysis_Ready'!$A$168="",0,IF(AND('10_Analysis_Ready'!$AO$168="NO",COUNTIF('10_Analysis_Ready'!$AP$168:$AU$168,"YES")&gt;0),1,0))</f>
        <v>0</v>
      </c>
      <c r="G185">
        <f>IF('10_Analysis_Ready'!$A$168="",0,IF(OR(AND('10_Analysis_Ready'!$Y$168="GAN",'10_Analysis_Ready'!$AA$168="YES"),AND('10_Analysis_Ready'!$Y$168="DIFFUSION",'10_Analysis_Ready'!$Z$168="YES"),AND('10_Analysis_Ready'!$Y$168="GAN+DIFFUSION",OR('10_Analysis_Ready'!$Z$168&lt;&gt;"YES",'10_Analysis_Ready'!$AA$168&lt;&gt;"YES"))),1,0))</f>
        <v>0</v>
      </c>
      <c r="H185">
        <f>IF('10_Analysis_Ready'!$A$168="",0,IF(OR(AND('10_Analysis_Ready'!$BJ$168="NO",OR('10_Analysis_Ready'!$BK$168="HIGH",'10_Analysis_Ready'!$BK$168="VERY HIGH")),AND(((OR('10_Analysis_Ready'!$AG$168="YES",'10_Analysis_Ready'!$AH$168="YES"))*1+('10_Analysis_Ready'!$AI$168="YES")+('10_Analysis_Ready'!$AJ$168="YES")+('10_Analysis_Ready'!$AK$168="YES")+('10_Analysis_Ready'!$AL$168="YES"))=0,'10_Analysis_Ready'!$BJ$168="YES")),1,0))</f>
        <v>0</v>
      </c>
      <c r="I185">
        <f>IF('10_Analysis_Ready'!$A$168="",0,IF(AND(((OR('10_Analysis_Ready'!$AG$168="YES",'10_Analysis_Ready'!$AH$168="YES"))*1+('10_Analysis_Ready'!$AI$168="YES")+('10_Analysis_Ready'!$AJ$168="YES")+('10_Analysis_Ready'!$AK$168="YES")+('10_Analysis_Ready'!$AL$168="YES"))=0,'10_Analysis_Ready'!$AM$168&lt;&gt;"N/A"),1,0))</f>
        <v>0</v>
      </c>
      <c r="J185">
        <f>IF('10_Analysis_Ready'!$A$168="",0,IF(('28_Taxonomy_Coding'!$G$168="NONE")&lt;&gt;(((OR('10_Analysis_Ready'!$AG$168="YES",'10_Analysis_Ready'!$AH$168="YES"))*1+('10_Analysis_Ready'!$AI$168="YES")+('10_Analysis_Ready'!$AJ$168="YES")+('10_Analysis_Ready'!$AK$168="YES")+('10_Analysis_Ready'!$AL$168="YES"))=0),1,0))</f>
        <v>0</v>
      </c>
    </row>
    <row r="186" spans="1:10">
      <c r="A186">
        <v>169</v>
      </c>
      <c r="B186" t="str">
        <f>IF('10_Analysis_Ready'!$A$169="","",'10_Analysis_Ready'!$A$169)</f>
        <v/>
      </c>
      <c r="C186">
        <f>IF('10_Analysis_Ready'!$A$169="",0,IF(AND('28_Taxonomy_Coding'!$A$169='10_Analysis_Ready'!$A$169,'14_Generalization_Map'!$A$169='10_Analysis_Ready'!$A$169),0,1))</f>
        <v>0</v>
      </c>
      <c r="D186">
        <f>IF('10_Analysis_Ready'!$A$169="",0,IF(COUNTIFS('06_Full_Text_Screening'!$A:$A,'10_Analysis_Ready'!$A$169,'06_Full_Text_Screening'!$J:$J,"INCLUDE")=1,0,1))</f>
        <v>0</v>
      </c>
      <c r="E186">
        <f>IF('10_Analysis_Ready'!$A$169="",0,IF(OR(AND(((OR('10_Analysis_Ready'!$AG$169="YES",'10_Analysis_Ready'!$AH$169="YES"))*1+('10_Analysis_Ready'!$AI$169="YES")+('10_Analysis_Ready'!$AJ$169="YES")+('10_Analysis_Ready'!$AK$169="YES")+('10_Analysis_Ready'!$AL$169="YES"))=0,'10_Analysis_Ready'!$AF$169&lt;&gt;"NONE"),AND(((OR('10_Analysis_Ready'!$AG$169="YES",'10_Analysis_Ready'!$AH$169="YES"))*1+('10_Analysis_Ready'!$AI$169="YES")+('10_Analysis_Ready'!$AJ$169="YES")+('10_Analysis_Ready'!$AK$169="YES")+('10_Analysis_Ready'!$AL$169="YES"))=1,OR('10_Analysis_Ready'!$AF$169="NONE",'10_Analysis_Ready'!$AF$169="MULTIPLE")),AND(((OR('10_Analysis_Ready'!$AG$169="YES",'10_Analysis_Ready'!$AH$169="YES"))*1+('10_Analysis_Ready'!$AI$169="YES")+('10_Analysis_Ready'!$AJ$169="YES")+('10_Analysis_Ready'!$AK$169="YES")+('10_Analysis_Ready'!$AL$169="YES"))&gt;=2,'10_Analysis_Ready'!$AF$169&lt;&gt;"MULTIPLE")),1,0))</f>
        <v>0</v>
      </c>
      <c r="F186">
        <f>IF('10_Analysis_Ready'!$A$169="",0,IF(AND('10_Analysis_Ready'!$AO$169="NO",COUNTIF('10_Analysis_Ready'!$AP$169:$AU$169,"YES")&gt;0),1,0))</f>
        <v>0</v>
      </c>
      <c r="G186">
        <f>IF('10_Analysis_Ready'!$A$169="",0,IF(OR(AND('10_Analysis_Ready'!$Y$169="GAN",'10_Analysis_Ready'!$AA$169="YES"),AND('10_Analysis_Ready'!$Y$169="DIFFUSION",'10_Analysis_Ready'!$Z$169="YES"),AND('10_Analysis_Ready'!$Y$169="GAN+DIFFUSION",OR('10_Analysis_Ready'!$Z$169&lt;&gt;"YES",'10_Analysis_Ready'!$AA$169&lt;&gt;"YES"))),1,0))</f>
        <v>0</v>
      </c>
      <c r="H186">
        <f>IF('10_Analysis_Ready'!$A$169="",0,IF(OR(AND('10_Analysis_Ready'!$BJ$169="NO",OR('10_Analysis_Ready'!$BK$169="HIGH",'10_Analysis_Ready'!$BK$169="VERY HIGH")),AND(((OR('10_Analysis_Ready'!$AG$169="YES",'10_Analysis_Ready'!$AH$169="YES"))*1+('10_Analysis_Ready'!$AI$169="YES")+('10_Analysis_Ready'!$AJ$169="YES")+('10_Analysis_Ready'!$AK$169="YES")+('10_Analysis_Ready'!$AL$169="YES"))=0,'10_Analysis_Ready'!$BJ$169="YES")),1,0))</f>
        <v>0</v>
      </c>
      <c r="I186">
        <f>IF('10_Analysis_Ready'!$A$169="",0,IF(AND(((OR('10_Analysis_Ready'!$AG$169="YES",'10_Analysis_Ready'!$AH$169="YES"))*1+('10_Analysis_Ready'!$AI$169="YES")+('10_Analysis_Ready'!$AJ$169="YES")+('10_Analysis_Ready'!$AK$169="YES")+('10_Analysis_Ready'!$AL$169="YES"))=0,'10_Analysis_Ready'!$AM$169&lt;&gt;"N/A"),1,0))</f>
        <v>0</v>
      </c>
      <c r="J186">
        <f>IF('10_Analysis_Ready'!$A$169="",0,IF(('28_Taxonomy_Coding'!$G$169="NONE")&lt;&gt;(((OR('10_Analysis_Ready'!$AG$169="YES",'10_Analysis_Ready'!$AH$169="YES"))*1+('10_Analysis_Ready'!$AI$169="YES")+('10_Analysis_Ready'!$AJ$169="YES")+('10_Analysis_Ready'!$AK$169="YES")+('10_Analysis_Ready'!$AL$169="YES"))=0),1,0))</f>
        <v>0</v>
      </c>
    </row>
    <row r="187" spans="1:10">
      <c r="A187">
        <v>170</v>
      </c>
      <c r="B187" t="str">
        <f>IF('10_Analysis_Ready'!$A$170="","",'10_Analysis_Ready'!$A$170)</f>
        <v/>
      </c>
      <c r="C187">
        <f>IF('10_Analysis_Ready'!$A$170="",0,IF(AND('28_Taxonomy_Coding'!$A$170='10_Analysis_Ready'!$A$170,'14_Generalization_Map'!$A$170='10_Analysis_Ready'!$A$170),0,1))</f>
        <v>0</v>
      </c>
      <c r="D187">
        <f>IF('10_Analysis_Ready'!$A$170="",0,IF(COUNTIFS('06_Full_Text_Screening'!$A:$A,'10_Analysis_Ready'!$A$170,'06_Full_Text_Screening'!$J:$J,"INCLUDE")=1,0,1))</f>
        <v>0</v>
      </c>
      <c r="E187">
        <f>IF('10_Analysis_Ready'!$A$170="",0,IF(OR(AND(((OR('10_Analysis_Ready'!$AG$170="YES",'10_Analysis_Ready'!$AH$170="YES"))*1+('10_Analysis_Ready'!$AI$170="YES")+('10_Analysis_Ready'!$AJ$170="YES")+('10_Analysis_Ready'!$AK$170="YES")+('10_Analysis_Ready'!$AL$170="YES"))=0,'10_Analysis_Ready'!$AF$170&lt;&gt;"NONE"),AND(((OR('10_Analysis_Ready'!$AG$170="YES",'10_Analysis_Ready'!$AH$170="YES"))*1+('10_Analysis_Ready'!$AI$170="YES")+('10_Analysis_Ready'!$AJ$170="YES")+('10_Analysis_Ready'!$AK$170="YES")+('10_Analysis_Ready'!$AL$170="YES"))=1,OR('10_Analysis_Ready'!$AF$170="NONE",'10_Analysis_Ready'!$AF$170="MULTIPLE")),AND(((OR('10_Analysis_Ready'!$AG$170="YES",'10_Analysis_Ready'!$AH$170="YES"))*1+('10_Analysis_Ready'!$AI$170="YES")+('10_Analysis_Ready'!$AJ$170="YES")+('10_Analysis_Ready'!$AK$170="YES")+('10_Analysis_Ready'!$AL$170="YES"))&gt;=2,'10_Analysis_Ready'!$AF$170&lt;&gt;"MULTIPLE")),1,0))</f>
        <v>0</v>
      </c>
      <c r="F187">
        <f>IF('10_Analysis_Ready'!$A$170="",0,IF(AND('10_Analysis_Ready'!$AO$170="NO",COUNTIF('10_Analysis_Ready'!$AP$170:$AU$170,"YES")&gt;0),1,0))</f>
        <v>0</v>
      </c>
      <c r="G187">
        <f>IF('10_Analysis_Ready'!$A$170="",0,IF(OR(AND('10_Analysis_Ready'!$Y$170="GAN",'10_Analysis_Ready'!$AA$170="YES"),AND('10_Analysis_Ready'!$Y$170="DIFFUSION",'10_Analysis_Ready'!$Z$170="YES"),AND('10_Analysis_Ready'!$Y$170="GAN+DIFFUSION",OR('10_Analysis_Ready'!$Z$170&lt;&gt;"YES",'10_Analysis_Ready'!$AA$170&lt;&gt;"YES"))),1,0))</f>
        <v>0</v>
      </c>
      <c r="H187">
        <f>IF('10_Analysis_Ready'!$A$170="",0,IF(OR(AND('10_Analysis_Ready'!$BJ$170="NO",OR('10_Analysis_Ready'!$BK$170="HIGH",'10_Analysis_Ready'!$BK$170="VERY HIGH")),AND(((OR('10_Analysis_Ready'!$AG$170="YES",'10_Analysis_Ready'!$AH$170="YES"))*1+('10_Analysis_Ready'!$AI$170="YES")+('10_Analysis_Ready'!$AJ$170="YES")+('10_Analysis_Ready'!$AK$170="YES")+('10_Analysis_Ready'!$AL$170="YES"))=0,'10_Analysis_Ready'!$BJ$170="YES")),1,0))</f>
        <v>0</v>
      </c>
      <c r="I187">
        <f>IF('10_Analysis_Ready'!$A$170="",0,IF(AND(((OR('10_Analysis_Ready'!$AG$170="YES",'10_Analysis_Ready'!$AH$170="YES"))*1+('10_Analysis_Ready'!$AI$170="YES")+('10_Analysis_Ready'!$AJ$170="YES")+('10_Analysis_Ready'!$AK$170="YES")+('10_Analysis_Ready'!$AL$170="YES"))=0,'10_Analysis_Ready'!$AM$170&lt;&gt;"N/A"),1,0))</f>
        <v>0</v>
      </c>
      <c r="J187">
        <f>IF('10_Analysis_Ready'!$A$170="",0,IF(('28_Taxonomy_Coding'!$G$170="NONE")&lt;&gt;(((OR('10_Analysis_Ready'!$AG$170="YES",'10_Analysis_Ready'!$AH$170="YES"))*1+('10_Analysis_Ready'!$AI$170="YES")+('10_Analysis_Ready'!$AJ$170="YES")+('10_Analysis_Ready'!$AK$170="YES")+('10_Analysis_Ready'!$AL$170="YES"))=0),1,0))</f>
        <v>0</v>
      </c>
    </row>
    <row r="188" spans="1:10">
      <c r="A188">
        <v>171</v>
      </c>
      <c r="B188" t="str">
        <f>IF('10_Analysis_Ready'!$A$171="","",'10_Analysis_Ready'!$A$171)</f>
        <v/>
      </c>
      <c r="C188">
        <f>IF('10_Analysis_Ready'!$A$171="",0,IF(AND('28_Taxonomy_Coding'!$A$171='10_Analysis_Ready'!$A$171,'14_Generalization_Map'!$A$171='10_Analysis_Ready'!$A$171),0,1))</f>
        <v>0</v>
      </c>
      <c r="D188">
        <f>IF('10_Analysis_Ready'!$A$171="",0,IF(COUNTIFS('06_Full_Text_Screening'!$A:$A,'10_Analysis_Ready'!$A$171,'06_Full_Text_Screening'!$J:$J,"INCLUDE")=1,0,1))</f>
        <v>0</v>
      </c>
      <c r="E188">
        <f>IF('10_Analysis_Ready'!$A$171="",0,IF(OR(AND(((OR('10_Analysis_Ready'!$AG$171="YES",'10_Analysis_Ready'!$AH$171="YES"))*1+('10_Analysis_Ready'!$AI$171="YES")+('10_Analysis_Ready'!$AJ$171="YES")+('10_Analysis_Ready'!$AK$171="YES")+('10_Analysis_Ready'!$AL$171="YES"))=0,'10_Analysis_Ready'!$AF$171&lt;&gt;"NONE"),AND(((OR('10_Analysis_Ready'!$AG$171="YES",'10_Analysis_Ready'!$AH$171="YES"))*1+('10_Analysis_Ready'!$AI$171="YES")+('10_Analysis_Ready'!$AJ$171="YES")+('10_Analysis_Ready'!$AK$171="YES")+('10_Analysis_Ready'!$AL$171="YES"))=1,OR('10_Analysis_Ready'!$AF$171="NONE",'10_Analysis_Ready'!$AF$171="MULTIPLE")),AND(((OR('10_Analysis_Ready'!$AG$171="YES",'10_Analysis_Ready'!$AH$171="YES"))*1+('10_Analysis_Ready'!$AI$171="YES")+('10_Analysis_Ready'!$AJ$171="YES")+('10_Analysis_Ready'!$AK$171="YES")+('10_Analysis_Ready'!$AL$171="YES"))&gt;=2,'10_Analysis_Ready'!$AF$171&lt;&gt;"MULTIPLE")),1,0))</f>
        <v>0</v>
      </c>
      <c r="F188">
        <f>IF('10_Analysis_Ready'!$A$171="",0,IF(AND('10_Analysis_Ready'!$AO$171="NO",COUNTIF('10_Analysis_Ready'!$AP$171:$AU$171,"YES")&gt;0),1,0))</f>
        <v>0</v>
      </c>
      <c r="G188">
        <f>IF('10_Analysis_Ready'!$A$171="",0,IF(OR(AND('10_Analysis_Ready'!$Y$171="GAN",'10_Analysis_Ready'!$AA$171="YES"),AND('10_Analysis_Ready'!$Y$171="DIFFUSION",'10_Analysis_Ready'!$Z$171="YES"),AND('10_Analysis_Ready'!$Y$171="GAN+DIFFUSION",OR('10_Analysis_Ready'!$Z$171&lt;&gt;"YES",'10_Analysis_Ready'!$AA$171&lt;&gt;"YES"))),1,0))</f>
        <v>0</v>
      </c>
      <c r="H188">
        <f>IF('10_Analysis_Ready'!$A$171="",0,IF(OR(AND('10_Analysis_Ready'!$BJ$171="NO",OR('10_Analysis_Ready'!$BK$171="HIGH",'10_Analysis_Ready'!$BK$171="VERY HIGH")),AND(((OR('10_Analysis_Ready'!$AG$171="YES",'10_Analysis_Ready'!$AH$171="YES"))*1+('10_Analysis_Ready'!$AI$171="YES")+('10_Analysis_Ready'!$AJ$171="YES")+('10_Analysis_Ready'!$AK$171="YES")+('10_Analysis_Ready'!$AL$171="YES"))=0,'10_Analysis_Ready'!$BJ$171="YES")),1,0))</f>
        <v>0</v>
      </c>
      <c r="I188">
        <f>IF('10_Analysis_Ready'!$A$171="",0,IF(AND(((OR('10_Analysis_Ready'!$AG$171="YES",'10_Analysis_Ready'!$AH$171="YES"))*1+('10_Analysis_Ready'!$AI$171="YES")+('10_Analysis_Ready'!$AJ$171="YES")+('10_Analysis_Ready'!$AK$171="YES")+('10_Analysis_Ready'!$AL$171="YES"))=0,'10_Analysis_Ready'!$AM$171&lt;&gt;"N/A"),1,0))</f>
        <v>0</v>
      </c>
      <c r="J188">
        <f>IF('10_Analysis_Ready'!$A$171="",0,IF(('28_Taxonomy_Coding'!$G$171="NONE")&lt;&gt;(((OR('10_Analysis_Ready'!$AG$171="YES",'10_Analysis_Ready'!$AH$171="YES"))*1+('10_Analysis_Ready'!$AI$171="YES")+('10_Analysis_Ready'!$AJ$171="YES")+('10_Analysis_Ready'!$AK$171="YES")+('10_Analysis_Ready'!$AL$171="YES"))=0),1,0))</f>
        <v>0</v>
      </c>
    </row>
    <row r="189" spans="1:10">
      <c r="A189">
        <v>172</v>
      </c>
      <c r="B189" t="str">
        <f>IF('10_Analysis_Ready'!$A$172="","",'10_Analysis_Ready'!$A$172)</f>
        <v/>
      </c>
      <c r="C189">
        <f>IF('10_Analysis_Ready'!$A$172="",0,IF(AND('28_Taxonomy_Coding'!$A$172='10_Analysis_Ready'!$A$172,'14_Generalization_Map'!$A$172='10_Analysis_Ready'!$A$172),0,1))</f>
        <v>0</v>
      </c>
      <c r="D189">
        <f>IF('10_Analysis_Ready'!$A$172="",0,IF(COUNTIFS('06_Full_Text_Screening'!$A:$A,'10_Analysis_Ready'!$A$172,'06_Full_Text_Screening'!$J:$J,"INCLUDE")=1,0,1))</f>
        <v>0</v>
      </c>
      <c r="E189">
        <f>IF('10_Analysis_Ready'!$A$172="",0,IF(OR(AND(((OR('10_Analysis_Ready'!$AG$172="YES",'10_Analysis_Ready'!$AH$172="YES"))*1+('10_Analysis_Ready'!$AI$172="YES")+('10_Analysis_Ready'!$AJ$172="YES")+('10_Analysis_Ready'!$AK$172="YES")+('10_Analysis_Ready'!$AL$172="YES"))=0,'10_Analysis_Ready'!$AF$172&lt;&gt;"NONE"),AND(((OR('10_Analysis_Ready'!$AG$172="YES",'10_Analysis_Ready'!$AH$172="YES"))*1+('10_Analysis_Ready'!$AI$172="YES")+('10_Analysis_Ready'!$AJ$172="YES")+('10_Analysis_Ready'!$AK$172="YES")+('10_Analysis_Ready'!$AL$172="YES"))=1,OR('10_Analysis_Ready'!$AF$172="NONE",'10_Analysis_Ready'!$AF$172="MULTIPLE")),AND(((OR('10_Analysis_Ready'!$AG$172="YES",'10_Analysis_Ready'!$AH$172="YES"))*1+('10_Analysis_Ready'!$AI$172="YES")+('10_Analysis_Ready'!$AJ$172="YES")+('10_Analysis_Ready'!$AK$172="YES")+('10_Analysis_Ready'!$AL$172="YES"))&gt;=2,'10_Analysis_Ready'!$AF$172&lt;&gt;"MULTIPLE")),1,0))</f>
        <v>0</v>
      </c>
      <c r="F189">
        <f>IF('10_Analysis_Ready'!$A$172="",0,IF(AND('10_Analysis_Ready'!$AO$172="NO",COUNTIF('10_Analysis_Ready'!$AP$172:$AU$172,"YES")&gt;0),1,0))</f>
        <v>0</v>
      </c>
      <c r="G189">
        <f>IF('10_Analysis_Ready'!$A$172="",0,IF(OR(AND('10_Analysis_Ready'!$Y$172="GAN",'10_Analysis_Ready'!$AA$172="YES"),AND('10_Analysis_Ready'!$Y$172="DIFFUSION",'10_Analysis_Ready'!$Z$172="YES"),AND('10_Analysis_Ready'!$Y$172="GAN+DIFFUSION",OR('10_Analysis_Ready'!$Z$172&lt;&gt;"YES",'10_Analysis_Ready'!$AA$172&lt;&gt;"YES"))),1,0))</f>
        <v>0</v>
      </c>
      <c r="H189">
        <f>IF('10_Analysis_Ready'!$A$172="",0,IF(OR(AND('10_Analysis_Ready'!$BJ$172="NO",OR('10_Analysis_Ready'!$BK$172="HIGH",'10_Analysis_Ready'!$BK$172="VERY HIGH")),AND(((OR('10_Analysis_Ready'!$AG$172="YES",'10_Analysis_Ready'!$AH$172="YES"))*1+('10_Analysis_Ready'!$AI$172="YES")+('10_Analysis_Ready'!$AJ$172="YES")+('10_Analysis_Ready'!$AK$172="YES")+('10_Analysis_Ready'!$AL$172="YES"))=0,'10_Analysis_Ready'!$BJ$172="YES")),1,0))</f>
        <v>0</v>
      </c>
      <c r="I189">
        <f>IF('10_Analysis_Ready'!$A$172="",0,IF(AND(((OR('10_Analysis_Ready'!$AG$172="YES",'10_Analysis_Ready'!$AH$172="YES"))*1+('10_Analysis_Ready'!$AI$172="YES")+('10_Analysis_Ready'!$AJ$172="YES")+('10_Analysis_Ready'!$AK$172="YES")+('10_Analysis_Ready'!$AL$172="YES"))=0,'10_Analysis_Ready'!$AM$172&lt;&gt;"N/A"),1,0))</f>
        <v>0</v>
      </c>
      <c r="J189">
        <f>IF('10_Analysis_Ready'!$A$172="",0,IF(('28_Taxonomy_Coding'!$G$172="NONE")&lt;&gt;(((OR('10_Analysis_Ready'!$AG$172="YES",'10_Analysis_Ready'!$AH$172="YES"))*1+('10_Analysis_Ready'!$AI$172="YES")+('10_Analysis_Ready'!$AJ$172="YES")+('10_Analysis_Ready'!$AK$172="YES")+('10_Analysis_Ready'!$AL$172="YES"))=0),1,0))</f>
        <v>0</v>
      </c>
    </row>
    <row r="190" spans="1:10">
      <c r="A190">
        <v>173</v>
      </c>
      <c r="B190" t="str">
        <f>IF('10_Analysis_Ready'!$A$173="","",'10_Analysis_Ready'!$A$173)</f>
        <v/>
      </c>
      <c r="C190">
        <f>IF('10_Analysis_Ready'!$A$173="",0,IF(AND('28_Taxonomy_Coding'!$A$173='10_Analysis_Ready'!$A$173,'14_Generalization_Map'!$A$173='10_Analysis_Ready'!$A$173),0,1))</f>
        <v>0</v>
      </c>
      <c r="D190">
        <f>IF('10_Analysis_Ready'!$A$173="",0,IF(COUNTIFS('06_Full_Text_Screening'!$A:$A,'10_Analysis_Ready'!$A$173,'06_Full_Text_Screening'!$J:$J,"INCLUDE")=1,0,1))</f>
        <v>0</v>
      </c>
      <c r="E190">
        <f>IF('10_Analysis_Ready'!$A$173="",0,IF(OR(AND(((OR('10_Analysis_Ready'!$AG$173="YES",'10_Analysis_Ready'!$AH$173="YES"))*1+('10_Analysis_Ready'!$AI$173="YES")+('10_Analysis_Ready'!$AJ$173="YES")+('10_Analysis_Ready'!$AK$173="YES")+('10_Analysis_Ready'!$AL$173="YES"))=0,'10_Analysis_Ready'!$AF$173&lt;&gt;"NONE"),AND(((OR('10_Analysis_Ready'!$AG$173="YES",'10_Analysis_Ready'!$AH$173="YES"))*1+('10_Analysis_Ready'!$AI$173="YES")+('10_Analysis_Ready'!$AJ$173="YES")+('10_Analysis_Ready'!$AK$173="YES")+('10_Analysis_Ready'!$AL$173="YES"))=1,OR('10_Analysis_Ready'!$AF$173="NONE",'10_Analysis_Ready'!$AF$173="MULTIPLE")),AND(((OR('10_Analysis_Ready'!$AG$173="YES",'10_Analysis_Ready'!$AH$173="YES"))*1+('10_Analysis_Ready'!$AI$173="YES")+('10_Analysis_Ready'!$AJ$173="YES")+('10_Analysis_Ready'!$AK$173="YES")+('10_Analysis_Ready'!$AL$173="YES"))&gt;=2,'10_Analysis_Ready'!$AF$173&lt;&gt;"MULTIPLE")),1,0))</f>
        <v>0</v>
      </c>
      <c r="F190">
        <f>IF('10_Analysis_Ready'!$A$173="",0,IF(AND('10_Analysis_Ready'!$AO$173="NO",COUNTIF('10_Analysis_Ready'!$AP$173:$AU$173,"YES")&gt;0),1,0))</f>
        <v>0</v>
      </c>
      <c r="G190">
        <f>IF('10_Analysis_Ready'!$A$173="",0,IF(OR(AND('10_Analysis_Ready'!$Y$173="GAN",'10_Analysis_Ready'!$AA$173="YES"),AND('10_Analysis_Ready'!$Y$173="DIFFUSION",'10_Analysis_Ready'!$Z$173="YES"),AND('10_Analysis_Ready'!$Y$173="GAN+DIFFUSION",OR('10_Analysis_Ready'!$Z$173&lt;&gt;"YES",'10_Analysis_Ready'!$AA$173&lt;&gt;"YES"))),1,0))</f>
        <v>0</v>
      </c>
      <c r="H190">
        <f>IF('10_Analysis_Ready'!$A$173="",0,IF(OR(AND('10_Analysis_Ready'!$BJ$173="NO",OR('10_Analysis_Ready'!$BK$173="HIGH",'10_Analysis_Ready'!$BK$173="VERY HIGH")),AND(((OR('10_Analysis_Ready'!$AG$173="YES",'10_Analysis_Ready'!$AH$173="YES"))*1+('10_Analysis_Ready'!$AI$173="YES")+('10_Analysis_Ready'!$AJ$173="YES")+('10_Analysis_Ready'!$AK$173="YES")+('10_Analysis_Ready'!$AL$173="YES"))=0,'10_Analysis_Ready'!$BJ$173="YES")),1,0))</f>
        <v>0</v>
      </c>
      <c r="I190">
        <f>IF('10_Analysis_Ready'!$A$173="",0,IF(AND(((OR('10_Analysis_Ready'!$AG$173="YES",'10_Analysis_Ready'!$AH$173="YES"))*1+('10_Analysis_Ready'!$AI$173="YES")+('10_Analysis_Ready'!$AJ$173="YES")+('10_Analysis_Ready'!$AK$173="YES")+('10_Analysis_Ready'!$AL$173="YES"))=0,'10_Analysis_Ready'!$AM$173&lt;&gt;"N/A"),1,0))</f>
        <v>0</v>
      </c>
      <c r="J190">
        <f>IF('10_Analysis_Ready'!$A$173="",0,IF(('28_Taxonomy_Coding'!$G$173="NONE")&lt;&gt;(((OR('10_Analysis_Ready'!$AG$173="YES",'10_Analysis_Ready'!$AH$173="YES"))*1+('10_Analysis_Ready'!$AI$173="YES")+('10_Analysis_Ready'!$AJ$173="YES")+('10_Analysis_Ready'!$AK$173="YES")+('10_Analysis_Ready'!$AL$173="YES"))=0),1,0))</f>
        <v>0</v>
      </c>
    </row>
    <row r="191" spans="1:10">
      <c r="A191">
        <v>174</v>
      </c>
      <c r="B191" t="str">
        <f>IF('10_Analysis_Ready'!$A$174="","",'10_Analysis_Ready'!$A$174)</f>
        <v/>
      </c>
      <c r="C191">
        <f>IF('10_Analysis_Ready'!$A$174="",0,IF(AND('28_Taxonomy_Coding'!$A$174='10_Analysis_Ready'!$A$174,'14_Generalization_Map'!$A$174='10_Analysis_Ready'!$A$174),0,1))</f>
        <v>0</v>
      </c>
      <c r="D191">
        <f>IF('10_Analysis_Ready'!$A$174="",0,IF(COUNTIFS('06_Full_Text_Screening'!$A:$A,'10_Analysis_Ready'!$A$174,'06_Full_Text_Screening'!$J:$J,"INCLUDE")=1,0,1))</f>
        <v>0</v>
      </c>
      <c r="E191">
        <f>IF('10_Analysis_Ready'!$A$174="",0,IF(OR(AND(((OR('10_Analysis_Ready'!$AG$174="YES",'10_Analysis_Ready'!$AH$174="YES"))*1+('10_Analysis_Ready'!$AI$174="YES")+('10_Analysis_Ready'!$AJ$174="YES")+('10_Analysis_Ready'!$AK$174="YES")+('10_Analysis_Ready'!$AL$174="YES"))=0,'10_Analysis_Ready'!$AF$174&lt;&gt;"NONE"),AND(((OR('10_Analysis_Ready'!$AG$174="YES",'10_Analysis_Ready'!$AH$174="YES"))*1+('10_Analysis_Ready'!$AI$174="YES")+('10_Analysis_Ready'!$AJ$174="YES")+('10_Analysis_Ready'!$AK$174="YES")+('10_Analysis_Ready'!$AL$174="YES"))=1,OR('10_Analysis_Ready'!$AF$174="NONE",'10_Analysis_Ready'!$AF$174="MULTIPLE")),AND(((OR('10_Analysis_Ready'!$AG$174="YES",'10_Analysis_Ready'!$AH$174="YES"))*1+('10_Analysis_Ready'!$AI$174="YES")+('10_Analysis_Ready'!$AJ$174="YES")+('10_Analysis_Ready'!$AK$174="YES")+('10_Analysis_Ready'!$AL$174="YES"))&gt;=2,'10_Analysis_Ready'!$AF$174&lt;&gt;"MULTIPLE")),1,0))</f>
        <v>0</v>
      </c>
      <c r="F191">
        <f>IF('10_Analysis_Ready'!$A$174="",0,IF(AND('10_Analysis_Ready'!$AO$174="NO",COUNTIF('10_Analysis_Ready'!$AP$174:$AU$174,"YES")&gt;0),1,0))</f>
        <v>0</v>
      </c>
      <c r="G191">
        <f>IF('10_Analysis_Ready'!$A$174="",0,IF(OR(AND('10_Analysis_Ready'!$Y$174="GAN",'10_Analysis_Ready'!$AA$174="YES"),AND('10_Analysis_Ready'!$Y$174="DIFFUSION",'10_Analysis_Ready'!$Z$174="YES"),AND('10_Analysis_Ready'!$Y$174="GAN+DIFFUSION",OR('10_Analysis_Ready'!$Z$174&lt;&gt;"YES",'10_Analysis_Ready'!$AA$174&lt;&gt;"YES"))),1,0))</f>
        <v>0</v>
      </c>
      <c r="H191">
        <f>IF('10_Analysis_Ready'!$A$174="",0,IF(OR(AND('10_Analysis_Ready'!$BJ$174="NO",OR('10_Analysis_Ready'!$BK$174="HIGH",'10_Analysis_Ready'!$BK$174="VERY HIGH")),AND(((OR('10_Analysis_Ready'!$AG$174="YES",'10_Analysis_Ready'!$AH$174="YES"))*1+('10_Analysis_Ready'!$AI$174="YES")+('10_Analysis_Ready'!$AJ$174="YES")+('10_Analysis_Ready'!$AK$174="YES")+('10_Analysis_Ready'!$AL$174="YES"))=0,'10_Analysis_Ready'!$BJ$174="YES")),1,0))</f>
        <v>0</v>
      </c>
      <c r="I191">
        <f>IF('10_Analysis_Ready'!$A$174="",0,IF(AND(((OR('10_Analysis_Ready'!$AG$174="YES",'10_Analysis_Ready'!$AH$174="YES"))*1+('10_Analysis_Ready'!$AI$174="YES")+('10_Analysis_Ready'!$AJ$174="YES")+('10_Analysis_Ready'!$AK$174="YES")+('10_Analysis_Ready'!$AL$174="YES"))=0,'10_Analysis_Ready'!$AM$174&lt;&gt;"N/A"),1,0))</f>
        <v>0</v>
      </c>
      <c r="J191">
        <f>IF('10_Analysis_Ready'!$A$174="",0,IF(('28_Taxonomy_Coding'!$G$174="NONE")&lt;&gt;(((OR('10_Analysis_Ready'!$AG$174="YES",'10_Analysis_Ready'!$AH$174="YES"))*1+('10_Analysis_Ready'!$AI$174="YES")+('10_Analysis_Ready'!$AJ$174="YES")+('10_Analysis_Ready'!$AK$174="YES")+('10_Analysis_Ready'!$AL$174="YES"))=0),1,0))</f>
        <v>0</v>
      </c>
    </row>
    <row r="192" spans="1:10">
      <c r="A192">
        <v>175</v>
      </c>
      <c r="B192" t="str">
        <f>IF('10_Analysis_Ready'!$A$175="","",'10_Analysis_Ready'!$A$175)</f>
        <v/>
      </c>
      <c r="C192">
        <f>IF('10_Analysis_Ready'!$A$175="",0,IF(AND('28_Taxonomy_Coding'!$A$175='10_Analysis_Ready'!$A$175,'14_Generalization_Map'!$A$175='10_Analysis_Ready'!$A$175),0,1))</f>
        <v>0</v>
      </c>
      <c r="D192">
        <f>IF('10_Analysis_Ready'!$A$175="",0,IF(COUNTIFS('06_Full_Text_Screening'!$A:$A,'10_Analysis_Ready'!$A$175,'06_Full_Text_Screening'!$J:$J,"INCLUDE")=1,0,1))</f>
        <v>0</v>
      </c>
      <c r="E192">
        <f>IF('10_Analysis_Ready'!$A$175="",0,IF(OR(AND(((OR('10_Analysis_Ready'!$AG$175="YES",'10_Analysis_Ready'!$AH$175="YES"))*1+('10_Analysis_Ready'!$AI$175="YES")+('10_Analysis_Ready'!$AJ$175="YES")+('10_Analysis_Ready'!$AK$175="YES")+('10_Analysis_Ready'!$AL$175="YES"))=0,'10_Analysis_Ready'!$AF$175&lt;&gt;"NONE"),AND(((OR('10_Analysis_Ready'!$AG$175="YES",'10_Analysis_Ready'!$AH$175="YES"))*1+('10_Analysis_Ready'!$AI$175="YES")+('10_Analysis_Ready'!$AJ$175="YES")+('10_Analysis_Ready'!$AK$175="YES")+('10_Analysis_Ready'!$AL$175="YES"))=1,OR('10_Analysis_Ready'!$AF$175="NONE",'10_Analysis_Ready'!$AF$175="MULTIPLE")),AND(((OR('10_Analysis_Ready'!$AG$175="YES",'10_Analysis_Ready'!$AH$175="YES"))*1+('10_Analysis_Ready'!$AI$175="YES")+('10_Analysis_Ready'!$AJ$175="YES")+('10_Analysis_Ready'!$AK$175="YES")+('10_Analysis_Ready'!$AL$175="YES"))&gt;=2,'10_Analysis_Ready'!$AF$175&lt;&gt;"MULTIPLE")),1,0))</f>
        <v>0</v>
      </c>
      <c r="F192">
        <f>IF('10_Analysis_Ready'!$A$175="",0,IF(AND('10_Analysis_Ready'!$AO$175="NO",COUNTIF('10_Analysis_Ready'!$AP$175:$AU$175,"YES")&gt;0),1,0))</f>
        <v>0</v>
      </c>
      <c r="G192">
        <f>IF('10_Analysis_Ready'!$A$175="",0,IF(OR(AND('10_Analysis_Ready'!$Y$175="GAN",'10_Analysis_Ready'!$AA$175="YES"),AND('10_Analysis_Ready'!$Y$175="DIFFUSION",'10_Analysis_Ready'!$Z$175="YES"),AND('10_Analysis_Ready'!$Y$175="GAN+DIFFUSION",OR('10_Analysis_Ready'!$Z$175&lt;&gt;"YES",'10_Analysis_Ready'!$AA$175&lt;&gt;"YES"))),1,0))</f>
        <v>0</v>
      </c>
      <c r="H192">
        <f>IF('10_Analysis_Ready'!$A$175="",0,IF(OR(AND('10_Analysis_Ready'!$BJ$175="NO",OR('10_Analysis_Ready'!$BK$175="HIGH",'10_Analysis_Ready'!$BK$175="VERY HIGH")),AND(((OR('10_Analysis_Ready'!$AG$175="YES",'10_Analysis_Ready'!$AH$175="YES"))*1+('10_Analysis_Ready'!$AI$175="YES")+('10_Analysis_Ready'!$AJ$175="YES")+('10_Analysis_Ready'!$AK$175="YES")+('10_Analysis_Ready'!$AL$175="YES"))=0,'10_Analysis_Ready'!$BJ$175="YES")),1,0))</f>
        <v>0</v>
      </c>
      <c r="I192">
        <f>IF('10_Analysis_Ready'!$A$175="",0,IF(AND(((OR('10_Analysis_Ready'!$AG$175="YES",'10_Analysis_Ready'!$AH$175="YES"))*1+('10_Analysis_Ready'!$AI$175="YES")+('10_Analysis_Ready'!$AJ$175="YES")+('10_Analysis_Ready'!$AK$175="YES")+('10_Analysis_Ready'!$AL$175="YES"))=0,'10_Analysis_Ready'!$AM$175&lt;&gt;"N/A"),1,0))</f>
        <v>0</v>
      </c>
      <c r="J192">
        <f>IF('10_Analysis_Ready'!$A$175="",0,IF(('28_Taxonomy_Coding'!$G$175="NONE")&lt;&gt;(((OR('10_Analysis_Ready'!$AG$175="YES",'10_Analysis_Ready'!$AH$175="YES"))*1+('10_Analysis_Ready'!$AI$175="YES")+('10_Analysis_Ready'!$AJ$175="YES")+('10_Analysis_Ready'!$AK$175="YES")+('10_Analysis_Ready'!$AL$175="YES"))=0),1,0))</f>
        <v>0</v>
      </c>
    </row>
    <row r="193" spans="1:10">
      <c r="A193">
        <v>176</v>
      </c>
      <c r="B193" t="str">
        <f>IF('10_Analysis_Ready'!$A$176="","",'10_Analysis_Ready'!$A$176)</f>
        <v/>
      </c>
      <c r="C193">
        <f>IF('10_Analysis_Ready'!$A$176="",0,IF(AND('28_Taxonomy_Coding'!$A$176='10_Analysis_Ready'!$A$176,'14_Generalization_Map'!$A$176='10_Analysis_Ready'!$A$176),0,1))</f>
        <v>0</v>
      </c>
      <c r="D193">
        <f>IF('10_Analysis_Ready'!$A$176="",0,IF(COUNTIFS('06_Full_Text_Screening'!$A:$A,'10_Analysis_Ready'!$A$176,'06_Full_Text_Screening'!$J:$J,"INCLUDE")=1,0,1))</f>
        <v>0</v>
      </c>
      <c r="E193">
        <f>IF('10_Analysis_Ready'!$A$176="",0,IF(OR(AND(((OR('10_Analysis_Ready'!$AG$176="YES",'10_Analysis_Ready'!$AH$176="YES"))*1+('10_Analysis_Ready'!$AI$176="YES")+('10_Analysis_Ready'!$AJ$176="YES")+('10_Analysis_Ready'!$AK$176="YES")+('10_Analysis_Ready'!$AL$176="YES"))=0,'10_Analysis_Ready'!$AF$176&lt;&gt;"NONE"),AND(((OR('10_Analysis_Ready'!$AG$176="YES",'10_Analysis_Ready'!$AH$176="YES"))*1+('10_Analysis_Ready'!$AI$176="YES")+('10_Analysis_Ready'!$AJ$176="YES")+('10_Analysis_Ready'!$AK$176="YES")+('10_Analysis_Ready'!$AL$176="YES"))=1,OR('10_Analysis_Ready'!$AF$176="NONE",'10_Analysis_Ready'!$AF$176="MULTIPLE")),AND(((OR('10_Analysis_Ready'!$AG$176="YES",'10_Analysis_Ready'!$AH$176="YES"))*1+('10_Analysis_Ready'!$AI$176="YES")+('10_Analysis_Ready'!$AJ$176="YES")+('10_Analysis_Ready'!$AK$176="YES")+('10_Analysis_Ready'!$AL$176="YES"))&gt;=2,'10_Analysis_Ready'!$AF$176&lt;&gt;"MULTIPLE")),1,0))</f>
        <v>0</v>
      </c>
      <c r="F193">
        <f>IF('10_Analysis_Ready'!$A$176="",0,IF(AND('10_Analysis_Ready'!$AO$176="NO",COUNTIF('10_Analysis_Ready'!$AP$176:$AU$176,"YES")&gt;0),1,0))</f>
        <v>0</v>
      </c>
      <c r="G193">
        <f>IF('10_Analysis_Ready'!$A$176="",0,IF(OR(AND('10_Analysis_Ready'!$Y$176="GAN",'10_Analysis_Ready'!$AA$176="YES"),AND('10_Analysis_Ready'!$Y$176="DIFFUSION",'10_Analysis_Ready'!$Z$176="YES"),AND('10_Analysis_Ready'!$Y$176="GAN+DIFFUSION",OR('10_Analysis_Ready'!$Z$176&lt;&gt;"YES",'10_Analysis_Ready'!$AA$176&lt;&gt;"YES"))),1,0))</f>
        <v>0</v>
      </c>
      <c r="H193">
        <f>IF('10_Analysis_Ready'!$A$176="",0,IF(OR(AND('10_Analysis_Ready'!$BJ$176="NO",OR('10_Analysis_Ready'!$BK$176="HIGH",'10_Analysis_Ready'!$BK$176="VERY HIGH")),AND(((OR('10_Analysis_Ready'!$AG$176="YES",'10_Analysis_Ready'!$AH$176="YES"))*1+('10_Analysis_Ready'!$AI$176="YES")+('10_Analysis_Ready'!$AJ$176="YES")+('10_Analysis_Ready'!$AK$176="YES")+('10_Analysis_Ready'!$AL$176="YES"))=0,'10_Analysis_Ready'!$BJ$176="YES")),1,0))</f>
        <v>0</v>
      </c>
      <c r="I193">
        <f>IF('10_Analysis_Ready'!$A$176="",0,IF(AND(((OR('10_Analysis_Ready'!$AG$176="YES",'10_Analysis_Ready'!$AH$176="YES"))*1+('10_Analysis_Ready'!$AI$176="YES")+('10_Analysis_Ready'!$AJ$176="YES")+('10_Analysis_Ready'!$AK$176="YES")+('10_Analysis_Ready'!$AL$176="YES"))=0,'10_Analysis_Ready'!$AM$176&lt;&gt;"N/A"),1,0))</f>
        <v>0</v>
      </c>
      <c r="J193">
        <f>IF('10_Analysis_Ready'!$A$176="",0,IF(('28_Taxonomy_Coding'!$G$176="NONE")&lt;&gt;(((OR('10_Analysis_Ready'!$AG$176="YES",'10_Analysis_Ready'!$AH$176="YES"))*1+('10_Analysis_Ready'!$AI$176="YES")+('10_Analysis_Ready'!$AJ$176="YES")+('10_Analysis_Ready'!$AK$176="YES")+('10_Analysis_Ready'!$AL$176="YES"))=0),1,0))</f>
        <v>0</v>
      </c>
    </row>
    <row r="194" spans="1:10">
      <c r="A194">
        <v>177</v>
      </c>
      <c r="B194" t="str">
        <f>IF('10_Analysis_Ready'!$A$177="","",'10_Analysis_Ready'!$A$177)</f>
        <v/>
      </c>
      <c r="C194">
        <f>IF('10_Analysis_Ready'!$A$177="",0,IF(AND('28_Taxonomy_Coding'!$A$177='10_Analysis_Ready'!$A$177,'14_Generalization_Map'!$A$177='10_Analysis_Ready'!$A$177),0,1))</f>
        <v>0</v>
      </c>
      <c r="D194">
        <f>IF('10_Analysis_Ready'!$A$177="",0,IF(COUNTIFS('06_Full_Text_Screening'!$A:$A,'10_Analysis_Ready'!$A$177,'06_Full_Text_Screening'!$J:$J,"INCLUDE")=1,0,1))</f>
        <v>0</v>
      </c>
      <c r="E194">
        <f>IF('10_Analysis_Ready'!$A$177="",0,IF(OR(AND(((OR('10_Analysis_Ready'!$AG$177="YES",'10_Analysis_Ready'!$AH$177="YES"))*1+('10_Analysis_Ready'!$AI$177="YES")+('10_Analysis_Ready'!$AJ$177="YES")+('10_Analysis_Ready'!$AK$177="YES")+('10_Analysis_Ready'!$AL$177="YES"))=0,'10_Analysis_Ready'!$AF$177&lt;&gt;"NONE"),AND(((OR('10_Analysis_Ready'!$AG$177="YES",'10_Analysis_Ready'!$AH$177="YES"))*1+('10_Analysis_Ready'!$AI$177="YES")+('10_Analysis_Ready'!$AJ$177="YES")+('10_Analysis_Ready'!$AK$177="YES")+('10_Analysis_Ready'!$AL$177="YES"))=1,OR('10_Analysis_Ready'!$AF$177="NONE",'10_Analysis_Ready'!$AF$177="MULTIPLE")),AND(((OR('10_Analysis_Ready'!$AG$177="YES",'10_Analysis_Ready'!$AH$177="YES"))*1+('10_Analysis_Ready'!$AI$177="YES")+('10_Analysis_Ready'!$AJ$177="YES")+('10_Analysis_Ready'!$AK$177="YES")+('10_Analysis_Ready'!$AL$177="YES"))&gt;=2,'10_Analysis_Ready'!$AF$177&lt;&gt;"MULTIPLE")),1,0))</f>
        <v>0</v>
      </c>
      <c r="F194">
        <f>IF('10_Analysis_Ready'!$A$177="",0,IF(AND('10_Analysis_Ready'!$AO$177="NO",COUNTIF('10_Analysis_Ready'!$AP$177:$AU$177,"YES")&gt;0),1,0))</f>
        <v>0</v>
      </c>
      <c r="G194">
        <f>IF('10_Analysis_Ready'!$A$177="",0,IF(OR(AND('10_Analysis_Ready'!$Y$177="GAN",'10_Analysis_Ready'!$AA$177="YES"),AND('10_Analysis_Ready'!$Y$177="DIFFUSION",'10_Analysis_Ready'!$Z$177="YES"),AND('10_Analysis_Ready'!$Y$177="GAN+DIFFUSION",OR('10_Analysis_Ready'!$Z$177&lt;&gt;"YES",'10_Analysis_Ready'!$AA$177&lt;&gt;"YES"))),1,0))</f>
        <v>0</v>
      </c>
      <c r="H194">
        <f>IF('10_Analysis_Ready'!$A$177="",0,IF(OR(AND('10_Analysis_Ready'!$BJ$177="NO",OR('10_Analysis_Ready'!$BK$177="HIGH",'10_Analysis_Ready'!$BK$177="VERY HIGH")),AND(((OR('10_Analysis_Ready'!$AG$177="YES",'10_Analysis_Ready'!$AH$177="YES"))*1+('10_Analysis_Ready'!$AI$177="YES")+('10_Analysis_Ready'!$AJ$177="YES")+('10_Analysis_Ready'!$AK$177="YES")+('10_Analysis_Ready'!$AL$177="YES"))=0,'10_Analysis_Ready'!$BJ$177="YES")),1,0))</f>
        <v>0</v>
      </c>
      <c r="I194">
        <f>IF('10_Analysis_Ready'!$A$177="",0,IF(AND(((OR('10_Analysis_Ready'!$AG$177="YES",'10_Analysis_Ready'!$AH$177="YES"))*1+('10_Analysis_Ready'!$AI$177="YES")+('10_Analysis_Ready'!$AJ$177="YES")+('10_Analysis_Ready'!$AK$177="YES")+('10_Analysis_Ready'!$AL$177="YES"))=0,'10_Analysis_Ready'!$AM$177&lt;&gt;"N/A"),1,0))</f>
        <v>0</v>
      </c>
      <c r="J194">
        <f>IF('10_Analysis_Ready'!$A$177="",0,IF(('28_Taxonomy_Coding'!$G$177="NONE")&lt;&gt;(((OR('10_Analysis_Ready'!$AG$177="YES",'10_Analysis_Ready'!$AH$177="YES"))*1+('10_Analysis_Ready'!$AI$177="YES")+('10_Analysis_Ready'!$AJ$177="YES")+('10_Analysis_Ready'!$AK$177="YES")+('10_Analysis_Ready'!$AL$177="YES"))=0),1,0))</f>
        <v>0</v>
      </c>
    </row>
    <row r="195" spans="1:10">
      <c r="A195">
        <v>178</v>
      </c>
      <c r="B195" t="str">
        <f>IF('10_Analysis_Ready'!$A$178="","",'10_Analysis_Ready'!$A$178)</f>
        <v/>
      </c>
      <c r="C195">
        <f>IF('10_Analysis_Ready'!$A$178="",0,IF(AND('28_Taxonomy_Coding'!$A$178='10_Analysis_Ready'!$A$178,'14_Generalization_Map'!$A$178='10_Analysis_Ready'!$A$178),0,1))</f>
        <v>0</v>
      </c>
      <c r="D195">
        <f>IF('10_Analysis_Ready'!$A$178="",0,IF(COUNTIFS('06_Full_Text_Screening'!$A:$A,'10_Analysis_Ready'!$A$178,'06_Full_Text_Screening'!$J:$J,"INCLUDE")=1,0,1))</f>
        <v>0</v>
      </c>
      <c r="E195">
        <f>IF('10_Analysis_Ready'!$A$178="",0,IF(OR(AND(((OR('10_Analysis_Ready'!$AG$178="YES",'10_Analysis_Ready'!$AH$178="YES"))*1+('10_Analysis_Ready'!$AI$178="YES")+('10_Analysis_Ready'!$AJ$178="YES")+('10_Analysis_Ready'!$AK$178="YES")+('10_Analysis_Ready'!$AL$178="YES"))=0,'10_Analysis_Ready'!$AF$178&lt;&gt;"NONE"),AND(((OR('10_Analysis_Ready'!$AG$178="YES",'10_Analysis_Ready'!$AH$178="YES"))*1+('10_Analysis_Ready'!$AI$178="YES")+('10_Analysis_Ready'!$AJ$178="YES")+('10_Analysis_Ready'!$AK$178="YES")+('10_Analysis_Ready'!$AL$178="YES"))=1,OR('10_Analysis_Ready'!$AF$178="NONE",'10_Analysis_Ready'!$AF$178="MULTIPLE")),AND(((OR('10_Analysis_Ready'!$AG$178="YES",'10_Analysis_Ready'!$AH$178="YES"))*1+('10_Analysis_Ready'!$AI$178="YES")+('10_Analysis_Ready'!$AJ$178="YES")+('10_Analysis_Ready'!$AK$178="YES")+('10_Analysis_Ready'!$AL$178="YES"))&gt;=2,'10_Analysis_Ready'!$AF$178&lt;&gt;"MULTIPLE")),1,0))</f>
        <v>0</v>
      </c>
      <c r="F195">
        <f>IF('10_Analysis_Ready'!$A$178="",0,IF(AND('10_Analysis_Ready'!$AO$178="NO",COUNTIF('10_Analysis_Ready'!$AP$178:$AU$178,"YES")&gt;0),1,0))</f>
        <v>0</v>
      </c>
      <c r="G195">
        <f>IF('10_Analysis_Ready'!$A$178="",0,IF(OR(AND('10_Analysis_Ready'!$Y$178="GAN",'10_Analysis_Ready'!$AA$178="YES"),AND('10_Analysis_Ready'!$Y$178="DIFFUSION",'10_Analysis_Ready'!$Z$178="YES"),AND('10_Analysis_Ready'!$Y$178="GAN+DIFFUSION",OR('10_Analysis_Ready'!$Z$178&lt;&gt;"YES",'10_Analysis_Ready'!$AA$178&lt;&gt;"YES"))),1,0))</f>
        <v>0</v>
      </c>
      <c r="H195">
        <f>IF('10_Analysis_Ready'!$A$178="",0,IF(OR(AND('10_Analysis_Ready'!$BJ$178="NO",OR('10_Analysis_Ready'!$BK$178="HIGH",'10_Analysis_Ready'!$BK$178="VERY HIGH")),AND(((OR('10_Analysis_Ready'!$AG$178="YES",'10_Analysis_Ready'!$AH$178="YES"))*1+('10_Analysis_Ready'!$AI$178="YES")+('10_Analysis_Ready'!$AJ$178="YES")+('10_Analysis_Ready'!$AK$178="YES")+('10_Analysis_Ready'!$AL$178="YES"))=0,'10_Analysis_Ready'!$BJ$178="YES")),1,0))</f>
        <v>0</v>
      </c>
      <c r="I195">
        <f>IF('10_Analysis_Ready'!$A$178="",0,IF(AND(((OR('10_Analysis_Ready'!$AG$178="YES",'10_Analysis_Ready'!$AH$178="YES"))*1+('10_Analysis_Ready'!$AI$178="YES")+('10_Analysis_Ready'!$AJ$178="YES")+('10_Analysis_Ready'!$AK$178="YES")+('10_Analysis_Ready'!$AL$178="YES"))=0,'10_Analysis_Ready'!$AM$178&lt;&gt;"N/A"),1,0))</f>
        <v>0</v>
      </c>
      <c r="J195">
        <f>IF('10_Analysis_Ready'!$A$178="",0,IF(('28_Taxonomy_Coding'!$G$178="NONE")&lt;&gt;(((OR('10_Analysis_Ready'!$AG$178="YES",'10_Analysis_Ready'!$AH$178="YES"))*1+('10_Analysis_Ready'!$AI$178="YES")+('10_Analysis_Ready'!$AJ$178="YES")+('10_Analysis_Ready'!$AK$178="YES")+('10_Analysis_Ready'!$AL$178="YES"))=0),1,0))</f>
        <v>0</v>
      </c>
    </row>
    <row r="196" spans="1:10">
      <c r="A196">
        <v>179</v>
      </c>
      <c r="B196" t="str">
        <f>IF('10_Analysis_Ready'!$A$179="","",'10_Analysis_Ready'!$A$179)</f>
        <v/>
      </c>
      <c r="C196">
        <f>IF('10_Analysis_Ready'!$A$179="",0,IF(AND('28_Taxonomy_Coding'!$A$179='10_Analysis_Ready'!$A$179,'14_Generalization_Map'!$A$179='10_Analysis_Ready'!$A$179),0,1))</f>
        <v>0</v>
      </c>
      <c r="D196">
        <f>IF('10_Analysis_Ready'!$A$179="",0,IF(COUNTIFS('06_Full_Text_Screening'!$A:$A,'10_Analysis_Ready'!$A$179,'06_Full_Text_Screening'!$J:$J,"INCLUDE")=1,0,1))</f>
        <v>0</v>
      </c>
      <c r="E196">
        <f>IF('10_Analysis_Ready'!$A$179="",0,IF(OR(AND(((OR('10_Analysis_Ready'!$AG$179="YES",'10_Analysis_Ready'!$AH$179="YES"))*1+('10_Analysis_Ready'!$AI$179="YES")+('10_Analysis_Ready'!$AJ$179="YES")+('10_Analysis_Ready'!$AK$179="YES")+('10_Analysis_Ready'!$AL$179="YES"))=0,'10_Analysis_Ready'!$AF$179&lt;&gt;"NONE"),AND(((OR('10_Analysis_Ready'!$AG$179="YES",'10_Analysis_Ready'!$AH$179="YES"))*1+('10_Analysis_Ready'!$AI$179="YES")+('10_Analysis_Ready'!$AJ$179="YES")+('10_Analysis_Ready'!$AK$179="YES")+('10_Analysis_Ready'!$AL$179="YES"))=1,OR('10_Analysis_Ready'!$AF$179="NONE",'10_Analysis_Ready'!$AF$179="MULTIPLE")),AND(((OR('10_Analysis_Ready'!$AG$179="YES",'10_Analysis_Ready'!$AH$179="YES"))*1+('10_Analysis_Ready'!$AI$179="YES")+('10_Analysis_Ready'!$AJ$179="YES")+('10_Analysis_Ready'!$AK$179="YES")+('10_Analysis_Ready'!$AL$179="YES"))&gt;=2,'10_Analysis_Ready'!$AF$179&lt;&gt;"MULTIPLE")),1,0))</f>
        <v>0</v>
      </c>
      <c r="F196">
        <f>IF('10_Analysis_Ready'!$A$179="",0,IF(AND('10_Analysis_Ready'!$AO$179="NO",COUNTIF('10_Analysis_Ready'!$AP$179:$AU$179,"YES")&gt;0),1,0))</f>
        <v>0</v>
      </c>
      <c r="G196">
        <f>IF('10_Analysis_Ready'!$A$179="",0,IF(OR(AND('10_Analysis_Ready'!$Y$179="GAN",'10_Analysis_Ready'!$AA$179="YES"),AND('10_Analysis_Ready'!$Y$179="DIFFUSION",'10_Analysis_Ready'!$Z$179="YES"),AND('10_Analysis_Ready'!$Y$179="GAN+DIFFUSION",OR('10_Analysis_Ready'!$Z$179&lt;&gt;"YES",'10_Analysis_Ready'!$AA$179&lt;&gt;"YES"))),1,0))</f>
        <v>0</v>
      </c>
      <c r="H196">
        <f>IF('10_Analysis_Ready'!$A$179="",0,IF(OR(AND('10_Analysis_Ready'!$BJ$179="NO",OR('10_Analysis_Ready'!$BK$179="HIGH",'10_Analysis_Ready'!$BK$179="VERY HIGH")),AND(((OR('10_Analysis_Ready'!$AG$179="YES",'10_Analysis_Ready'!$AH$179="YES"))*1+('10_Analysis_Ready'!$AI$179="YES")+('10_Analysis_Ready'!$AJ$179="YES")+('10_Analysis_Ready'!$AK$179="YES")+('10_Analysis_Ready'!$AL$179="YES"))=0,'10_Analysis_Ready'!$BJ$179="YES")),1,0))</f>
        <v>0</v>
      </c>
      <c r="I196">
        <f>IF('10_Analysis_Ready'!$A$179="",0,IF(AND(((OR('10_Analysis_Ready'!$AG$179="YES",'10_Analysis_Ready'!$AH$179="YES"))*1+('10_Analysis_Ready'!$AI$179="YES")+('10_Analysis_Ready'!$AJ$179="YES")+('10_Analysis_Ready'!$AK$179="YES")+('10_Analysis_Ready'!$AL$179="YES"))=0,'10_Analysis_Ready'!$AM$179&lt;&gt;"N/A"),1,0))</f>
        <v>0</v>
      </c>
      <c r="J196">
        <f>IF('10_Analysis_Ready'!$A$179="",0,IF(('28_Taxonomy_Coding'!$G$179="NONE")&lt;&gt;(((OR('10_Analysis_Ready'!$AG$179="YES",'10_Analysis_Ready'!$AH$179="YES"))*1+('10_Analysis_Ready'!$AI$179="YES")+('10_Analysis_Ready'!$AJ$179="YES")+('10_Analysis_Ready'!$AK$179="YES")+('10_Analysis_Ready'!$AL$179="YES"))=0),1,0))</f>
        <v>0</v>
      </c>
    </row>
    <row r="197" spans="1:10">
      <c r="A197">
        <v>180</v>
      </c>
      <c r="B197" t="str">
        <f>IF('10_Analysis_Ready'!$A$180="","",'10_Analysis_Ready'!$A$180)</f>
        <v/>
      </c>
      <c r="C197">
        <f>IF('10_Analysis_Ready'!$A$180="",0,IF(AND('28_Taxonomy_Coding'!$A$180='10_Analysis_Ready'!$A$180,'14_Generalization_Map'!$A$180='10_Analysis_Ready'!$A$180),0,1))</f>
        <v>0</v>
      </c>
      <c r="D197">
        <f>IF('10_Analysis_Ready'!$A$180="",0,IF(COUNTIFS('06_Full_Text_Screening'!$A:$A,'10_Analysis_Ready'!$A$180,'06_Full_Text_Screening'!$J:$J,"INCLUDE")=1,0,1))</f>
        <v>0</v>
      </c>
      <c r="E197">
        <f>IF('10_Analysis_Ready'!$A$180="",0,IF(OR(AND(((OR('10_Analysis_Ready'!$AG$180="YES",'10_Analysis_Ready'!$AH$180="YES"))*1+('10_Analysis_Ready'!$AI$180="YES")+('10_Analysis_Ready'!$AJ$180="YES")+('10_Analysis_Ready'!$AK$180="YES")+('10_Analysis_Ready'!$AL$180="YES"))=0,'10_Analysis_Ready'!$AF$180&lt;&gt;"NONE"),AND(((OR('10_Analysis_Ready'!$AG$180="YES",'10_Analysis_Ready'!$AH$180="YES"))*1+('10_Analysis_Ready'!$AI$180="YES")+('10_Analysis_Ready'!$AJ$180="YES")+('10_Analysis_Ready'!$AK$180="YES")+('10_Analysis_Ready'!$AL$180="YES"))=1,OR('10_Analysis_Ready'!$AF$180="NONE",'10_Analysis_Ready'!$AF$180="MULTIPLE")),AND(((OR('10_Analysis_Ready'!$AG$180="YES",'10_Analysis_Ready'!$AH$180="YES"))*1+('10_Analysis_Ready'!$AI$180="YES")+('10_Analysis_Ready'!$AJ$180="YES")+('10_Analysis_Ready'!$AK$180="YES")+('10_Analysis_Ready'!$AL$180="YES"))&gt;=2,'10_Analysis_Ready'!$AF$180&lt;&gt;"MULTIPLE")),1,0))</f>
        <v>0</v>
      </c>
      <c r="F197">
        <f>IF('10_Analysis_Ready'!$A$180="",0,IF(AND('10_Analysis_Ready'!$AO$180="NO",COUNTIF('10_Analysis_Ready'!$AP$180:$AU$180,"YES")&gt;0),1,0))</f>
        <v>0</v>
      </c>
      <c r="G197">
        <f>IF('10_Analysis_Ready'!$A$180="",0,IF(OR(AND('10_Analysis_Ready'!$Y$180="GAN",'10_Analysis_Ready'!$AA$180="YES"),AND('10_Analysis_Ready'!$Y$180="DIFFUSION",'10_Analysis_Ready'!$Z$180="YES"),AND('10_Analysis_Ready'!$Y$180="GAN+DIFFUSION",OR('10_Analysis_Ready'!$Z$180&lt;&gt;"YES",'10_Analysis_Ready'!$AA$180&lt;&gt;"YES"))),1,0))</f>
        <v>0</v>
      </c>
      <c r="H197">
        <f>IF('10_Analysis_Ready'!$A$180="",0,IF(OR(AND('10_Analysis_Ready'!$BJ$180="NO",OR('10_Analysis_Ready'!$BK$180="HIGH",'10_Analysis_Ready'!$BK$180="VERY HIGH")),AND(((OR('10_Analysis_Ready'!$AG$180="YES",'10_Analysis_Ready'!$AH$180="YES"))*1+('10_Analysis_Ready'!$AI$180="YES")+('10_Analysis_Ready'!$AJ$180="YES")+('10_Analysis_Ready'!$AK$180="YES")+('10_Analysis_Ready'!$AL$180="YES"))=0,'10_Analysis_Ready'!$BJ$180="YES")),1,0))</f>
        <v>0</v>
      </c>
      <c r="I197">
        <f>IF('10_Analysis_Ready'!$A$180="",0,IF(AND(((OR('10_Analysis_Ready'!$AG$180="YES",'10_Analysis_Ready'!$AH$180="YES"))*1+('10_Analysis_Ready'!$AI$180="YES")+('10_Analysis_Ready'!$AJ$180="YES")+('10_Analysis_Ready'!$AK$180="YES")+('10_Analysis_Ready'!$AL$180="YES"))=0,'10_Analysis_Ready'!$AM$180&lt;&gt;"N/A"),1,0))</f>
        <v>0</v>
      </c>
      <c r="J197">
        <f>IF('10_Analysis_Ready'!$A$180="",0,IF(('28_Taxonomy_Coding'!$G$180="NONE")&lt;&gt;(((OR('10_Analysis_Ready'!$AG$180="YES",'10_Analysis_Ready'!$AH$180="YES"))*1+('10_Analysis_Ready'!$AI$180="YES")+('10_Analysis_Ready'!$AJ$180="YES")+('10_Analysis_Ready'!$AK$180="YES")+('10_Analysis_Ready'!$AL$180="YES"))=0),1,0))</f>
        <v>0</v>
      </c>
    </row>
    <row r="198" spans="1:10">
      <c r="A198">
        <v>181</v>
      </c>
      <c r="B198" t="str">
        <f>IF('10_Analysis_Ready'!$A$181="","",'10_Analysis_Ready'!$A$181)</f>
        <v/>
      </c>
      <c r="C198">
        <f>IF('10_Analysis_Ready'!$A$181="",0,IF(AND('28_Taxonomy_Coding'!$A$181='10_Analysis_Ready'!$A$181,'14_Generalization_Map'!$A$181='10_Analysis_Ready'!$A$181),0,1))</f>
        <v>0</v>
      </c>
      <c r="D198">
        <f>IF('10_Analysis_Ready'!$A$181="",0,IF(COUNTIFS('06_Full_Text_Screening'!$A:$A,'10_Analysis_Ready'!$A$181,'06_Full_Text_Screening'!$J:$J,"INCLUDE")=1,0,1))</f>
        <v>0</v>
      </c>
      <c r="E198">
        <f>IF('10_Analysis_Ready'!$A$181="",0,IF(OR(AND(((OR('10_Analysis_Ready'!$AG$181="YES",'10_Analysis_Ready'!$AH$181="YES"))*1+('10_Analysis_Ready'!$AI$181="YES")+('10_Analysis_Ready'!$AJ$181="YES")+('10_Analysis_Ready'!$AK$181="YES")+('10_Analysis_Ready'!$AL$181="YES"))=0,'10_Analysis_Ready'!$AF$181&lt;&gt;"NONE"),AND(((OR('10_Analysis_Ready'!$AG$181="YES",'10_Analysis_Ready'!$AH$181="YES"))*1+('10_Analysis_Ready'!$AI$181="YES")+('10_Analysis_Ready'!$AJ$181="YES")+('10_Analysis_Ready'!$AK$181="YES")+('10_Analysis_Ready'!$AL$181="YES"))=1,OR('10_Analysis_Ready'!$AF$181="NONE",'10_Analysis_Ready'!$AF$181="MULTIPLE")),AND(((OR('10_Analysis_Ready'!$AG$181="YES",'10_Analysis_Ready'!$AH$181="YES"))*1+('10_Analysis_Ready'!$AI$181="YES")+('10_Analysis_Ready'!$AJ$181="YES")+('10_Analysis_Ready'!$AK$181="YES")+('10_Analysis_Ready'!$AL$181="YES"))&gt;=2,'10_Analysis_Ready'!$AF$181&lt;&gt;"MULTIPLE")),1,0))</f>
        <v>0</v>
      </c>
      <c r="F198">
        <f>IF('10_Analysis_Ready'!$A$181="",0,IF(AND('10_Analysis_Ready'!$AO$181="NO",COUNTIF('10_Analysis_Ready'!$AP$181:$AU$181,"YES")&gt;0),1,0))</f>
        <v>0</v>
      </c>
      <c r="G198">
        <f>IF('10_Analysis_Ready'!$A$181="",0,IF(OR(AND('10_Analysis_Ready'!$Y$181="GAN",'10_Analysis_Ready'!$AA$181="YES"),AND('10_Analysis_Ready'!$Y$181="DIFFUSION",'10_Analysis_Ready'!$Z$181="YES"),AND('10_Analysis_Ready'!$Y$181="GAN+DIFFUSION",OR('10_Analysis_Ready'!$Z$181&lt;&gt;"YES",'10_Analysis_Ready'!$AA$181&lt;&gt;"YES"))),1,0))</f>
        <v>0</v>
      </c>
      <c r="H198">
        <f>IF('10_Analysis_Ready'!$A$181="",0,IF(OR(AND('10_Analysis_Ready'!$BJ$181="NO",OR('10_Analysis_Ready'!$BK$181="HIGH",'10_Analysis_Ready'!$BK$181="VERY HIGH")),AND(((OR('10_Analysis_Ready'!$AG$181="YES",'10_Analysis_Ready'!$AH$181="YES"))*1+('10_Analysis_Ready'!$AI$181="YES")+('10_Analysis_Ready'!$AJ$181="YES")+('10_Analysis_Ready'!$AK$181="YES")+('10_Analysis_Ready'!$AL$181="YES"))=0,'10_Analysis_Ready'!$BJ$181="YES")),1,0))</f>
        <v>0</v>
      </c>
      <c r="I198">
        <f>IF('10_Analysis_Ready'!$A$181="",0,IF(AND(((OR('10_Analysis_Ready'!$AG$181="YES",'10_Analysis_Ready'!$AH$181="YES"))*1+('10_Analysis_Ready'!$AI$181="YES")+('10_Analysis_Ready'!$AJ$181="YES")+('10_Analysis_Ready'!$AK$181="YES")+('10_Analysis_Ready'!$AL$181="YES"))=0,'10_Analysis_Ready'!$AM$181&lt;&gt;"N/A"),1,0))</f>
        <v>0</v>
      </c>
      <c r="J198">
        <f>IF('10_Analysis_Ready'!$A$181="",0,IF(('28_Taxonomy_Coding'!$G$181="NONE")&lt;&gt;(((OR('10_Analysis_Ready'!$AG$181="YES",'10_Analysis_Ready'!$AH$181="YES"))*1+('10_Analysis_Ready'!$AI$181="YES")+('10_Analysis_Ready'!$AJ$181="YES")+('10_Analysis_Ready'!$AK$181="YES")+('10_Analysis_Ready'!$AL$181="YES"))=0),1,0))</f>
        <v>0</v>
      </c>
    </row>
    <row r="199" spans="1:10">
      <c r="A199">
        <v>182</v>
      </c>
      <c r="B199" t="str">
        <f>IF('10_Analysis_Ready'!$A$182="","",'10_Analysis_Ready'!$A$182)</f>
        <v/>
      </c>
      <c r="C199">
        <f>IF('10_Analysis_Ready'!$A$182="",0,IF(AND('28_Taxonomy_Coding'!$A$182='10_Analysis_Ready'!$A$182,'14_Generalization_Map'!$A$182='10_Analysis_Ready'!$A$182),0,1))</f>
        <v>0</v>
      </c>
      <c r="D199">
        <f>IF('10_Analysis_Ready'!$A$182="",0,IF(COUNTIFS('06_Full_Text_Screening'!$A:$A,'10_Analysis_Ready'!$A$182,'06_Full_Text_Screening'!$J:$J,"INCLUDE")=1,0,1))</f>
        <v>0</v>
      </c>
      <c r="E199">
        <f>IF('10_Analysis_Ready'!$A$182="",0,IF(OR(AND(((OR('10_Analysis_Ready'!$AG$182="YES",'10_Analysis_Ready'!$AH$182="YES"))*1+('10_Analysis_Ready'!$AI$182="YES")+('10_Analysis_Ready'!$AJ$182="YES")+('10_Analysis_Ready'!$AK$182="YES")+('10_Analysis_Ready'!$AL$182="YES"))=0,'10_Analysis_Ready'!$AF$182&lt;&gt;"NONE"),AND(((OR('10_Analysis_Ready'!$AG$182="YES",'10_Analysis_Ready'!$AH$182="YES"))*1+('10_Analysis_Ready'!$AI$182="YES")+('10_Analysis_Ready'!$AJ$182="YES")+('10_Analysis_Ready'!$AK$182="YES")+('10_Analysis_Ready'!$AL$182="YES"))=1,OR('10_Analysis_Ready'!$AF$182="NONE",'10_Analysis_Ready'!$AF$182="MULTIPLE")),AND(((OR('10_Analysis_Ready'!$AG$182="YES",'10_Analysis_Ready'!$AH$182="YES"))*1+('10_Analysis_Ready'!$AI$182="YES")+('10_Analysis_Ready'!$AJ$182="YES")+('10_Analysis_Ready'!$AK$182="YES")+('10_Analysis_Ready'!$AL$182="YES"))&gt;=2,'10_Analysis_Ready'!$AF$182&lt;&gt;"MULTIPLE")),1,0))</f>
        <v>0</v>
      </c>
      <c r="F199">
        <f>IF('10_Analysis_Ready'!$A$182="",0,IF(AND('10_Analysis_Ready'!$AO$182="NO",COUNTIF('10_Analysis_Ready'!$AP$182:$AU$182,"YES")&gt;0),1,0))</f>
        <v>0</v>
      </c>
      <c r="G199">
        <f>IF('10_Analysis_Ready'!$A$182="",0,IF(OR(AND('10_Analysis_Ready'!$Y$182="GAN",'10_Analysis_Ready'!$AA$182="YES"),AND('10_Analysis_Ready'!$Y$182="DIFFUSION",'10_Analysis_Ready'!$Z$182="YES"),AND('10_Analysis_Ready'!$Y$182="GAN+DIFFUSION",OR('10_Analysis_Ready'!$Z$182&lt;&gt;"YES",'10_Analysis_Ready'!$AA$182&lt;&gt;"YES"))),1,0))</f>
        <v>0</v>
      </c>
      <c r="H199">
        <f>IF('10_Analysis_Ready'!$A$182="",0,IF(OR(AND('10_Analysis_Ready'!$BJ$182="NO",OR('10_Analysis_Ready'!$BK$182="HIGH",'10_Analysis_Ready'!$BK$182="VERY HIGH")),AND(((OR('10_Analysis_Ready'!$AG$182="YES",'10_Analysis_Ready'!$AH$182="YES"))*1+('10_Analysis_Ready'!$AI$182="YES")+('10_Analysis_Ready'!$AJ$182="YES")+('10_Analysis_Ready'!$AK$182="YES")+('10_Analysis_Ready'!$AL$182="YES"))=0,'10_Analysis_Ready'!$BJ$182="YES")),1,0))</f>
        <v>0</v>
      </c>
      <c r="I199">
        <f>IF('10_Analysis_Ready'!$A$182="",0,IF(AND(((OR('10_Analysis_Ready'!$AG$182="YES",'10_Analysis_Ready'!$AH$182="YES"))*1+('10_Analysis_Ready'!$AI$182="YES")+('10_Analysis_Ready'!$AJ$182="YES")+('10_Analysis_Ready'!$AK$182="YES")+('10_Analysis_Ready'!$AL$182="YES"))=0,'10_Analysis_Ready'!$AM$182&lt;&gt;"N/A"),1,0))</f>
        <v>0</v>
      </c>
      <c r="J199">
        <f>IF('10_Analysis_Ready'!$A$182="",0,IF(('28_Taxonomy_Coding'!$G$182="NONE")&lt;&gt;(((OR('10_Analysis_Ready'!$AG$182="YES",'10_Analysis_Ready'!$AH$182="YES"))*1+('10_Analysis_Ready'!$AI$182="YES")+('10_Analysis_Ready'!$AJ$182="YES")+('10_Analysis_Ready'!$AK$182="YES")+('10_Analysis_Ready'!$AL$182="YES"))=0),1,0))</f>
        <v>0</v>
      </c>
    </row>
    <row r="200" spans="1:10">
      <c r="A200">
        <v>183</v>
      </c>
      <c r="B200" t="str">
        <f>IF('10_Analysis_Ready'!$A$183="","",'10_Analysis_Ready'!$A$183)</f>
        <v/>
      </c>
      <c r="C200">
        <f>IF('10_Analysis_Ready'!$A$183="",0,IF(AND('28_Taxonomy_Coding'!$A$183='10_Analysis_Ready'!$A$183,'14_Generalization_Map'!$A$183='10_Analysis_Ready'!$A$183),0,1))</f>
        <v>0</v>
      </c>
      <c r="D200">
        <f>IF('10_Analysis_Ready'!$A$183="",0,IF(COUNTIFS('06_Full_Text_Screening'!$A:$A,'10_Analysis_Ready'!$A$183,'06_Full_Text_Screening'!$J:$J,"INCLUDE")=1,0,1))</f>
        <v>0</v>
      </c>
      <c r="E200">
        <f>IF('10_Analysis_Ready'!$A$183="",0,IF(OR(AND(((OR('10_Analysis_Ready'!$AG$183="YES",'10_Analysis_Ready'!$AH$183="YES"))*1+('10_Analysis_Ready'!$AI$183="YES")+('10_Analysis_Ready'!$AJ$183="YES")+('10_Analysis_Ready'!$AK$183="YES")+('10_Analysis_Ready'!$AL$183="YES"))=0,'10_Analysis_Ready'!$AF$183&lt;&gt;"NONE"),AND(((OR('10_Analysis_Ready'!$AG$183="YES",'10_Analysis_Ready'!$AH$183="YES"))*1+('10_Analysis_Ready'!$AI$183="YES")+('10_Analysis_Ready'!$AJ$183="YES")+('10_Analysis_Ready'!$AK$183="YES")+('10_Analysis_Ready'!$AL$183="YES"))=1,OR('10_Analysis_Ready'!$AF$183="NONE",'10_Analysis_Ready'!$AF$183="MULTIPLE")),AND(((OR('10_Analysis_Ready'!$AG$183="YES",'10_Analysis_Ready'!$AH$183="YES"))*1+('10_Analysis_Ready'!$AI$183="YES")+('10_Analysis_Ready'!$AJ$183="YES")+('10_Analysis_Ready'!$AK$183="YES")+('10_Analysis_Ready'!$AL$183="YES"))&gt;=2,'10_Analysis_Ready'!$AF$183&lt;&gt;"MULTIPLE")),1,0))</f>
        <v>0</v>
      </c>
      <c r="F200">
        <f>IF('10_Analysis_Ready'!$A$183="",0,IF(AND('10_Analysis_Ready'!$AO$183="NO",COUNTIF('10_Analysis_Ready'!$AP$183:$AU$183,"YES")&gt;0),1,0))</f>
        <v>0</v>
      </c>
      <c r="G200">
        <f>IF('10_Analysis_Ready'!$A$183="",0,IF(OR(AND('10_Analysis_Ready'!$Y$183="GAN",'10_Analysis_Ready'!$AA$183="YES"),AND('10_Analysis_Ready'!$Y$183="DIFFUSION",'10_Analysis_Ready'!$Z$183="YES"),AND('10_Analysis_Ready'!$Y$183="GAN+DIFFUSION",OR('10_Analysis_Ready'!$Z$183&lt;&gt;"YES",'10_Analysis_Ready'!$AA$183&lt;&gt;"YES"))),1,0))</f>
        <v>0</v>
      </c>
      <c r="H200">
        <f>IF('10_Analysis_Ready'!$A$183="",0,IF(OR(AND('10_Analysis_Ready'!$BJ$183="NO",OR('10_Analysis_Ready'!$BK$183="HIGH",'10_Analysis_Ready'!$BK$183="VERY HIGH")),AND(((OR('10_Analysis_Ready'!$AG$183="YES",'10_Analysis_Ready'!$AH$183="YES"))*1+('10_Analysis_Ready'!$AI$183="YES")+('10_Analysis_Ready'!$AJ$183="YES")+('10_Analysis_Ready'!$AK$183="YES")+('10_Analysis_Ready'!$AL$183="YES"))=0,'10_Analysis_Ready'!$BJ$183="YES")),1,0))</f>
        <v>0</v>
      </c>
      <c r="I200">
        <f>IF('10_Analysis_Ready'!$A$183="",0,IF(AND(((OR('10_Analysis_Ready'!$AG$183="YES",'10_Analysis_Ready'!$AH$183="YES"))*1+('10_Analysis_Ready'!$AI$183="YES")+('10_Analysis_Ready'!$AJ$183="YES")+('10_Analysis_Ready'!$AK$183="YES")+('10_Analysis_Ready'!$AL$183="YES"))=0,'10_Analysis_Ready'!$AM$183&lt;&gt;"N/A"),1,0))</f>
        <v>0</v>
      </c>
      <c r="J200">
        <f>IF('10_Analysis_Ready'!$A$183="",0,IF(('28_Taxonomy_Coding'!$G$183="NONE")&lt;&gt;(((OR('10_Analysis_Ready'!$AG$183="YES",'10_Analysis_Ready'!$AH$183="YES"))*1+('10_Analysis_Ready'!$AI$183="YES")+('10_Analysis_Ready'!$AJ$183="YES")+('10_Analysis_Ready'!$AK$183="YES")+('10_Analysis_Ready'!$AL$183="YES"))=0),1,0))</f>
        <v>0</v>
      </c>
    </row>
    <row r="201" spans="1:10">
      <c r="A201">
        <v>184</v>
      </c>
      <c r="B201" t="str">
        <f>IF('10_Analysis_Ready'!$A$184="","",'10_Analysis_Ready'!$A$184)</f>
        <v/>
      </c>
      <c r="C201">
        <f>IF('10_Analysis_Ready'!$A$184="",0,IF(AND('28_Taxonomy_Coding'!$A$184='10_Analysis_Ready'!$A$184,'14_Generalization_Map'!$A$184='10_Analysis_Ready'!$A$184),0,1))</f>
        <v>0</v>
      </c>
      <c r="D201">
        <f>IF('10_Analysis_Ready'!$A$184="",0,IF(COUNTIFS('06_Full_Text_Screening'!$A:$A,'10_Analysis_Ready'!$A$184,'06_Full_Text_Screening'!$J:$J,"INCLUDE")=1,0,1))</f>
        <v>0</v>
      </c>
      <c r="E201">
        <f>IF('10_Analysis_Ready'!$A$184="",0,IF(OR(AND(((OR('10_Analysis_Ready'!$AG$184="YES",'10_Analysis_Ready'!$AH$184="YES"))*1+('10_Analysis_Ready'!$AI$184="YES")+('10_Analysis_Ready'!$AJ$184="YES")+('10_Analysis_Ready'!$AK$184="YES")+('10_Analysis_Ready'!$AL$184="YES"))=0,'10_Analysis_Ready'!$AF$184&lt;&gt;"NONE"),AND(((OR('10_Analysis_Ready'!$AG$184="YES",'10_Analysis_Ready'!$AH$184="YES"))*1+('10_Analysis_Ready'!$AI$184="YES")+('10_Analysis_Ready'!$AJ$184="YES")+('10_Analysis_Ready'!$AK$184="YES")+('10_Analysis_Ready'!$AL$184="YES"))=1,OR('10_Analysis_Ready'!$AF$184="NONE",'10_Analysis_Ready'!$AF$184="MULTIPLE")),AND(((OR('10_Analysis_Ready'!$AG$184="YES",'10_Analysis_Ready'!$AH$184="YES"))*1+('10_Analysis_Ready'!$AI$184="YES")+('10_Analysis_Ready'!$AJ$184="YES")+('10_Analysis_Ready'!$AK$184="YES")+('10_Analysis_Ready'!$AL$184="YES"))&gt;=2,'10_Analysis_Ready'!$AF$184&lt;&gt;"MULTIPLE")),1,0))</f>
        <v>0</v>
      </c>
      <c r="F201">
        <f>IF('10_Analysis_Ready'!$A$184="",0,IF(AND('10_Analysis_Ready'!$AO$184="NO",COUNTIF('10_Analysis_Ready'!$AP$184:$AU$184,"YES")&gt;0),1,0))</f>
        <v>0</v>
      </c>
      <c r="G201">
        <f>IF('10_Analysis_Ready'!$A$184="",0,IF(OR(AND('10_Analysis_Ready'!$Y$184="GAN",'10_Analysis_Ready'!$AA$184="YES"),AND('10_Analysis_Ready'!$Y$184="DIFFUSION",'10_Analysis_Ready'!$Z$184="YES"),AND('10_Analysis_Ready'!$Y$184="GAN+DIFFUSION",OR('10_Analysis_Ready'!$Z$184&lt;&gt;"YES",'10_Analysis_Ready'!$AA$184&lt;&gt;"YES"))),1,0))</f>
        <v>0</v>
      </c>
      <c r="H201">
        <f>IF('10_Analysis_Ready'!$A$184="",0,IF(OR(AND('10_Analysis_Ready'!$BJ$184="NO",OR('10_Analysis_Ready'!$BK$184="HIGH",'10_Analysis_Ready'!$BK$184="VERY HIGH")),AND(((OR('10_Analysis_Ready'!$AG$184="YES",'10_Analysis_Ready'!$AH$184="YES"))*1+('10_Analysis_Ready'!$AI$184="YES")+('10_Analysis_Ready'!$AJ$184="YES")+('10_Analysis_Ready'!$AK$184="YES")+('10_Analysis_Ready'!$AL$184="YES"))=0,'10_Analysis_Ready'!$BJ$184="YES")),1,0))</f>
        <v>0</v>
      </c>
      <c r="I201">
        <f>IF('10_Analysis_Ready'!$A$184="",0,IF(AND(((OR('10_Analysis_Ready'!$AG$184="YES",'10_Analysis_Ready'!$AH$184="YES"))*1+('10_Analysis_Ready'!$AI$184="YES")+('10_Analysis_Ready'!$AJ$184="YES")+('10_Analysis_Ready'!$AK$184="YES")+('10_Analysis_Ready'!$AL$184="YES"))=0,'10_Analysis_Ready'!$AM$184&lt;&gt;"N/A"),1,0))</f>
        <v>0</v>
      </c>
      <c r="J201">
        <f>IF('10_Analysis_Ready'!$A$184="",0,IF(('28_Taxonomy_Coding'!$G$184="NONE")&lt;&gt;(((OR('10_Analysis_Ready'!$AG$184="YES",'10_Analysis_Ready'!$AH$184="YES"))*1+('10_Analysis_Ready'!$AI$184="YES")+('10_Analysis_Ready'!$AJ$184="YES")+('10_Analysis_Ready'!$AK$184="YES")+('10_Analysis_Ready'!$AL$184="YES"))=0),1,0))</f>
        <v>0</v>
      </c>
    </row>
    <row r="202" spans="1:10">
      <c r="A202">
        <v>185</v>
      </c>
      <c r="B202" t="str">
        <f>IF('10_Analysis_Ready'!$A$185="","",'10_Analysis_Ready'!$A$185)</f>
        <v/>
      </c>
      <c r="C202">
        <f>IF('10_Analysis_Ready'!$A$185="",0,IF(AND('28_Taxonomy_Coding'!$A$185='10_Analysis_Ready'!$A$185,'14_Generalization_Map'!$A$185='10_Analysis_Ready'!$A$185),0,1))</f>
        <v>0</v>
      </c>
      <c r="D202">
        <f>IF('10_Analysis_Ready'!$A$185="",0,IF(COUNTIFS('06_Full_Text_Screening'!$A:$A,'10_Analysis_Ready'!$A$185,'06_Full_Text_Screening'!$J:$J,"INCLUDE")=1,0,1))</f>
        <v>0</v>
      </c>
      <c r="E202">
        <f>IF('10_Analysis_Ready'!$A$185="",0,IF(OR(AND(((OR('10_Analysis_Ready'!$AG$185="YES",'10_Analysis_Ready'!$AH$185="YES"))*1+('10_Analysis_Ready'!$AI$185="YES")+('10_Analysis_Ready'!$AJ$185="YES")+('10_Analysis_Ready'!$AK$185="YES")+('10_Analysis_Ready'!$AL$185="YES"))=0,'10_Analysis_Ready'!$AF$185&lt;&gt;"NONE"),AND(((OR('10_Analysis_Ready'!$AG$185="YES",'10_Analysis_Ready'!$AH$185="YES"))*1+('10_Analysis_Ready'!$AI$185="YES")+('10_Analysis_Ready'!$AJ$185="YES")+('10_Analysis_Ready'!$AK$185="YES")+('10_Analysis_Ready'!$AL$185="YES"))=1,OR('10_Analysis_Ready'!$AF$185="NONE",'10_Analysis_Ready'!$AF$185="MULTIPLE")),AND(((OR('10_Analysis_Ready'!$AG$185="YES",'10_Analysis_Ready'!$AH$185="YES"))*1+('10_Analysis_Ready'!$AI$185="YES")+('10_Analysis_Ready'!$AJ$185="YES")+('10_Analysis_Ready'!$AK$185="YES")+('10_Analysis_Ready'!$AL$185="YES"))&gt;=2,'10_Analysis_Ready'!$AF$185&lt;&gt;"MULTIPLE")),1,0))</f>
        <v>0</v>
      </c>
      <c r="F202">
        <f>IF('10_Analysis_Ready'!$A$185="",0,IF(AND('10_Analysis_Ready'!$AO$185="NO",COUNTIF('10_Analysis_Ready'!$AP$185:$AU$185,"YES")&gt;0),1,0))</f>
        <v>0</v>
      </c>
      <c r="G202">
        <f>IF('10_Analysis_Ready'!$A$185="",0,IF(OR(AND('10_Analysis_Ready'!$Y$185="GAN",'10_Analysis_Ready'!$AA$185="YES"),AND('10_Analysis_Ready'!$Y$185="DIFFUSION",'10_Analysis_Ready'!$Z$185="YES"),AND('10_Analysis_Ready'!$Y$185="GAN+DIFFUSION",OR('10_Analysis_Ready'!$Z$185&lt;&gt;"YES",'10_Analysis_Ready'!$AA$185&lt;&gt;"YES"))),1,0))</f>
        <v>0</v>
      </c>
      <c r="H202">
        <f>IF('10_Analysis_Ready'!$A$185="",0,IF(OR(AND('10_Analysis_Ready'!$BJ$185="NO",OR('10_Analysis_Ready'!$BK$185="HIGH",'10_Analysis_Ready'!$BK$185="VERY HIGH")),AND(((OR('10_Analysis_Ready'!$AG$185="YES",'10_Analysis_Ready'!$AH$185="YES"))*1+('10_Analysis_Ready'!$AI$185="YES")+('10_Analysis_Ready'!$AJ$185="YES")+('10_Analysis_Ready'!$AK$185="YES")+('10_Analysis_Ready'!$AL$185="YES"))=0,'10_Analysis_Ready'!$BJ$185="YES")),1,0))</f>
        <v>0</v>
      </c>
      <c r="I202">
        <f>IF('10_Analysis_Ready'!$A$185="",0,IF(AND(((OR('10_Analysis_Ready'!$AG$185="YES",'10_Analysis_Ready'!$AH$185="YES"))*1+('10_Analysis_Ready'!$AI$185="YES")+('10_Analysis_Ready'!$AJ$185="YES")+('10_Analysis_Ready'!$AK$185="YES")+('10_Analysis_Ready'!$AL$185="YES"))=0,'10_Analysis_Ready'!$AM$185&lt;&gt;"N/A"),1,0))</f>
        <v>0</v>
      </c>
      <c r="J202">
        <f>IF('10_Analysis_Ready'!$A$185="",0,IF(('28_Taxonomy_Coding'!$G$185="NONE")&lt;&gt;(((OR('10_Analysis_Ready'!$AG$185="YES",'10_Analysis_Ready'!$AH$185="YES"))*1+('10_Analysis_Ready'!$AI$185="YES")+('10_Analysis_Ready'!$AJ$185="YES")+('10_Analysis_Ready'!$AK$185="YES")+('10_Analysis_Ready'!$AL$185="YES"))=0),1,0))</f>
        <v>0</v>
      </c>
    </row>
    <row r="203" spans="1:10">
      <c r="A203">
        <v>186</v>
      </c>
      <c r="B203" t="str">
        <f>IF('10_Analysis_Ready'!$A$186="","",'10_Analysis_Ready'!$A$186)</f>
        <v/>
      </c>
      <c r="C203">
        <f>IF('10_Analysis_Ready'!$A$186="",0,IF(AND('28_Taxonomy_Coding'!$A$186='10_Analysis_Ready'!$A$186,'14_Generalization_Map'!$A$186='10_Analysis_Ready'!$A$186),0,1))</f>
        <v>0</v>
      </c>
      <c r="D203">
        <f>IF('10_Analysis_Ready'!$A$186="",0,IF(COUNTIFS('06_Full_Text_Screening'!$A:$A,'10_Analysis_Ready'!$A$186,'06_Full_Text_Screening'!$J:$J,"INCLUDE")=1,0,1))</f>
        <v>0</v>
      </c>
      <c r="E203">
        <f>IF('10_Analysis_Ready'!$A$186="",0,IF(OR(AND(((OR('10_Analysis_Ready'!$AG$186="YES",'10_Analysis_Ready'!$AH$186="YES"))*1+('10_Analysis_Ready'!$AI$186="YES")+('10_Analysis_Ready'!$AJ$186="YES")+('10_Analysis_Ready'!$AK$186="YES")+('10_Analysis_Ready'!$AL$186="YES"))=0,'10_Analysis_Ready'!$AF$186&lt;&gt;"NONE"),AND(((OR('10_Analysis_Ready'!$AG$186="YES",'10_Analysis_Ready'!$AH$186="YES"))*1+('10_Analysis_Ready'!$AI$186="YES")+('10_Analysis_Ready'!$AJ$186="YES")+('10_Analysis_Ready'!$AK$186="YES")+('10_Analysis_Ready'!$AL$186="YES"))=1,OR('10_Analysis_Ready'!$AF$186="NONE",'10_Analysis_Ready'!$AF$186="MULTIPLE")),AND(((OR('10_Analysis_Ready'!$AG$186="YES",'10_Analysis_Ready'!$AH$186="YES"))*1+('10_Analysis_Ready'!$AI$186="YES")+('10_Analysis_Ready'!$AJ$186="YES")+('10_Analysis_Ready'!$AK$186="YES")+('10_Analysis_Ready'!$AL$186="YES"))&gt;=2,'10_Analysis_Ready'!$AF$186&lt;&gt;"MULTIPLE")),1,0))</f>
        <v>0</v>
      </c>
      <c r="F203">
        <f>IF('10_Analysis_Ready'!$A$186="",0,IF(AND('10_Analysis_Ready'!$AO$186="NO",COUNTIF('10_Analysis_Ready'!$AP$186:$AU$186,"YES")&gt;0),1,0))</f>
        <v>0</v>
      </c>
      <c r="G203">
        <f>IF('10_Analysis_Ready'!$A$186="",0,IF(OR(AND('10_Analysis_Ready'!$Y$186="GAN",'10_Analysis_Ready'!$AA$186="YES"),AND('10_Analysis_Ready'!$Y$186="DIFFUSION",'10_Analysis_Ready'!$Z$186="YES"),AND('10_Analysis_Ready'!$Y$186="GAN+DIFFUSION",OR('10_Analysis_Ready'!$Z$186&lt;&gt;"YES",'10_Analysis_Ready'!$AA$186&lt;&gt;"YES"))),1,0))</f>
        <v>0</v>
      </c>
      <c r="H203">
        <f>IF('10_Analysis_Ready'!$A$186="",0,IF(OR(AND('10_Analysis_Ready'!$BJ$186="NO",OR('10_Analysis_Ready'!$BK$186="HIGH",'10_Analysis_Ready'!$BK$186="VERY HIGH")),AND(((OR('10_Analysis_Ready'!$AG$186="YES",'10_Analysis_Ready'!$AH$186="YES"))*1+('10_Analysis_Ready'!$AI$186="YES")+('10_Analysis_Ready'!$AJ$186="YES")+('10_Analysis_Ready'!$AK$186="YES")+('10_Analysis_Ready'!$AL$186="YES"))=0,'10_Analysis_Ready'!$BJ$186="YES")),1,0))</f>
        <v>0</v>
      </c>
      <c r="I203">
        <f>IF('10_Analysis_Ready'!$A$186="",0,IF(AND(((OR('10_Analysis_Ready'!$AG$186="YES",'10_Analysis_Ready'!$AH$186="YES"))*1+('10_Analysis_Ready'!$AI$186="YES")+('10_Analysis_Ready'!$AJ$186="YES")+('10_Analysis_Ready'!$AK$186="YES")+('10_Analysis_Ready'!$AL$186="YES"))=0,'10_Analysis_Ready'!$AM$186&lt;&gt;"N/A"),1,0))</f>
        <v>0</v>
      </c>
      <c r="J203">
        <f>IF('10_Analysis_Ready'!$A$186="",0,IF(('28_Taxonomy_Coding'!$G$186="NONE")&lt;&gt;(((OR('10_Analysis_Ready'!$AG$186="YES",'10_Analysis_Ready'!$AH$186="YES"))*1+('10_Analysis_Ready'!$AI$186="YES")+('10_Analysis_Ready'!$AJ$186="YES")+('10_Analysis_Ready'!$AK$186="YES")+('10_Analysis_Ready'!$AL$186="YES"))=0),1,0))</f>
        <v>0</v>
      </c>
    </row>
    <row r="204" spans="1:10">
      <c r="A204">
        <v>187</v>
      </c>
      <c r="B204" t="str">
        <f>IF('10_Analysis_Ready'!$A$187="","",'10_Analysis_Ready'!$A$187)</f>
        <v/>
      </c>
      <c r="C204">
        <f>IF('10_Analysis_Ready'!$A$187="",0,IF(AND('28_Taxonomy_Coding'!$A$187='10_Analysis_Ready'!$A$187,'14_Generalization_Map'!$A$187='10_Analysis_Ready'!$A$187),0,1))</f>
        <v>0</v>
      </c>
      <c r="D204">
        <f>IF('10_Analysis_Ready'!$A$187="",0,IF(COUNTIFS('06_Full_Text_Screening'!$A:$A,'10_Analysis_Ready'!$A$187,'06_Full_Text_Screening'!$J:$J,"INCLUDE")=1,0,1))</f>
        <v>0</v>
      </c>
      <c r="E204">
        <f>IF('10_Analysis_Ready'!$A$187="",0,IF(OR(AND(((OR('10_Analysis_Ready'!$AG$187="YES",'10_Analysis_Ready'!$AH$187="YES"))*1+('10_Analysis_Ready'!$AI$187="YES")+('10_Analysis_Ready'!$AJ$187="YES")+('10_Analysis_Ready'!$AK$187="YES")+('10_Analysis_Ready'!$AL$187="YES"))=0,'10_Analysis_Ready'!$AF$187&lt;&gt;"NONE"),AND(((OR('10_Analysis_Ready'!$AG$187="YES",'10_Analysis_Ready'!$AH$187="YES"))*1+('10_Analysis_Ready'!$AI$187="YES")+('10_Analysis_Ready'!$AJ$187="YES")+('10_Analysis_Ready'!$AK$187="YES")+('10_Analysis_Ready'!$AL$187="YES"))=1,OR('10_Analysis_Ready'!$AF$187="NONE",'10_Analysis_Ready'!$AF$187="MULTIPLE")),AND(((OR('10_Analysis_Ready'!$AG$187="YES",'10_Analysis_Ready'!$AH$187="YES"))*1+('10_Analysis_Ready'!$AI$187="YES")+('10_Analysis_Ready'!$AJ$187="YES")+('10_Analysis_Ready'!$AK$187="YES")+('10_Analysis_Ready'!$AL$187="YES"))&gt;=2,'10_Analysis_Ready'!$AF$187&lt;&gt;"MULTIPLE")),1,0))</f>
        <v>0</v>
      </c>
      <c r="F204">
        <f>IF('10_Analysis_Ready'!$A$187="",0,IF(AND('10_Analysis_Ready'!$AO$187="NO",COUNTIF('10_Analysis_Ready'!$AP$187:$AU$187,"YES")&gt;0),1,0))</f>
        <v>0</v>
      </c>
      <c r="G204">
        <f>IF('10_Analysis_Ready'!$A$187="",0,IF(OR(AND('10_Analysis_Ready'!$Y$187="GAN",'10_Analysis_Ready'!$AA$187="YES"),AND('10_Analysis_Ready'!$Y$187="DIFFUSION",'10_Analysis_Ready'!$Z$187="YES"),AND('10_Analysis_Ready'!$Y$187="GAN+DIFFUSION",OR('10_Analysis_Ready'!$Z$187&lt;&gt;"YES",'10_Analysis_Ready'!$AA$187&lt;&gt;"YES"))),1,0))</f>
        <v>0</v>
      </c>
      <c r="H204">
        <f>IF('10_Analysis_Ready'!$A$187="",0,IF(OR(AND('10_Analysis_Ready'!$BJ$187="NO",OR('10_Analysis_Ready'!$BK$187="HIGH",'10_Analysis_Ready'!$BK$187="VERY HIGH")),AND(((OR('10_Analysis_Ready'!$AG$187="YES",'10_Analysis_Ready'!$AH$187="YES"))*1+('10_Analysis_Ready'!$AI$187="YES")+('10_Analysis_Ready'!$AJ$187="YES")+('10_Analysis_Ready'!$AK$187="YES")+('10_Analysis_Ready'!$AL$187="YES"))=0,'10_Analysis_Ready'!$BJ$187="YES")),1,0))</f>
        <v>0</v>
      </c>
      <c r="I204">
        <f>IF('10_Analysis_Ready'!$A$187="",0,IF(AND(((OR('10_Analysis_Ready'!$AG$187="YES",'10_Analysis_Ready'!$AH$187="YES"))*1+('10_Analysis_Ready'!$AI$187="YES")+('10_Analysis_Ready'!$AJ$187="YES")+('10_Analysis_Ready'!$AK$187="YES")+('10_Analysis_Ready'!$AL$187="YES"))=0,'10_Analysis_Ready'!$AM$187&lt;&gt;"N/A"),1,0))</f>
        <v>0</v>
      </c>
      <c r="J204">
        <f>IF('10_Analysis_Ready'!$A$187="",0,IF(('28_Taxonomy_Coding'!$G$187="NONE")&lt;&gt;(((OR('10_Analysis_Ready'!$AG$187="YES",'10_Analysis_Ready'!$AH$187="YES"))*1+('10_Analysis_Ready'!$AI$187="YES")+('10_Analysis_Ready'!$AJ$187="YES")+('10_Analysis_Ready'!$AK$187="YES")+('10_Analysis_Ready'!$AL$187="YES"))=0),1,0))</f>
        <v>0</v>
      </c>
    </row>
    <row r="205" spans="1:10">
      <c r="A205">
        <v>188</v>
      </c>
      <c r="B205" t="str">
        <f>IF('10_Analysis_Ready'!$A$188="","",'10_Analysis_Ready'!$A$188)</f>
        <v/>
      </c>
      <c r="C205">
        <f>IF('10_Analysis_Ready'!$A$188="",0,IF(AND('28_Taxonomy_Coding'!$A$188='10_Analysis_Ready'!$A$188,'14_Generalization_Map'!$A$188='10_Analysis_Ready'!$A$188),0,1))</f>
        <v>0</v>
      </c>
      <c r="D205">
        <f>IF('10_Analysis_Ready'!$A$188="",0,IF(COUNTIFS('06_Full_Text_Screening'!$A:$A,'10_Analysis_Ready'!$A$188,'06_Full_Text_Screening'!$J:$J,"INCLUDE")=1,0,1))</f>
        <v>0</v>
      </c>
      <c r="E205">
        <f>IF('10_Analysis_Ready'!$A$188="",0,IF(OR(AND(((OR('10_Analysis_Ready'!$AG$188="YES",'10_Analysis_Ready'!$AH$188="YES"))*1+('10_Analysis_Ready'!$AI$188="YES")+('10_Analysis_Ready'!$AJ$188="YES")+('10_Analysis_Ready'!$AK$188="YES")+('10_Analysis_Ready'!$AL$188="YES"))=0,'10_Analysis_Ready'!$AF$188&lt;&gt;"NONE"),AND(((OR('10_Analysis_Ready'!$AG$188="YES",'10_Analysis_Ready'!$AH$188="YES"))*1+('10_Analysis_Ready'!$AI$188="YES")+('10_Analysis_Ready'!$AJ$188="YES")+('10_Analysis_Ready'!$AK$188="YES")+('10_Analysis_Ready'!$AL$188="YES"))=1,OR('10_Analysis_Ready'!$AF$188="NONE",'10_Analysis_Ready'!$AF$188="MULTIPLE")),AND(((OR('10_Analysis_Ready'!$AG$188="YES",'10_Analysis_Ready'!$AH$188="YES"))*1+('10_Analysis_Ready'!$AI$188="YES")+('10_Analysis_Ready'!$AJ$188="YES")+('10_Analysis_Ready'!$AK$188="YES")+('10_Analysis_Ready'!$AL$188="YES"))&gt;=2,'10_Analysis_Ready'!$AF$188&lt;&gt;"MULTIPLE")),1,0))</f>
        <v>0</v>
      </c>
      <c r="F205">
        <f>IF('10_Analysis_Ready'!$A$188="",0,IF(AND('10_Analysis_Ready'!$AO$188="NO",COUNTIF('10_Analysis_Ready'!$AP$188:$AU$188,"YES")&gt;0),1,0))</f>
        <v>0</v>
      </c>
      <c r="G205">
        <f>IF('10_Analysis_Ready'!$A$188="",0,IF(OR(AND('10_Analysis_Ready'!$Y$188="GAN",'10_Analysis_Ready'!$AA$188="YES"),AND('10_Analysis_Ready'!$Y$188="DIFFUSION",'10_Analysis_Ready'!$Z$188="YES"),AND('10_Analysis_Ready'!$Y$188="GAN+DIFFUSION",OR('10_Analysis_Ready'!$Z$188&lt;&gt;"YES",'10_Analysis_Ready'!$AA$188&lt;&gt;"YES"))),1,0))</f>
        <v>0</v>
      </c>
      <c r="H205">
        <f>IF('10_Analysis_Ready'!$A$188="",0,IF(OR(AND('10_Analysis_Ready'!$BJ$188="NO",OR('10_Analysis_Ready'!$BK$188="HIGH",'10_Analysis_Ready'!$BK$188="VERY HIGH")),AND(((OR('10_Analysis_Ready'!$AG$188="YES",'10_Analysis_Ready'!$AH$188="YES"))*1+('10_Analysis_Ready'!$AI$188="YES")+('10_Analysis_Ready'!$AJ$188="YES")+('10_Analysis_Ready'!$AK$188="YES")+('10_Analysis_Ready'!$AL$188="YES"))=0,'10_Analysis_Ready'!$BJ$188="YES")),1,0))</f>
        <v>0</v>
      </c>
      <c r="I205">
        <f>IF('10_Analysis_Ready'!$A$188="",0,IF(AND(((OR('10_Analysis_Ready'!$AG$188="YES",'10_Analysis_Ready'!$AH$188="YES"))*1+('10_Analysis_Ready'!$AI$188="YES")+('10_Analysis_Ready'!$AJ$188="YES")+('10_Analysis_Ready'!$AK$188="YES")+('10_Analysis_Ready'!$AL$188="YES"))=0,'10_Analysis_Ready'!$AM$188&lt;&gt;"N/A"),1,0))</f>
        <v>0</v>
      </c>
      <c r="J205">
        <f>IF('10_Analysis_Ready'!$A$188="",0,IF(('28_Taxonomy_Coding'!$G$188="NONE")&lt;&gt;(((OR('10_Analysis_Ready'!$AG$188="YES",'10_Analysis_Ready'!$AH$188="YES"))*1+('10_Analysis_Ready'!$AI$188="YES")+('10_Analysis_Ready'!$AJ$188="YES")+('10_Analysis_Ready'!$AK$188="YES")+('10_Analysis_Ready'!$AL$188="YES"))=0),1,0))</f>
        <v>0</v>
      </c>
    </row>
    <row r="206" spans="1:10">
      <c r="A206">
        <v>189</v>
      </c>
      <c r="B206" t="str">
        <f>IF('10_Analysis_Ready'!$A$189="","",'10_Analysis_Ready'!$A$189)</f>
        <v/>
      </c>
      <c r="C206">
        <f>IF('10_Analysis_Ready'!$A$189="",0,IF(AND('28_Taxonomy_Coding'!$A$189='10_Analysis_Ready'!$A$189,'14_Generalization_Map'!$A$189='10_Analysis_Ready'!$A$189),0,1))</f>
        <v>0</v>
      </c>
      <c r="D206">
        <f>IF('10_Analysis_Ready'!$A$189="",0,IF(COUNTIFS('06_Full_Text_Screening'!$A:$A,'10_Analysis_Ready'!$A$189,'06_Full_Text_Screening'!$J:$J,"INCLUDE")=1,0,1))</f>
        <v>0</v>
      </c>
      <c r="E206">
        <f>IF('10_Analysis_Ready'!$A$189="",0,IF(OR(AND(((OR('10_Analysis_Ready'!$AG$189="YES",'10_Analysis_Ready'!$AH$189="YES"))*1+('10_Analysis_Ready'!$AI$189="YES")+('10_Analysis_Ready'!$AJ$189="YES")+('10_Analysis_Ready'!$AK$189="YES")+('10_Analysis_Ready'!$AL$189="YES"))=0,'10_Analysis_Ready'!$AF$189&lt;&gt;"NONE"),AND(((OR('10_Analysis_Ready'!$AG$189="YES",'10_Analysis_Ready'!$AH$189="YES"))*1+('10_Analysis_Ready'!$AI$189="YES")+('10_Analysis_Ready'!$AJ$189="YES")+('10_Analysis_Ready'!$AK$189="YES")+('10_Analysis_Ready'!$AL$189="YES"))=1,OR('10_Analysis_Ready'!$AF$189="NONE",'10_Analysis_Ready'!$AF$189="MULTIPLE")),AND(((OR('10_Analysis_Ready'!$AG$189="YES",'10_Analysis_Ready'!$AH$189="YES"))*1+('10_Analysis_Ready'!$AI$189="YES")+('10_Analysis_Ready'!$AJ$189="YES")+('10_Analysis_Ready'!$AK$189="YES")+('10_Analysis_Ready'!$AL$189="YES"))&gt;=2,'10_Analysis_Ready'!$AF$189&lt;&gt;"MULTIPLE")),1,0))</f>
        <v>0</v>
      </c>
      <c r="F206">
        <f>IF('10_Analysis_Ready'!$A$189="",0,IF(AND('10_Analysis_Ready'!$AO$189="NO",COUNTIF('10_Analysis_Ready'!$AP$189:$AU$189,"YES")&gt;0),1,0))</f>
        <v>0</v>
      </c>
      <c r="G206">
        <f>IF('10_Analysis_Ready'!$A$189="",0,IF(OR(AND('10_Analysis_Ready'!$Y$189="GAN",'10_Analysis_Ready'!$AA$189="YES"),AND('10_Analysis_Ready'!$Y$189="DIFFUSION",'10_Analysis_Ready'!$Z$189="YES"),AND('10_Analysis_Ready'!$Y$189="GAN+DIFFUSION",OR('10_Analysis_Ready'!$Z$189&lt;&gt;"YES",'10_Analysis_Ready'!$AA$189&lt;&gt;"YES"))),1,0))</f>
        <v>0</v>
      </c>
      <c r="H206">
        <f>IF('10_Analysis_Ready'!$A$189="",0,IF(OR(AND('10_Analysis_Ready'!$BJ$189="NO",OR('10_Analysis_Ready'!$BK$189="HIGH",'10_Analysis_Ready'!$BK$189="VERY HIGH")),AND(((OR('10_Analysis_Ready'!$AG$189="YES",'10_Analysis_Ready'!$AH$189="YES"))*1+('10_Analysis_Ready'!$AI$189="YES")+('10_Analysis_Ready'!$AJ$189="YES")+('10_Analysis_Ready'!$AK$189="YES")+('10_Analysis_Ready'!$AL$189="YES"))=0,'10_Analysis_Ready'!$BJ$189="YES")),1,0))</f>
        <v>0</v>
      </c>
      <c r="I206">
        <f>IF('10_Analysis_Ready'!$A$189="",0,IF(AND(((OR('10_Analysis_Ready'!$AG$189="YES",'10_Analysis_Ready'!$AH$189="YES"))*1+('10_Analysis_Ready'!$AI$189="YES")+('10_Analysis_Ready'!$AJ$189="YES")+('10_Analysis_Ready'!$AK$189="YES")+('10_Analysis_Ready'!$AL$189="YES"))=0,'10_Analysis_Ready'!$AM$189&lt;&gt;"N/A"),1,0))</f>
        <v>0</v>
      </c>
      <c r="J206">
        <f>IF('10_Analysis_Ready'!$A$189="",0,IF(('28_Taxonomy_Coding'!$G$189="NONE")&lt;&gt;(((OR('10_Analysis_Ready'!$AG$189="YES",'10_Analysis_Ready'!$AH$189="YES"))*1+('10_Analysis_Ready'!$AI$189="YES")+('10_Analysis_Ready'!$AJ$189="YES")+('10_Analysis_Ready'!$AK$189="YES")+('10_Analysis_Ready'!$AL$189="YES"))=0),1,0))</f>
        <v>0</v>
      </c>
    </row>
    <row r="207" spans="1:10">
      <c r="A207">
        <v>190</v>
      </c>
      <c r="B207" t="str">
        <f>IF('10_Analysis_Ready'!$A$190="","",'10_Analysis_Ready'!$A$190)</f>
        <v/>
      </c>
      <c r="C207">
        <f>IF('10_Analysis_Ready'!$A$190="",0,IF(AND('28_Taxonomy_Coding'!$A$190='10_Analysis_Ready'!$A$190,'14_Generalization_Map'!$A$190='10_Analysis_Ready'!$A$190),0,1))</f>
        <v>0</v>
      </c>
      <c r="D207">
        <f>IF('10_Analysis_Ready'!$A$190="",0,IF(COUNTIFS('06_Full_Text_Screening'!$A:$A,'10_Analysis_Ready'!$A$190,'06_Full_Text_Screening'!$J:$J,"INCLUDE")=1,0,1))</f>
        <v>0</v>
      </c>
      <c r="E207">
        <f>IF('10_Analysis_Ready'!$A$190="",0,IF(OR(AND(((OR('10_Analysis_Ready'!$AG$190="YES",'10_Analysis_Ready'!$AH$190="YES"))*1+('10_Analysis_Ready'!$AI$190="YES")+('10_Analysis_Ready'!$AJ$190="YES")+('10_Analysis_Ready'!$AK$190="YES")+('10_Analysis_Ready'!$AL$190="YES"))=0,'10_Analysis_Ready'!$AF$190&lt;&gt;"NONE"),AND(((OR('10_Analysis_Ready'!$AG$190="YES",'10_Analysis_Ready'!$AH$190="YES"))*1+('10_Analysis_Ready'!$AI$190="YES")+('10_Analysis_Ready'!$AJ$190="YES")+('10_Analysis_Ready'!$AK$190="YES")+('10_Analysis_Ready'!$AL$190="YES"))=1,OR('10_Analysis_Ready'!$AF$190="NONE",'10_Analysis_Ready'!$AF$190="MULTIPLE")),AND(((OR('10_Analysis_Ready'!$AG$190="YES",'10_Analysis_Ready'!$AH$190="YES"))*1+('10_Analysis_Ready'!$AI$190="YES")+('10_Analysis_Ready'!$AJ$190="YES")+('10_Analysis_Ready'!$AK$190="YES")+('10_Analysis_Ready'!$AL$190="YES"))&gt;=2,'10_Analysis_Ready'!$AF$190&lt;&gt;"MULTIPLE")),1,0))</f>
        <v>0</v>
      </c>
      <c r="F207">
        <f>IF('10_Analysis_Ready'!$A$190="",0,IF(AND('10_Analysis_Ready'!$AO$190="NO",COUNTIF('10_Analysis_Ready'!$AP$190:$AU$190,"YES")&gt;0),1,0))</f>
        <v>0</v>
      </c>
      <c r="G207">
        <f>IF('10_Analysis_Ready'!$A$190="",0,IF(OR(AND('10_Analysis_Ready'!$Y$190="GAN",'10_Analysis_Ready'!$AA$190="YES"),AND('10_Analysis_Ready'!$Y$190="DIFFUSION",'10_Analysis_Ready'!$Z$190="YES"),AND('10_Analysis_Ready'!$Y$190="GAN+DIFFUSION",OR('10_Analysis_Ready'!$Z$190&lt;&gt;"YES",'10_Analysis_Ready'!$AA$190&lt;&gt;"YES"))),1,0))</f>
        <v>0</v>
      </c>
      <c r="H207">
        <f>IF('10_Analysis_Ready'!$A$190="",0,IF(OR(AND('10_Analysis_Ready'!$BJ$190="NO",OR('10_Analysis_Ready'!$BK$190="HIGH",'10_Analysis_Ready'!$BK$190="VERY HIGH")),AND(((OR('10_Analysis_Ready'!$AG$190="YES",'10_Analysis_Ready'!$AH$190="YES"))*1+('10_Analysis_Ready'!$AI$190="YES")+('10_Analysis_Ready'!$AJ$190="YES")+('10_Analysis_Ready'!$AK$190="YES")+('10_Analysis_Ready'!$AL$190="YES"))=0,'10_Analysis_Ready'!$BJ$190="YES")),1,0))</f>
        <v>0</v>
      </c>
      <c r="I207">
        <f>IF('10_Analysis_Ready'!$A$190="",0,IF(AND(((OR('10_Analysis_Ready'!$AG$190="YES",'10_Analysis_Ready'!$AH$190="YES"))*1+('10_Analysis_Ready'!$AI$190="YES")+('10_Analysis_Ready'!$AJ$190="YES")+('10_Analysis_Ready'!$AK$190="YES")+('10_Analysis_Ready'!$AL$190="YES"))=0,'10_Analysis_Ready'!$AM$190&lt;&gt;"N/A"),1,0))</f>
        <v>0</v>
      </c>
      <c r="J207">
        <f>IF('10_Analysis_Ready'!$A$190="",0,IF(('28_Taxonomy_Coding'!$G$190="NONE")&lt;&gt;(((OR('10_Analysis_Ready'!$AG$190="YES",'10_Analysis_Ready'!$AH$190="YES"))*1+('10_Analysis_Ready'!$AI$190="YES")+('10_Analysis_Ready'!$AJ$190="YES")+('10_Analysis_Ready'!$AK$190="YES")+('10_Analysis_Ready'!$AL$190="YES"))=0),1,0))</f>
        <v>0</v>
      </c>
    </row>
    <row r="208" spans="1:10">
      <c r="A208">
        <v>191</v>
      </c>
      <c r="B208" t="str">
        <f>IF('10_Analysis_Ready'!$A$191="","",'10_Analysis_Ready'!$A$191)</f>
        <v/>
      </c>
      <c r="C208">
        <f>IF('10_Analysis_Ready'!$A$191="",0,IF(AND('28_Taxonomy_Coding'!$A$191='10_Analysis_Ready'!$A$191,'14_Generalization_Map'!$A$191='10_Analysis_Ready'!$A$191),0,1))</f>
        <v>0</v>
      </c>
      <c r="D208">
        <f>IF('10_Analysis_Ready'!$A$191="",0,IF(COUNTIFS('06_Full_Text_Screening'!$A:$A,'10_Analysis_Ready'!$A$191,'06_Full_Text_Screening'!$J:$J,"INCLUDE")=1,0,1))</f>
        <v>0</v>
      </c>
      <c r="E208">
        <f>IF('10_Analysis_Ready'!$A$191="",0,IF(OR(AND(((OR('10_Analysis_Ready'!$AG$191="YES",'10_Analysis_Ready'!$AH$191="YES"))*1+('10_Analysis_Ready'!$AI$191="YES")+('10_Analysis_Ready'!$AJ$191="YES")+('10_Analysis_Ready'!$AK$191="YES")+('10_Analysis_Ready'!$AL$191="YES"))=0,'10_Analysis_Ready'!$AF$191&lt;&gt;"NONE"),AND(((OR('10_Analysis_Ready'!$AG$191="YES",'10_Analysis_Ready'!$AH$191="YES"))*1+('10_Analysis_Ready'!$AI$191="YES")+('10_Analysis_Ready'!$AJ$191="YES")+('10_Analysis_Ready'!$AK$191="YES")+('10_Analysis_Ready'!$AL$191="YES"))=1,OR('10_Analysis_Ready'!$AF$191="NONE",'10_Analysis_Ready'!$AF$191="MULTIPLE")),AND(((OR('10_Analysis_Ready'!$AG$191="YES",'10_Analysis_Ready'!$AH$191="YES"))*1+('10_Analysis_Ready'!$AI$191="YES")+('10_Analysis_Ready'!$AJ$191="YES")+('10_Analysis_Ready'!$AK$191="YES")+('10_Analysis_Ready'!$AL$191="YES"))&gt;=2,'10_Analysis_Ready'!$AF$191&lt;&gt;"MULTIPLE")),1,0))</f>
        <v>0</v>
      </c>
      <c r="F208">
        <f>IF('10_Analysis_Ready'!$A$191="",0,IF(AND('10_Analysis_Ready'!$AO$191="NO",COUNTIF('10_Analysis_Ready'!$AP$191:$AU$191,"YES")&gt;0),1,0))</f>
        <v>0</v>
      </c>
      <c r="G208">
        <f>IF('10_Analysis_Ready'!$A$191="",0,IF(OR(AND('10_Analysis_Ready'!$Y$191="GAN",'10_Analysis_Ready'!$AA$191="YES"),AND('10_Analysis_Ready'!$Y$191="DIFFUSION",'10_Analysis_Ready'!$Z$191="YES"),AND('10_Analysis_Ready'!$Y$191="GAN+DIFFUSION",OR('10_Analysis_Ready'!$Z$191&lt;&gt;"YES",'10_Analysis_Ready'!$AA$191&lt;&gt;"YES"))),1,0))</f>
        <v>0</v>
      </c>
      <c r="H208">
        <f>IF('10_Analysis_Ready'!$A$191="",0,IF(OR(AND('10_Analysis_Ready'!$BJ$191="NO",OR('10_Analysis_Ready'!$BK$191="HIGH",'10_Analysis_Ready'!$BK$191="VERY HIGH")),AND(((OR('10_Analysis_Ready'!$AG$191="YES",'10_Analysis_Ready'!$AH$191="YES"))*1+('10_Analysis_Ready'!$AI$191="YES")+('10_Analysis_Ready'!$AJ$191="YES")+('10_Analysis_Ready'!$AK$191="YES")+('10_Analysis_Ready'!$AL$191="YES"))=0,'10_Analysis_Ready'!$BJ$191="YES")),1,0))</f>
        <v>0</v>
      </c>
      <c r="I208">
        <f>IF('10_Analysis_Ready'!$A$191="",0,IF(AND(((OR('10_Analysis_Ready'!$AG$191="YES",'10_Analysis_Ready'!$AH$191="YES"))*1+('10_Analysis_Ready'!$AI$191="YES")+('10_Analysis_Ready'!$AJ$191="YES")+('10_Analysis_Ready'!$AK$191="YES")+('10_Analysis_Ready'!$AL$191="YES"))=0,'10_Analysis_Ready'!$AM$191&lt;&gt;"N/A"),1,0))</f>
        <v>0</v>
      </c>
      <c r="J208">
        <f>IF('10_Analysis_Ready'!$A$191="",0,IF(('28_Taxonomy_Coding'!$G$191="NONE")&lt;&gt;(((OR('10_Analysis_Ready'!$AG$191="YES",'10_Analysis_Ready'!$AH$191="YES"))*1+('10_Analysis_Ready'!$AI$191="YES")+('10_Analysis_Ready'!$AJ$191="YES")+('10_Analysis_Ready'!$AK$191="YES")+('10_Analysis_Ready'!$AL$191="YES"))=0),1,0))</f>
        <v>0</v>
      </c>
    </row>
    <row r="209" spans="1:10">
      <c r="A209">
        <v>192</v>
      </c>
      <c r="B209" t="str">
        <f>IF('10_Analysis_Ready'!$A$192="","",'10_Analysis_Ready'!$A$192)</f>
        <v/>
      </c>
      <c r="C209">
        <f>IF('10_Analysis_Ready'!$A$192="",0,IF(AND('28_Taxonomy_Coding'!$A$192='10_Analysis_Ready'!$A$192,'14_Generalization_Map'!$A$192='10_Analysis_Ready'!$A$192),0,1))</f>
        <v>0</v>
      </c>
      <c r="D209">
        <f>IF('10_Analysis_Ready'!$A$192="",0,IF(COUNTIFS('06_Full_Text_Screening'!$A:$A,'10_Analysis_Ready'!$A$192,'06_Full_Text_Screening'!$J:$J,"INCLUDE")=1,0,1))</f>
        <v>0</v>
      </c>
      <c r="E209">
        <f>IF('10_Analysis_Ready'!$A$192="",0,IF(OR(AND(((OR('10_Analysis_Ready'!$AG$192="YES",'10_Analysis_Ready'!$AH$192="YES"))*1+('10_Analysis_Ready'!$AI$192="YES")+('10_Analysis_Ready'!$AJ$192="YES")+('10_Analysis_Ready'!$AK$192="YES")+('10_Analysis_Ready'!$AL$192="YES"))=0,'10_Analysis_Ready'!$AF$192&lt;&gt;"NONE"),AND(((OR('10_Analysis_Ready'!$AG$192="YES",'10_Analysis_Ready'!$AH$192="YES"))*1+('10_Analysis_Ready'!$AI$192="YES")+('10_Analysis_Ready'!$AJ$192="YES")+('10_Analysis_Ready'!$AK$192="YES")+('10_Analysis_Ready'!$AL$192="YES"))=1,OR('10_Analysis_Ready'!$AF$192="NONE",'10_Analysis_Ready'!$AF$192="MULTIPLE")),AND(((OR('10_Analysis_Ready'!$AG$192="YES",'10_Analysis_Ready'!$AH$192="YES"))*1+('10_Analysis_Ready'!$AI$192="YES")+('10_Analysis_Ready'!$AJ$192="YES")+('10_Analysis_Ready'!$AK$192="YES")+('10_Analysis_Ready'!$AL$192="YES"))&gt;=2,'10_Analysis_Ready'!$AF$192&lt;&gt;"MULTIPLE")),1,0))</f>
        <v>0</v>
      </c>
      <c r="F209">
        <f>IF('10_Analysis_Ready'!$A$192="",0,IF(AND('10_Analysis_Ready'!$AO$192="NO",COUNTIF('10_Analysis_Ready'!$AP$192:$AU$192,"YES")&gt;0),1,0))</f>
        <v>0</v>
      </c>
      <c r="G209">
        <f>IF('10_Analysis_Ready'!$A$192="",0,IF(OR(AND('10_Analysis_Ready'!$Y$192="GAN",'10_Analysis_Ready'!$AA$192="YES"),AND('10_Analysis_Ready'!$Y$192="DIFFUSION",'10_Analysis_Ready'!$Z$192="YES"),AND('10_Analysis_Ready'!$Y$192="GAN+DIFFUSION",OR('10_Analysis_Ready'!$Z$192&lt;&gt;"YES",'10_Analysis_Ready'!$AA$192&lt;&gt;"YES"))),1,0))</f>
        <v>0</v>
      </c>
      <c r="H209">
        <f>IF('10_Analysis_Ready'!$A$192="",0,IF(OR(AND('10_Analysis_Ready'!$BJ$192="NO",OR('10_Analysis_Ready'!$BK$192="HIGH",'10_Analysis_Ready'!$BK$192="VERY HIGH")),AND(((OR('10_Analysis_Ready'!$AG$192="YES",'10_Analysis_Ready'!$AH$192="YES"))*1+('10_Analysis_Ready'!$AI$192="YES")+('10_Analysis_Ready'!$AJ$192="YES")+('10_Analysis_Ready'!$AK$192="YES")+('10_Analysis_Ready'!$AL$192="YES"))=0,'10_Analysis_Ready'!$BJ$192="YES")),1,0))</f>
        <v>0</v>
      </c>
      <c r="I209">
        <f>IF('10_Analysis_Ready'!$A$192="",0,IF(AND(((OR('10_Analysis_Ready'!$AG$192="YES",'10_Analysis_Ready'!$AH$192="YES"))*1+('10_Analysis_Ready'!$AI$192="YES")+('10_Analysis_Ready'!$AJ$192="YES")+('10_Analysis_Ready'!$AK$192="YES")+('10_Analysis_Ready'!$AL$192="YES"))=0,'10_Analysis_Ready'!$AM$192&lt;&gt;"N/A"),1,0))</f>
        <v>0</v>
      </c>
      <c r="J209">
        <f>IF('10_Analysis_Ready'!$A$192="",0,IF(('28_Taxonomy_Coding'!$G$192="NONE")&lt;&gt;(((OR('10_Analysis_Ready'!$AG$192="YES",'10_Analysis_Ready'!$AH$192="YES"))*1+('10_Analysis_Ready'!$AI$192="YES")+('10_Analysis_Ready'!$AJ$192="YES")+('10_Analysis_Ready'!$AK$192="YES")+('10_Analysis_Ready'!$AL$192="YES"))=0),1,0))</f>
        <v>0</v>
      </c>
    </row>
    <row r="210" spans="1:10">
      <c r="A210">
        <v>193</v>
      </c>
      <c r="B210" t="str">
        <f>IF('10_Analysis_Ready'!$A$193="","",'10_Analysis_Ready'!$A$193)</f>
        <v/>
      </c>
      <c r="C210">
        <f>IF('10_Analysis_Ready'!$A$193="",0,IF(AND('28_Taxonomy_Coding'!$A$193='10_Analysis_Ready'!$A$193,'14_Generalization_Map'!$A$193='10_Analysis_Ready'!$A$193),0,1))</f>
        <v>0</v>
      </c>
      <c r="D210">
        <f>IF('10_Analysis_Ready'!$A$193="",0,IF(COUNTIFS('06_Full_Text_Screening'!$A:$A,'10_Analysis_Ready'!$A$193,'06_Full_Text_Screening'!$J:$J,"INCLUDE")=1,0,1))</f>
        <v>0</v>
      </c>
      <c r="E210">
        <f>IF('10_Analysis_Ready'!$A$193="",0,IF(OR(AND(((OR('10_Analysis_Ready'!$AG$193="YES",'10_Analysis_Ready'!$AH$193="YES"))*1+('10_Analysis_Ready'!$AI$193="YES")+('10_Analysis_Ready'!$AJ$193="YES")+('10_Analysis_Ready'!$AK$193="YES")+('10_Analysis_Ready'!$AL$193="YES"))=0,'10_Analysis_Ready'!$AF$193&lt;&gt;"NONE"),AND(((OR('10_Analysis_Ready'!$AG$193="YES",'10_Analysis_Ready'!$AH$193="YES"))*1+('10_Analysis_Ready'!$AI$193="YES")+('10_Analysis_Ready'!$AJ$193="YES")+('10_Analysis_Ready'!$AK$193="YES")+('10_Analysis_Ready'!$AL$193="YES"))=1,OR('10_Analysis_Ready'!$AF$193="NONE",'10_Analysis_Ready'!$AF$193="MULTIPLE")),AND(((OR('10_Analysis_Ready'!$AG$193="YES",'10_Analysis_Ready'!$AH$193="YES"))*1+('10_Analysis_Ready'!$AI$193="YES")+('10_Analysis_Ready'!$AJ$193="YES")+('10_Analysis_Ready'!$AK$193="YES")+('10_Analysis_Ready'!$AL$193="YES"))&gt;=2,'10_Analysis_Ready'!$AF$193&lt;&gt;"MULTIPLE")),1,0))</f>
        <v>0</v>
      </c>
      <c r="F210">
        <f>IF('10_Analysis_Ready'!$A$193="",0,IF(AND('10_Analysis_Ready'!$AO$193="NO",COUNTIF('10_Analysis_Ready'!$AP$193:$AU$193,"YES")&gt;0),1,0))</f>
        <v>0</v>
      </c>
      <c r="G210">
        <f>IF('10_Analysis_Ready'!$A$193="",0,IF(OR(AND('10_Analysis_Ready'!$Y$193="GAN",'10_Analysis_Ready'!$AA$193="YES"),AND('10_Analysis_Ready'!$Y$193="DIFFUSION",'10_Analysis_Ready'!$Z$193="YES"),AND('10_Analysis_Ready'!$Y$193="GAN+DIFFUSION",OR('10_Analysis_Ready'!$Z$193&lt;&gt;"YES",'10_Analysis_Ready'!$AA$193&lt;&gt;"YES"))),1,0))</f>
        <v>0</v>
      </c>
      <c r="H210">
        <f>IF('10_Analysis_Ready'!$A$193="",0,IF(OR(AND('10_Analysis_Ready'!$BJ$193="NO",OR('10_Analysis_Ready'!$BK$193="HIGH",'10_Analysis_Ready'!$BK$193="VERY HIGH")),AND(((OR('10_Analysis_Ready'!$AG$193="YES",'10_Analysis_Ready'!$AH$193="YES"))*1+('10_Analysis_Ready'!$AI$193="YES")+('10_Analysis_Ready'!$AJ$193="YES")+('10_Analysis_Ready'!$AK$193="YES")+('10_Analysis_Ready'!$AL$193="YES"))=0,'10_Analysis_Ready'!$BJ$193="YES")),1,0))</f>
        <v>0</v>
      </c>
      <c r="I210">
        <f>IF('10_Analysis_Ready'!$A$193="",0,IF(AND(((OR('10_Analysis_Ready'!$AG$193="YES",'10_Analysis_Ready'!$AH$193="YES"))*1+('10_Analysis_Ready'!$AI$193="YES")+('10_Analysis_Ready'!$AJ$193="YES")+('10_Analysis_Ready'!$AK$193="YES")+('10_Analysis_Ready'!$AL$193="YES"))=0,'10_Analysis_Ready'!$AM$193&lt;&gt;"N/A"),1,0))</f>
        <v>0</v>
      </c>
      <c r="J210">
        <f>IF('10_Analysis_Ready'!$A$193="",0,IF(('28_Taxonomy_Coding'!$G$193="NONE")&lt;&gt;(((OR('10_Analysis_Ready'!$AG$193="YES",'10_Analysis_Ready'!$AH$193="YES"))*1+('10_Analysis_Ready'!$AI$193="YES")+('10_Analysis_Ready'!$AJ$193="YES")+('10_Analysis_Ready'!$AK$193="YES")+('10_Analysis_Ready'!$AL$193="YES"))=0),1,0))</f>
        <v>0</v>
      </c>
    </row>
    <row r="211" spans="1:10">
      <c r="A211">
        <v>194</v>
      </c>
      <c r="B211" t="str">
        <f>IF('10_Analysis_Ready'!$A$194="","",'10_Analysis_Ready'!$A$194)</f>
        <v/>
      </c>
      <c r="C211">
        <f>IF('10_Analysis_Ready'!$A$194="",0,IF(AND('28_Taxonomy_Coding'!$A$194='10_Analysis_Ready'!$A$194,'14_Generalization_Map'!$A$194='10_Analysis_Ready'!$A$194),0,1))</f>
        <v>0</v>
      </c>
      <c r="D211">
        <f>IF('10_Analysis_Ready'!$A$194="",0,IF(COUNTIFS('06_Full_Text_Screening'!$A:$A,'10_Analysis_Ready'!$A$194,'06_Full_Text_Screening'!$J:$J,"INCLUDE")=1,0,1))</f>
        <v>0</v>
      </c>
      <c r="E211">
        <f>IF('10_Analysis_Ready'!$A$194="",0,IF(OR(AND(((OR('10_Analysis_Ready'!$AG$194="YES",'10_Analysis_Ready'!$AH$194="YES"))*1+('10_Analysis_Ready'!$AI$194="YES")+('10_Analysis_Ready'!$AJ$194="YES")+('10_Analysis_Ready'!$AK$194="YES")+('10_Analysis_Ready'!$AL$194="YES"))=0,'10_Analysis_Ready'!$AF$194&lt;&gt;"NONE"),AND(((OR('10_Analysis_Ready'!$AG$194="YES",'10_Analysis_Ready'!$AH$194="YES"))*1+('10_Analysis_Ready'!$AI$194="YES")+('10_Analysis_Ready'!$AJ$194="YES")+('10_Analysis_Ready'!$AK$194="YES")+('10_Analysis_Ready'!$AL$194="YES"))=1,OR('10_Analysis_Ready'!$AF$194="NONE",'10_Analysis_Ready'!$AF$194="MULTIPLE")),AND(((OR('10_Analysis_Ready'!$AG$194="YES",'10_Analysis_Ready'!$AH$194="YES"))*1+('10_Analysis_Ready'!$AI$194="YES")+('10_Analysis_Ready'!$AJ$194="YES")+('10_Analysis_Ready'!$AK$194="YES")+('10_Analysis_Ready'!$AL$194="YES"))&gt;=2,'10_Analysis_Ready'!$AF$194&lt;&gt;"MULTIPLE")),1,0))</f>
        <v>0</v>
      </c>
      <c r="F211">
        <f>IF('10_Analysis_Ready'!$A$194="",0,IF(AND('10_Analysis_Ready'!$AO$194="NO",COUNTIF('10_Analysis_Ready'!$AP$194:$AU$194,"YES")&gt;0),1,0))</f>
        <v>0</v>
      </c>
      <c r="G211">
        <f>IF('10_Analysis_Ready'!$A$194="",0,IF(OR(AND('10_Analysis_Ready'!$Y$194="GAN",'10_Analysis_Ready'!$AA$194="YES"),AND('10_Analysis_Ready'!$Y$194="DIFFUSION",'10_Analysis_Ready'!$Z$194="YES"),AND('10_Analysis_Ready'!$Y$194="GAN+DIFFUSION",OR('10_Analysis_Ready'!$Z$194&lt;&gt;"YES",'10_Analysis_Ready'!$AA$194&lt;&gt;"YES"))),1,0))</f>
        <v>0</v>
      </c>
      <c r="H211">
        <f>IF('10_Analysis_Ready'!$A$194="",0,IF(OR(AND('10_Analysis_Ready'!$BJ$194="NO",OR('10_Analysis_Ready'!$BK$194="HIGH",'10_Analysis_Ready'!$BK$194="VERY HIGH")),AND(((OR('10_Analysis_Ready'!$AG$194="YES",'10_Analysis_Ready'!$AH$194="YES"))*1+('10_Analysis_Ready'!$AI$194="YES")+('10_Analysis_Ready'!$AJ$194="YES")+('10_Analysis_Ready'!$AK$194="YES")+('10_Analysis_Ready'!$AL$194="YES"))=0,'10_Analysis_Ready'!$BJ$194="YES")),1,0))</f>
        <v>0</v>
      </c>
      <c r="I211">
        <f>IF('10_Analysis_Ready'!$A$194="",0,IF(AND(((OR('10_Analysis_Ready'!$AG$194="YES",'10_Analysis_Ready'!$AH$194="YES"))*1+('10_Analysis_Ready'!$AI$194="YES")+('10_Analysis_Ready'!$AJ$194="YES")+('10_Analysis_Ready'!$AK$194="YES")+('10_Analysis_Ready'!$AL$194="YES"))=0,'10_Analysis_Ready'!$AM$194&lt;&gt;"N/A"),1,0))</f>
        <v>0</v>
      </c>
      <c r="J211">
        <f>IF('10_Analysis_Ready'!$A$194="",0,IF(('28_Taxonomy_Coding'!$G$194="NONE")&lt;&gt;(((OR('10_Analysis_Ready'!$AG$194="YES",'10_Analysis_Ready'!$AH$194="YES"))*1+('10_Analysis_Ready'!$AI$194="YES")+('10_Analysis_Ready'!$AJ$194="YES")+('10_Analysis_Ready'!$AK$194="YES")+('10_Analysis_Ready'!$AL$194="YES"))=0),1,0))</f>
        <v>0</v>
      </c>
    </row>
    <row r="212" spans="1:10">
      <c r="A212">
        <v>195</v>
      </c>
      <c r="B212" t="str">
        <f>IF('10_Analysis_Ready'!$A$195="","",'10_Analysis_Ready'!$A$195)</f>
        <v/>
      </c>
      <c r="C212">
        <f>IF('10_Analysis_Ready'!$A$195="",0,IF(AND('28_Taxonomy_Coding'!$A$195='10_Analysis_Ready'!$A$195,'14_Generalization_Map'!$A$195='10_Analysis_Ready'!$A$195),0,1))</f>
        <v>0</v>
      </c>
      <c r="D212">
        <f>IF('10_Analysis_Ready'!$A$195="",0,IF(COUNTIFS('06_Full_Text_Screening'!$A:$A,'10_Analysis_Ready'!$A$195,'06_Full_Text_Screening'!$J:$J,"INCLUDE")=1,0,1))</f>
        <v>0</v>
      </c>
      <c r="E212">
        <f>IF('10_Analysis_Ready'!$A$195="",0,IF(OR(AND(((OR('10_Analysis_Ready'!$AG$195="YES",'10_Analysis_Ready'!$AH$195="YES"))*1+('10_Analysis_Ready'!$AI$195="YES")+('10_Analysis_Ready'!$AJ$195="YES")+('10_Analysis_Ready'!$AK$195="YES")+('10_Analysis_Ready'!$AL$195="YES"))=0,'10_Analysis_Ready'!$AF$195&lt;&gt;"NONE"),AND(((OR('10_Analysis_Ready'!$AG$195="YES",'10_Analysis_Ready'!$AH$195="YES"))*1+('10_Analysis_Ready'!$AI$195="YES")+('10_Analysis_Ready'!$AJ$195="YES")+('10_Analysis_Ready'!$AK$195="YES")+('10_Analysis_Ready'!$AL$195="YES"))=1,OR('10_Analysis_Ready'!$AF$195="NONE",'10_Analysis_Ready'!$AF$195="MULTIPLE")),AND(((OR('10_Analysis_Ready'!$AG$195="YES",'10_Analysis_Ready'!$AH$195="YES"))*1+('10_Analysis_Ready'!$AI$195="YES")+('10_Analysis_Ready'!$AJ$195="YES")+('10_Analysis_Ready'!$AK$195="YES")+('10_Analysis_Ready'!$AL$195="YES"))&gt;=2,'10_Analysis_Ready'!$AF$195&lt;&gt;"MULTIPLE")),1,0))</f>
        <v>0</v>
      </c>
      <c r="F212">
        <f>IF('10_Analysis_Ready'!$A$195="",0,IF(AND('10_Analysis_Ready'!$AO$195="NO",COUNTIF('10_Analysis_Ready'!$AP$195:$AU$195,"YES")&gt;0),1,0))</f>
        <v>0</v>
      </c>
      <c r="G212">
        <f>IF('10_Analysis_Ready'!$A$195="",0,IF(OR(AND('10_Analysis_Ready'!$Y$195="GAN",'10_Analysis_Ready'!$AA$195="YES"),AND('10_Analysis_Ready'!$Y$195="DIFFUSION",'10_Analysis_Ready'!$Z$195="YES"),AND('10_Analysis_Ready'!$Y$195="GAN+DIFFUSION",OR('10_Analysis_Ready'!$Z$195&lt;&gt;"YES",'10_Analysis_Ready'!$AA$195&lt;&gt;"YES"))),1,0))</f>
        <v>0</v>
      </c>
      <c r="H212">
        <f>IF('10_Analysis_Ready'!$A$195="",0,IF(OR(AND('10_Analysis_Ready'!$BJ$195="NO",OR('10_Analysis_Ready'!$BK$195="HIGH",'10_Analysis_Ready'!$BK$195="VERY HIGH")),AND(((OR('10_Analysis_Ready'!$AG$195="YES",'10_Analysis_Ready'!$AH$195="YES"))*1+('10_Analysis_Ready'!$AI$195="YES")+('10_Analysis_Ready'!$AJ$195="YES")+('10_Analysis_Ready'!$AK$195="YES")+('10_Analysis_Ready'!$AL$195="YES"))=0,'10_Analysis_Ready'!$BJ$195="YES")),1,0))</f>
        <v>0</v>
      </c>
      <c r="I212">
        <f>IF('10_Analysis_Ready'!$A$195="",0,IF(AND(((OR('10_Analysis_Ready'!$AG$195="YES",'10_Analysis_Ready'!$AH$195="YES"))*1+('10_Analysis_Ready'!$AI$195="YES")+('10_Analysis_Ready'!$AJ$195="YES")+('10_Analysis_Ready'!$AK$195="YES")+('10_Analysis_Ready'!$AL$195="YES"))=0,'10_Analysis_Ready'!$AM$195&lt;&gt;"N/A"),1,0))</f>
        <v>0</v>
      </c>
      <c r="J212">
        <f>IF('10_Analysis_Ready'!$A$195="",0,IF(('28_Taxonomy_Coding'!$G$195="NONE")&lt;&gt;(((OR('10_Analysis_Ready'!$AG$195="YES",'10_Analysis_Ready'!$AH$195="YES"))*1+('10_Analysis_Ready'!$AI$195="YES")+('10_Analysis_Ready'!$AJ$195="YES")+('10_Analysis_Ready'!$AK$195="YES")+('10_Analysis_Ready'!$AL$195="YES"))=0),1,0))</f>
        <v>0</v>
      </c>
    </row>
    <row r="213" spans="1:10">
      <c r="A213">
        <v>196</v>
      </c>
      <c r="B213" t="str">
        <f>IF('10_Analysis_Ready'!$A$196="","",'10_Analysis_Ready'!$A$196)</f>
        <v/>
      </c>
      <c r="C213">
        <f>IF('10_Analysis_Ready'!$A$196="",0,IF(AND('28_Taxonomy_Coding'!$A$196='10_Analysis_Ready'!$A$196,'14_Generalization_Map'!$A$196='10_Analysis_Ready'!$A$196),0,1))</f>
        <v>0</v>
      </c>
      <c r="D213">
        <f>IF('10_Analysis_Ready'!$A$196="",0,IF(COUNTIFS('06_Full_Text_Screening'!$A:$A,'10_Analysis_Ready'!$A$196,'06_Full_Text_Screening'!$J:$J,"INCLUDE")=1,0,1))</f>
        <v>0</v>
      </c>
      <c r="E213">
        <f>IF('10_Analysis_Ready'!$A$196="",0,IF(OR(AND(((OR('10_Analysis_Ready'!$AG$196="YES",'10_Analysis_Ready'!$AH$196="YES"))*1+('10_Analysis_Ready'!$AI$196="YES")+('10_Analysis_Ready'!$AJ$196="YES")+('10_Analysis_Ready'!$AK$196="YES")+('10_Analysis_Ready'!$AL$196="YES"))=0,'10_Analysis_Ready'!$AF$196&lt;&gt;"NONE"),AND(((OR('10_Analysis_Ready'!$AG$196="YES",'10_Analysis_Ready'!$AH$196="YES"))*1+('10_Analysis_Ready'!$AI$196="YES")+('10_Analysis_Ready'!$AJ$196="YES")+('10_Analysis_Ready'!$AK$196="YES")+('10_Analysis_Ready'!$AL$196="YES"))=1,OR('10_Analysis_Ready'!$AF$196="NONE",'10_Analysis_Ready'!$AF$196="MULTIPLE")),AND(((OR('10_Analysis_Ready'!$AG$196="YES",'10_Analysis_Ready'!$AH$196="YES"))*1+('10_Analysis_Ready'!$AI$196="YES")+('10_Analysis_Ready'!$AJ$196="YES")+('10_Analysis_Ready'!$AK$196="YES")+('10_Analysis_Ready'!$AL$196="YES"))&gt;=2,'10_Analysis_Ready'!$AF$196&lt;&gt;"MULTIPLE")),1,0))</f>
        <v>0</v>
      </c>
      <c r="F213">
        <f>IF('10_Analysis_Ready'!$A$196="",0,IF(AND('10_Analysis_Ready'!$AO$196="NO",COUNTIF('10_Analysis_Ready'!$AP$196:$AU$196,"YES")&gt;0),1,0))</f>
        <v>0</v>
      </c>
      <c r="G213">
        <f>IF('10_Analysis_Ready'!$A$196="",0,IF(OR(AND('10_Analysis_Ready'!$Y$196="GAN",'10_Analysis_Ready'!$AA$196="YES"),AND('10_Analysis_Ready'!$Y$196="DIFFUSION",'10_Analysis_Ready'!$Z$196="YES"),AND('10_Analysis_Ready'!$Y$196="GAN+DIFFUSION",OR('10_Analysis_Ready'!$Z$196&lt;&gt;"YES",'10_Analysis_Ready'!$AA$196&lt;&gt;"YES"))),1,0))</f>
        <v>0</v>
      </c>
      <c r="H213">
        <f>IF('10_Analysis_Ready'!$A$196="",0,IF(OR(AND('10_Analysis_Ready'!$BJ$196="NO",OR('10_Analysis_Ready'!$BK$196="HIGH",'10_Analysis_Ready'!$BK$196="VERY HIGH")),AND(((OR('10_Analysis_Ready'!$AG$196="YES",'10_Analysis_Ready'!$AH$196="YES"))*1+('10_Analysis_Ready'!$AI$196="YES")+('10_Analysis_Ready'!$AJ$196="YES")+('10_Analysis_Ready'!$AK$196="YES")+('10_Analysis_Ready'!$AL$196="YES"))=0,'10_Analysis_Ready'!$BJ$196="YES")),1,0))</f>
        <v>0</v>
      </c>
      <c r="I213">
        <f>IF('10_Analysis_Ready'!$A$196="",0,IF(AND(((OR('10_Analysis_Ready'!$AG$196="YES",'10_Analysis_Ready'!$AH$196="YES"))*1+('10_Analysis_Ready'!$AI$196="YES")+('10_Analysis_Ready'!$AJ$196="YES")+('10_Analysis_Ready'!$AK$196="YES")+('10_Analysis_Ready'!$AL$196="YES"))=0,'10_Analysis_Ready'!$AM$196&lt;&gt;"N/A"),1,0))</f>
        <v>0</v>
      </c>
      <c r="J213">
        <f>IF('10_Analysis_Ready'!$A$196="",0,IF(('28_Taxonomy_Coding'!$G$196="NONE")&lt;&gt;(((OR('10_Analysis_Ready'!$AG$196="YES",'10_Analysis_Ready'!$AH$196="YES"))*1+('10_Analysis_Ready'!$AI$196="YES")+('10_Analysis_Ready'!$AJ$196="YES")+('10_Analysis_Ready'!$AK$196="YES")+('10_Analysis_Ready'!$AL$196="YES"))=0),1,0))</f>
        <v>0</v>
      </c>
    </row>
    <row r="214" spans="1:10">
      <c r="A214">
        <v>197</v>
      </c>
      <c r="B214" t="str">
        <f>IF('10_Analysis_Ready'!$A$197="","",'10_Analysis_Ready'!$A$197)</f>
        <v/>
      </c>
      <c r="C214">
        <f>IF('10_Analysis_Ready'!$A$197="",0,IF(AND('28_Taxonomy_Coding'!$A$197='10_Analysis_Ready'!$A$197,'14_Generalization_Map'!$A$197='10_Analysis_Ready'!$A$197),0,1))</f>
        <v>0</v>
      </c>
      <c r="D214">
        <f>IF('10_Analysis_Ready'!$A$197="",0,IF(COUNTIFS('06_Full_Text_Screening'!$A:$A,'10_Analysis_Ready'!$A$197,'06_Full_Text_Screening'!$J:$J,"INCLUDE")=1,0,1))</f>
        <v>0</v>
      </c>
      <c r="E214">
        <f>IF('10_Analysis_Ready'!$A$197="",0,IF(OR(AND(((OR('10_Analysis_Ready'!$AG$197="YES",'10_Analysis_Ready'!$AH$197="YES"))*1+('10_Analysis_Ready'!$AI$197="YES")+('10_Analysis_Ready'!$AJ$197="YES")+('10_Analysis_Ready'!$AK$197="YES")+('10_Analysis_Ready'!$AL$197="YES"))=0,'10_Analysis_Ready'!$AF$197&lt;&gt;"NONE"),AND(((OR('10_Analysis_Ready'!$AG$197="YES",'10_Analysis_Ready'!$AH$197="YES"))*1+('10_Analysis_Ready'!$AI$197="YES")+('10_Analysis_Ready'!$AJ$197="YES")+('10_Analysis_Ready'!$AK$197="YES")+('10_Analysis_Ready'!$AL$197="YES"))=1,OR('10_Analysis_Ready'!$AF$197="NONE",'10_Analysis_Ready'!$AF$197="MULTIPLE")),AND(((OR('10_Analysis_Ready'!$AG$197="YES",'10_Analysis_Ready'!$AH$197="YES"))*1+('10_Analysis_Ready'!$AI$197="YES")+('10_Analysis_Ready'!$AJ$197="YES")+('10_Analysis_Ready'!$AK$197="YES")+('10_Analysis_Ready'!$AL$197="YES"))&gt;=2,'10_Analysis_Ready'!$AF$197&lt;&gt;"MULTIPLE")),1,0))</f>
        <v>0</v>
      </c>
      <c r="F214">
        <f>IF('10_Analysis_Ready'!$A$197="",0,IF(AND('10_Analysis_Ready'!$AO$197="NO",COUNTIF('10_Analysis_Ready'!$AP$197:$AU$197,"YES")&gt;0),1,0))</f>
        <v>0</v>
      </c>
      <c r="G214">
        <f>IF('10_Analysis_Ready'!$A$197="",0,IF(OR(AND('10_Analysis_Ready'!$Y$197="GAN",'10_Analysis_Ready'!$AA$197="YES"),AND('10_Analysis_Ready'!$Y$197="DIFFUSION",'10_Analysis_Ready'!$Z$197="YES"),AND('10_Analysis_Ready'!$Y$197="GAN+DIFFUSION",OR('10_Analysis_Ready'!$Z$197&lt;&gt;"YES",'10_Analysis_Ready'!$AA$197&lt;&gt;"YES"))),1,0))</f>
        <v>0</v>
      </c>
      <c r="H214">
        <f>IF('10_Analysis_Ready'!$A$197="",0,IF(OR(AND('10_Analysis_Ready'!$BJ$197="NO",OR('10_Analysis_Ready'!$BK$197="HIGH",'10_Analysis_Ready'!$BK$197="VERY HIGH")),AND(((OR('10_Analysis_Ready'!$AG$197="YES",'10_Analysis_Ready'!$AH$197="YES"))*1+('10_Analysis_Ready'!$AI$197="YES")+('10_Analysis_Ready'!$AJ$197="YES")+('10_Analysis_Ready'!$AK$197="YES")+('10_Analysis_Ready'!$AL$197="YES"))=0,'10_Analysis_Ready'!$BJ$197="YES")),1,0))</f>
        <v>0</v>
      </c>
      <c r="I214">
        <f>IF('10_Analysis_Ready'!$A$197="",0,IF(AND(((OR('10_Analysis_Ready'!$AG$197="YES",'10_Analysis_Ready'!$AH$197="YES"))*1+('10_Analysis_Ready'!$AI$197="YES")+('10_Analysis_Ready'!$AJ$197="YES")+('10_Analysis_Ready'!$AK$197="YES")+('10_Analysis_Ready'!$AL$197="YES"))=0,'10_Analysis_Ready'!$AM$197&lt;&gt;"N/A"),1,0))</f>
        <v>0</v>
      </c>
      <c r="J214">
        <f>IF('10_Analysis_Ready'!$A$197="",0,IF(('28_Taxonomy_Coding'!$G$197="NONE")&lt;&gt;(((OR('10_Analysis_Ready'!$AG$197="YES",'10_Analysis_Ready'!$AH$197="YES"))*1+('10_Analysis_Ready'!$AI$197="YES")+('10_Analysis_Ready'!$AJ$197="YES")+('10_Analysis_Ready'!$AK$197="YES")+('10_Analysis_Ready'!$AL$197="YES"))=0),1,0))</f>
        <v>0</v>
      </c>
    </row>
    <row r="215" spans="1:10">
      <c r="A215">
        <v>198</v>
      </c>
      <c r="B215" t="str">
        <f>IF('10_Analysis_Ready'!$A$198="","",'10_Analysis_Ready'!$A$198)</f>
        <v/>
      </c>
      <c r="C215">
        <f>IF('10_Analysis_Ready'!$A$198="",0,IF(AND('28_Taxonomy_Coding'!$A$198='10_Analysis_Ready'!$A$198,'14_Generalization_Map'!$A$198='10_Analysis_Ready'!$A$198),0,1))</f>
        <v>0</v>
      </c>
      <c r="D215">
        <f>IF('10_Analysis_Ready'!$A$198="",0,IF(COUNTIFS('06_Full_Text_Screening'!$A:$A,'10_Analysis_Ready'!$A$198,'06_Full_Text_Screening'!$J:$J,"INCLUDE")=1,0,1))</f>
        <v>0</v>
      </c>
      <c r="E215">
        <f>IF('10_Analysis_Ready'!$A$198="",0,IF(OR(AND(((OR('10_Analysis_Ready'!$AG$198="YES",'10_Analysis_Ready'!$AH$198="YES"))*1+('10_Analysis_Ready'!$AI$198="YES")+('10_Analysis_Ready'!$AJ$198="YES")+('10_Analysis_Ready'!$AK$198="YES")+('10_Analysis_Ready'!$AL$198="YES"))=0,'10_Analysis_Ready'!$AF$198&lt;&gt;"NONE"),AND(((OR('10_Analysis_Ready'!$AG$198="YES",'10_Analysis_Ready'!$AH$198="YES"))*1+('10_Analysis_Ready'!$AI$198="YES")+('10_Analysis_Ready'!$AJ$198="YES")+('10_Analysis_Ready'!$AK$198="YES")+('10_Analysis_Ready'!$AL$198="YES"))=1,OR('10_Analysis_Ready'!$AF$198="NONE",'10_Analysis_Ready'!$AF$198="MULTIPLE")),AND(((OR('10_Analysis_Ready'!$AG$198="YES",'10_Analysis_Ready'!$AH$198="YES"))*1+('10_Analysis_Ready'!$AI$198="YES")+('10_Analysis_Ready'!$AJ$198="YES")+('10_Analysis_Ready'!$AK$198="YES")+('10_Analysis_Ready'!$AL$198="YES"))&gt;=2,'10_Analysis_Ready'!$AF$198&lt;&gt;"MULTIPLE")),1,0))</f>
        <v>0</v>
      </c>
      <c r="F215">
        <f>IF('10_Analysis_Ready'!$A$198="",0,IF(AND('10_Analysis_Ready'!$AO$198="NO",COUNTIF('10_Analysis_Ready'!$AP$198:$AU$198,"YES")&gt;0),1,0))</f>
        <v>0</v>
      </c>
      <c r="G215">
        <f>IF('10_Analysis_Ready'!$A$198="",0,IF(OR(AND('10_Analysis_Ready'!$Y$198="GAN",'10_Analysis_Ready'!$AA$198="YES"),AND('10_Analysis_Ready'!$Y$198="DIFFUSION",'10_Analysis_Ready'!$Z$198="YES"),AND('10_Analysis_Ready'!$Y$198="GAN+DIFFUSION",OR('10_Analysis_Ready'!$Z$198&lt;&gt;"YES",'10_Analysis_Ready'!$AA$198&lt;&gt;"YES"))),1,0))</f>
        <v>0</v>
      </c>
      <c r="H215">
        <f>IF('10_Analysis_Ready'!$A$198="",0,IF(OR(AND('10_Analysis_Ready'!$BJ$198="NO",OR('10_Analysis_Ready'!$BK$198="HIGH",'10_Analysis_Ready'!$BK$198="VERY HIGH")),AND(((OR('10_Analysis_Ready'!$AG$198="YES",'10_Analysis_Ready'!$AH$198="YES"))*1+('10_Analysis_Ready'!$AI$198="YES")+('10_Analysis_Ready'!$AJ$198="YES")+('10_Analysis_Ready'!$AK$198="YES")+('10_Analysis_Ready'!$AL$198="YES"))=0,'10_Analysis_Ready'!$BJ$198="YES")),1,0))</f>
        <v>0</v>
      </c>
      <c r="I215">
        <f>IF('10_Analysis_Ready'!$A$198="",0,IF(AND(((OR('10_Analysis_Ready'!$AG$198="YES",'10_Analysis_Ready'!$AH$198="YES"))*1+('10_Analysis_Ready'!$AI$198="YES")+('10_Analysis_Ready'!$AJ$198="YES")+('10_Analysis_Ready'!$AK$198="YES")+('10_Analysis_Ready'!$AL$198="YES"))=0,'10_Analysis_Ready'!$AM$198&lt;&gt;"N/A"),1,0))</f>
        <v>0</v>
      </c>
      <c r="J215">
        <f>IF('10_Analysis_Ready'!$A$198="",0,IF(('28_Taxonomy_Coding'!$G$198="NONE")&lt;&gt;(((OR('10_Analysis_Ready'!$AG$198="YES",'10_Analysis_Ready'!$AH$198="YES"))*1+('10_Analysis_Ready'!$AI$198="YES")+('10_Analysis_Ready'!$AJ$198="YES")+('10_Analysis_Ready'!$AK$198="YES")+('10_Analysis_Ready'!$AL$198="YES"))=0),1,0))</f>
        <v>0</v>
      </c>
    </row>
    <row r="216" spans="1:10">
      <c r="A216">
        <v>199</v>
      </c>
      <c r="B216" t="str">
        <f>IF('10_Analysis_Ready'!$A$199="","",'10_Analysis_Ready'!$A$199)</f>
        <v/>
      </c>
      <c r="C216">
        <f>IF('10_Analysis_Ready'!$A$199="",0,IF(AND('28_Taxonomy_Coding'!$A$199='10_Analysis_Ready'!$A$199,'14_Generalization_Map'!$A$199='10_Analysis_Ready'!$A$199),0,1))</f>
        <v>0</v>
      </c>
      <c r="D216">
        <f>IF('10_Analysis_Ready'!$A$199="",0,IF(COUNTIFS('06_Full_Text_Screening'!$A:$A,'10_Analysis_Ready'!$A$199,'06_Full_Text_Screening'!$J:$J,"INCLUDE")=1,0,1))</f>
        <v>0</v>
      </c>
      <c r="E216">
        <f>IF('10_Analysis_Ready'!$A$199="",0,IF(OR(AND(((OR('10_Analysis_Ready'!$AG$199="YES",'10_Analysis_Ready'!$AH$199="YES"))*1+('10_Analysis_Ready'!$AI$199="YES")+('10_Analysis_Ready'!$AJ$199="YES")+('10_Analysis_Ready'!$AK$199="YES")+('10_Analysis_Ready'!$AL$199="YES"))=0,'10_Analysis_Ready'!$AF$199&lt;&gt;"NONE"),AND(((OR('10_Analysis_Ready'!$AG$199="YES",'10_Analysis_Ready'!$AH$199="YES"))*1+('10_Analysis_Ready'!$AI$199="YES")+('10_Analysis_Ready'!$AJ$199="YES")+('10_Analysis_Ready'!$AK$199="YES")+('10_Analysis_Ready'!$AL$199="YES"))=1,OR('10_Analysis_Ready'!$AF$199="NONE",'10_Analysis_Ready'!$AF$199="MULTIPLE")),AND(((OR('10_Analysis_Ready'!$AG$199="YES",'10_Analysis_Ready'!$AH$199="YES"))*1+('10_Analysis_Ready'!$AI$199="YES")+('10_Analysis_Ready'!$AJ$199="YES")+('10_Analysis_Ready'!$AK$199="YES")+('10_Analysis_Ready'!$AL$199="YES"))&gt;=2,'10_Analysis_Ready'!$AF$199&lt;&gt;"MULTIPLE")),1,0))</f>
        <v>0</v>
      </c>
      <c r="F216">
        <f>IF('10_Analysis_Ready'!$A$199="",0,IF(AND('10_Analysis_Ready'!$AO$199="NO",COUNTIF('10_Analysis_Ready'!$AP$199:$AU$199,"YES")&gt;0),1,0))</f>
        <v>0</v>
      </c>
      <c r="G216">
        <f>IF('10_Analysis_Ready'!$A$199="",0,IF(OR(AND('10_Analysis_Ready'!$Y$199="GAN",'10_Analysis_Ready'!$AA$199="YES"),AND('10_Analysis_Ready'!$Y$199="DIFFUSION",'10_Analysis_Ready'!$Z$199="YES"),AND('10_Analysis_Ready'!$Y$199="GAN+DIFFUSION",OR('10_Analysis_Ready'!$Z$199&lt;&gt;"YES",'10_Analysis_Ready'!$AA$199&lt;&gt;"YES"))),1,0))</f>
        <v>0</v>
      </c>
      <c r="H216">
        <f>IF('10_Analysis_Ready'!$A$199="",0,IF(OR(AND('10_Analysis_Ready'!$BJ$199="NO",OR('10_Analysis_Ready'!$BK$199="HIGH",'10_Analysis_Ready'!$BK$199="VERY HIGH")),AND(((OR('10_Analysis_Ready'!$AG$199="YES",'10_Analysis_Ready'!$AH$199="YES"))*1+('10_Analysis_Ready'!$AI$199="YES")+('10_Analysis_Ready'!$AJ$199="YES")+('10_Analysis_Ready'!$AK$199="YES")+('10_Analysis_Ready'!$AL$199="YES"))=0,'10_Analysis_Ready'!$BJ$199="YES")),1,0))</f>
        <v>0</v>
      </c>
      <c r="I216">
        <f>IF('10_Analysis_Ready'!$A$199="",0,IF(AND(((OR('10_Analysis_Ready'!$AG$199="YES",'10_Analysis_Ready'!$AH$199="YES"))*1+('10_Analysis_Ready'!$AI$199="YES")+('10_Analysis_Ready'!$AJ$199="YES")+('10_Analysis_Ready'!$AK$199="YES")+('10_Analysis_Ready'!$AL$199="YES"))=0,'10_Analysis_Ready'!$AM$199&lt;&gt;"N/A"),1,0))</f>
        <v>0</v>
      </c>
      <c r="J216">
        <f>IF('10_Analysis_Ready'!$A$199="",0,IF(('28_Taxonomy_Coding'!$G$199="NONE")&lt;&gt;(((OR('10_Analysis_Ready'!$AG$199="YES",'10_Analysis_Ready'!$AH$199="YES"))*1+('10_Analysis_Ready'!$AI$199="YES")+('10_Analysis_Ready'!$AJ$199="YES")+('10_Analysis_Ready'!$AK$199="YES")+('10_Analysis_Ready'!$AL$199="YES"))=0),1,0))</f>
        <v>0</v>
      </c>
    </row>
    <row r="217" spans="1:10">
      <c r="A217">
        <v>200</v>
      </c>
      <c r="B217" t="str">
        <f>IF('10_Analysis_Ready'!$A$200="","",'10_Analysis_Ready'!$A$200)</f>
        <v/>
      </c>
      <c r="C217">
        <f>IF('10_Analysis_Ready'!$A$200="",0,IF(AND('28_Taxonomy_Coding'!$A$200='10_Analysis_Ready'!$A$200,'14_Generalization_Map'!$A$200='10_Analysis_Ready'!$A$200),0,1))</f>
        <v>0</v>
      </c>
      <c r="D217">
        <f>IF('10_Analysis_Ready'!$A$200="",0,IF(COUNTIFS('06_Full_Text_Screening'!$A:$A,'10_Analysis_Ready'!$A$200,'06_Full_Text_Screening'!$J:$J,"INCLUDE")=1,0,1))</f>
        <v>0</v>
      </c>
      <c r="E217">
        <f>IF('10_Analysis_Ready'!$A$200="",0,IF(OR(AND(((OR('10_Analysis_Ready'!$AG$200="YES",'10_Analysis_Ready'!$AH$200="YES"))*1+('10_Analysis_Ready'!$AI$200="YES")+('10_Analysis_Ready'!$AJ$200="YES")+('10_Analysis_Ready'!$AK$200="YES")+('10_Analysis_Ready'!$AL$200="YES"))=0,'10_Analysis_Ready'!$AF$200&lt;&gt;"NONE"),AND(((OR('10_Analysis_Ready'!$AG$200="YES",'10_Analysis_Ready'!$AH$200="YES"))*1+('10_Analysis_Ready'!$AI$200="YES")+('10_Analysis_Ready'!$AJ$200="YES")+('10_Analysis_Ready'!$AK$200="YES")+('10_Analysis_Ready'!$AL$200="YES"))=1,OR('10_Analysis_Ready'!$AF$200="NONE",'10_Analysis_Ready'!$AF$200="MULTIPLE")),AND(((OR('10_Analysis_Ready'!$AG$200="YES",'10_Analysis_Ready'!$AH$200="YES"))*1+('10_Analysis_Ready'!$AI$200="YES")+('10_Analysis_Ready'!$AJ$200="YES")+('10_Analysis_Ready'!$AK$200="YES")+('10_Analysis_Ready'!$AL$200="YES"))&gt;=2,'10_Analysis_Ready'!$AF$200&lt;&gt;"MULTIPLE")),1,0))</f>
        <v>0</v>
      </c>
      <c r="F217">
        <f>IF('10_Analysis_Ready'!$A$200="",0,IF(AND('10_Analysis_Ready'!$AO$200="NO",COUNTIF('10_Analysis_Ready'!$AP$200:$AU$200,"YES")&gt;0),1,0))</f>
        <v>0</v>
      </c>
      <c r="G217">
        <f>IF('10_Analysis_Ready'!$A$200="",0,IF(OR(AND('10_Analysis_Ready'!$Y$200="GAN",'10_Analysis_Ready'!$AA$200="YES"),AND('10_Analysis_Ready'!$Y$200="DIFFUSION",'10_Analysis_Ready'!$Z$200="YES"),AND('10_Analysis_Ready'!$Y$200="GAN+DIFFUSION",OR('10_Analysis_Ready'!$Z$200&lt;&gt;"YES",'10_Analysis_Ready'!$AA$200&lt;&gt;"YES"))),1,0))</f>
        <v>0</v>
      </c>
      <c r="H217">
        <f>IF('10_Analysis_Ready'!$A$200="",0,IF(OR(AND('10_Analysis_Ready'!$BJ$200="NO",OR('10_Analysis_Ready'!$BK$200="HIGH",'10_Analysis_Ready'!$BK$200="VERY HIGH")),AND(((OR('10_Analysis_Ready'!$AG$200="YES",'10_Analysis_Ready'!$AH$200="YES"))*1+('10_Analysis_Ready'!$AI$200="YES")+('10_Analysis_Ready'!$AJ$200="YES")+('10_Analysis_Ready'!$AK$200="YES")+('10_Analysis_Ready'!$AL$200="YES"))=0,'10_Analysis_Ready'!$BJ$200="YES")),1,0))</f>
        <v>0</v>
      </c>
      <c r="I217">
        <f>IF('10_Analysis_Ready'!$A$200="",0,IF(AND(((OR('10_Analysis_Ready'!$AG$200="YES",'10_Analysis_Ready'!$AH$200="YES"))*1+('10_Analysis_Ready'!$AI$200="YES")+('10_Analysis_Ready'!$AJ$200="YES")+('10_Analysis_Ready'!$AK$200="YES")+('10_Analysis_Ready'!$AL$200="YES"))=0,'10_Analysis_Ready'!$AM$200&lt;&gt;"N/A"),1,0))</f>
        <v>0</v>
      </c>
      <c r="J217">
        <f>IF('10_Analysis_Ready'!$A$200="",0,IF(('28_Taxonomy_Coding'!$G$200="NONE")&lt;&gt;(((OR('10_Analysis_Ready'!$AG$200="YES",'10_Analysis_Ready'!$AH$200="YES"))*1+('10_Analysis_Ready'!$AI$200="YES")+('10_Analysis_Ready'!$AJ$200="YES")+('10_Analysis_Ready'!$AK$200="YES")+('10_Analysis_Ready'!$AL$200="YES"))=0),1,0))</f>
        <v>0</v>
      </c>
    </row>
    <row r="218" spans="1:10">
      <c r="A218">
        <v>201</v>
      </c>
      <c r="B218" t="str">
        <f>IF('10_Analysis_Ready'!$A$201="","",'10_Analysis_Ready'!$A$201)</f>
        <v/>
      </c>
      <c r="C218">
        <f>IF('10_Analysis_Ready'!$A$201="",0,IF(AND('28_Taxonomy_Coding'!$A$201='10_Analysis_Ready'!$A$201,'14_Generalization_Map'!$A$201='10_Analysis_Ready'!$A$201),0,1))</f>
        <v>0</v>
      </c>
      <c r="D218">
        <f>IF('10_Analysis_Ready'!$A$201="",0,IF(COUNTIFS('06_Full_Text_Screening'!$A:$A,'10_Analysis_Ready'!$A$201,'06_Full_Text_Screening'!$J:$J,"INCLUDE")=1,0,1))</f>
        <v>0</v>
      </c>
      <c r="E218">
        <f>IF('10_Analysis_Ready'!$A$201="",0,IF(OR(AND(((OR('10_Analysis_Ready'!$AG$201="YES",'10_Analysis_Ready'!$AH$201="YES"))*1+('10_Analysis_Ready'!$AI$201="YES")+('10_Analysis_Ready'!$AJ$201="YES")+('10_Analysis_Ready'!$AK$201="YES")+('10_Analysis_Ready'!$AL$201="YES"))=0,'10_Analysis_Ready'!$AF$201&lt;&gt;"NONE"),AND(((OR('10_Analysis_Ready'!$AG$201="YES",'10_Analysis_Ready'!$AH$201="YES"))*1+('10_Analysis_Ready'!$AI$201="YES")+('10_Analysis_Ready'!$AJ$201="YES")+('10_Analysis_Ready'!$AK$201="YES")+('10_Analysis_Ready'!$AL$201="YES"))=1,OR('10_Analysis_Ready'!$AF$201="NONE",'10_Analysis_Ready'!$AF$201="MULTIPLE")),AND(((OR('10_Analysis_Ready'!$AG$201="YES",'10_Analysis_Ready'!$AH$201="YES"))*1+('10_Analysis_Ready'!$AI$201="YES")+('10_Analysis_Ready'!$AJ$201="YES")+('10_Analysis_Ready'!$AK$201="YES")+('10_Analysis_Ready'!$AL$201="YES"))&gt;=2,'10_Analysis_Ready'!$AF$201&lt;&gt;"MULTIPLE")),1,0))</f>
        <v>0</v>
      </c>
      <c r="F218">
        <f>IF('10_Analysis_Ready'!$A$201="",0,IF(AND('10_Analysis_Ready'!$AO$201="NO",COUNTIF('10_Analysis_Ready'!$AP$201:$AU$201,"YES")&gt;0),1,0))</f>
        <v>0</v>
      </c>
      <c r="G218">
        <f>IF('10_Analysis_Ready'!$A$201="",0,IF(OR(AND('10_Analysis_Ready'!$Y$201="GAN",'10_Analysis_Ready'!$AA$201="YES"),AND('10_Analysis_Ready'!$Y$201="DIFFUSION",'10_Analysis_Ready'!$Z$201="YES"),AND('10_Analysis_Ready'!$Y$201="GAN+DIFFUSION",OR('10_Analysis_Ready'!$Z$201&lt;&gt;"YES",'10_Analysis_Ready'!$AA$201&lt;&gt;"YES"))),1,0))</f>
        <v>0</v>
      </c>
      <c r="H218">
        <f>IF('10_Analysis_Ready'!$A$201="",0,IF(OR(AND('10_Analysis_Ready'!$BJ$201="NO",OR('10_Analysis_Ready'!$BK$201="HIGH",'10_Analysis_Ready'!$BK$201="VERY HIGH")),AND(((OR('10_Analysis_Ready'!$AG$201="YES",'10_Analysis_Ready'!$AH$201="YES"))*1+('10_Analysis_Ready'!$AI$201="YES")+('10_Analysis_Ready'!$AJ$201="YES")+('10_Analysis_Ready'!$AK$201="YES")+('10_Analysis_Ready'!$AL$201="YES"))=0,'10_Analysis_Ready'!$BJ$201="YES")),1,0))</f>
        <v>0</v>
      </c>
      <c r="I218">
        <f>IF('10_Analysis_Ready'!$A$201="",0,IF(AND(((OR('10_Analysis_Ready'!$AG$201="YES",'10_Analysis_Ready'!$AH$201="YES"))*1+('10_Analysis_Ready'!$AI$201="YES")+('10_Analysis_Ready'!$AJ$201="YES")+('10_Analysis_Ready'!$AK$201="YES")+('10_Analysis_Ready'!$AL$201="YES"))=0,'10_Analysis_Ready'!$AM$201&lt;&gt;"N/A"),1,0))</f>
        <v>0</v>
      </c>
      <c r="J218">
        <f>IF('10_Analysis_Ready'!$A$201="",0,IF(('28_Taxonomy_Coding'!$G$201="NONE")&lt;&gt;(((OR('10_Analysis_Ready'!$AG$201="YES",'10_Analysis_Ready'!$AH$201="YES"))*1+('10_Analysis_Ready'!$AI$201="YES")+('10_Analysis_Ready'!$AJ$201="YES")+('10_Analysis_Ready'!$AK$201="YES")+('10_Analysis_Ready'!$AL$201="YES"))=0),1,0))</f>
        <v>0</v>
      </c>
    </row>
    <row r="219" spans="1:10">
      <c r="A219">
        <v>202</v>
      </c>
      <c r="B219" t="str">
        <f>IF('10_Analysis_Ready'!$A$202="","",'10_Analysis_Ready'!$A$202)</f>
        <v/>
      </c>
      <c r="C219">
        <f>IF('10_Analysis_Ready'!$A$202="",0,IF(AND('28_Taxonomy_Coding'!$A$202='10_Analysis_Ready'!$A$202,'14_Generalization_Map'!$A$202='10_Analysis_Ready'!$A$202),0,1))</f>
        <v>0</v>
      </c>
      <c r="D219">
        <f>IF('10_Analysis_Ready'!$A$202="",0,IF(COUNTIFS('06_Full_Text_Screening'!$A:$A,'10_Analysis_Ready'!$A$202,'06_Full_Text_Screening'!$J:$J,"INCLUDE")=1,0,1))</f>
        <v>0</v>
      </c>
      <c r="E219">
        <f>IF('10_Analysis_Ready'!$A$202="",0,IF(OR(AND(((OR('10_Analysis_Ready'!$AG$202="YES",'10_Analysis_Ready'!$AH$202="YES"))*1+('10_Analysis_Ready'!$AI$202="YES")+('10_Analysis_Ready'!$AJ$202="YES")+('10_Analysis_Ready'!$AK$202="YES")+('10_Analysis_Ready'!$AL$202="YES"))=0,'10_Analysis_Ready'!$AF$202&lt;&gt;"NONE"),AND(((OR('10_Analysis_Ready'!$AG$202="YES",'10_Analysis_Ready'!$AH$202="YES"))*1+('10_Analysis_Ready'!$AI$202="YES")+('10_Analysis_Ready'!$AJ$202="YES")+('10_Analysis_Ready'!$AK$202="YES")+('10_Analysis_Ready'!$AL$202="YES"))=1,OR('10_Analysis_Ready'!$AF$202="NONE",'10_Analysis_Ready'!$AF$202="MULTIPLE")),AND(((OR('10_Analysis_Ready'!$AG$202="YES",'10_Analysis_Ready'!$AH$202="YES"))*1+('10_Analysis_Ready'!$AI$202="YES")+('10_Analysis_Ready'!$AJ$202="YES")+('10_Analysis_Ready'!$AK$202="YES")+('10_Analysis_Ready'!$AL$202="YES"))&gt;=2,'10_Analysis_Ready'!$AF$202&lt;&gt;"MULTIPLE")),1,0))</f>
        <v>0</v>
      </c>
      <c r="F219">
        <f>IF('10_Analysis_Ready'!$A$202="",0,IF(AND('10_Analysis_Ready'!$AO$202="NO",COUNTIF('10_Analysis_Ready'!$AP$202:$AU$202,"YES")&gt;0),1,0))</f>
        <v>0</v>
      </c>
      <c r="G219">
        <f>IF('10_Analysis_Ready'!$A$202="",0,IF(OR(AND('10_Analysis_Ready'!$Y$202="GAN",'10_Analysis_Ready'!$AA$202="YES"),AND('10_Analysis_Ready'!$Y$202="DIFFUSION",'10_Analysis_Ready'!$Z$202="YES"),AND('10_Analysis_Ready'!$Y$202="GAN+DIFFUSION",OR('10_Analysis_Ready'!$Z$202&lt;&gt;"YES",'10_Analysis_Ready'!$AA$202&lt;&gt;"YES"))),1,0))</f>
        <v>0</v>
      </c>
      <c r="H219">
        <f>IF('10_Analysis_Ready'!$A$202="",0,IF(OR(AND('10_Analysis_Ready'!$BJ$202="NO",OR('10_Analysis_Ready'!$BK$202="HIGH",'10_Analysis_Ready'!$BK$202="VERY HIGH")),AND(((OR('10_Analysis_Ready'!$AG$202="YES",'10_Analysis_Ready'!$AH$202="YES"))*1+('10_Analysis_Ready'!$AI$202="YES")+('10_Analysis_Ready'!$AJ$202="YES")+('10_Analysis_Ready'!$AK$202="YES")+('10_Analysis_Ready'!$AL$202="YES"))=0,'10_Analysis_Ready'!$BJ$202="YES")),1,0))</f>
        <v>0</v>
      </c>
      <c r="I219">
        <f>IF('10_Analysis_Ready'!$A$202="",0,IF(AND(((OR('10_Analysis_Ready'!$AG$202="YES",'10_Analysis_Ready'!$AH$202="YES"))*1+('10_Analysis_Ready'!$AI$202="YES")+('10_Analysis_Ready'!$AJ$202="YES")+('10_Analysis_Ready'!$AK$202="YES")+('10_Analysis_Ready'!$AL$202="YES"))=0,'10_Analysis_Ready'!$AM$202&lt;&gt;"N/A"),1,0))</f>
        <v>0</v>
      </c>
      <c r="J219">
        <f>IF('10_Analysis_Ready'!$A$202="",0,IF(('28_Taxonomy_Coding'!$G$202="NONE")&lt;&gt;(((OR('10_Analysis_Ready'!$AG$202="YES",'10_Analysis_Ready'!$AH$202="YES"))*1+('10_Analysis_Ready'!$AI$202="YES")+('10_Analysis_Ready'!$AJ$202="YES")+('10_Analysis_Ready'!$AK$202="YES")+('10_Analysis_Ready'!$AL$202="YES"))=0),1,0))</f>
        <v>0</v>
      </c>
    </row>
    <row r="220" spans="1:10">
      <c r="A220">
        <v>203</v>
      </c>
      <c r="B220" t="str">
        <f>IF('10_Analysis_Ready'!$A$203="","",'10_Analysis_Ready'!$A$203)</f>
        <v/>
      </c>
      <c r="C220">
        <f>IF('10_Analysis_Ready'!$A$203="",0,IF(AND('28_Taxonomy_Coding'!$A$203='10_Analysis_Ready'!$A$203,'14_Generalization_Map'!$A$203='10_Analysis_Ready'!$A$203),0,1))</f>
        <v>0</v>
      </c>
      <c r="D220">
        <f>IF('10_Analysis_Ready'!$A$203="",0,IF(COUNTIFS('06_Full_Text_Screening'!$A:$A,'10_Analysis_Ready'!$A$203,'06_Full_Text_Screening'!$J:$J,"INCLUDE")=1,0,1))</f>
        <v>0</v>
      </c>
      <c r="E220">
        <f>IF('10_Analysis_Ready'!$A$203="",0,IF(OR(AND(((OR('10_Analysis_Ready'!$AG$203="YES",'10_Analysis_Ready'!$AH$203="YES"))*1+('10_Analysis_Ready'!$AI$203="YES")+('10_Analysis_Ready'!$AJ$203="YES")+('10_Analysis_Ready'!$AK$203="YES")+('10_Analysis_Ready'!$AL$203="YES"))=0,'10_Analysis_Ready'!$AF$203&lt;&gt;"NONE"),AND(((OR('10_Analysis_Ready'!$AG$203="YES",'10_Analysis_Ready'!$AH$203="YES"))*1+('10_Analysis_Ready'!$AI$203="YES")+('10_Analysis_Ready'!$AJ$203="YES")+('10_Analysis_Ready'!$AK$203="YES")+('10_Analysis_Ready'!$AL$203="YES"))=1,OR('10_Analysis_Ready'!$AF$203="NONE",'10_Analysis_Ready'!$AF$203="MULTIPLE")),AND(((OR('10_Analysis_Ready'!$AG$203="YES",'10_Analysis_Ready'!$AH$203="YES"))*1+('10_Analysis_Ready'!$AI$203="YES")+('10_Analysis_Ready'!$AJ$203="YES")+('10_Analysis_Ready'!$AK$203="YES")+('10_Analysis_Ready'!$AL$203="YES"))&gt;=2,'10_Analysis_Ready'!$AF$203&lt;&gt;"MULTIPLE")),1,0))</f>
        <v>0</v>
      </c>
      <c r="F220">
        <f>IF('10_Analysis_Ready'!$A$203="",0,IF(AND('10_Analysis_Ready'!$AO$203="NO",COUNTIF('10_Analysis_Ready'!$AP$203:$AU$203,"YES")&gt;0),1,0))</f>
        <v>0</v>
      </c>
      <c r="G220">
        <f>IF('10_Analysis_Ready'!$A$203="",0,IF(OR(AND('10_Analysis_Ready'!$Y$203="GAN",'10_Analysis_Ready'!$AA$203="YES"),AND('10_Analysis_Ready'!$Y$203="DIFFUSION",'10_Analysis_Ready'!$Z$203="YES"),AND('10_Analysis_Ready'!$Y$203="GAN+DIFFUSION",OR('10_Analysis_Ready'!$Z$203&lt;&gt;"YES",'10_Analysis_Ready'!$AA$203&lt;&gt;"YES"))),1,0))</f>
        <v>0</v>
      </c>
      <c r="H220">
        <f>IF('10_Analysis_Ready'!$A$203="",0,IF(OR(AND('10_Analysis_Ready'!$BJ$203="NO",OR('10_Analysis_Ready'!$BK$203="HIGH",'10_Analysis_Ready'!$BK$203="VERY HIGH")),AND(((OR('10_Analysis_Ready'!$AG$203="YES",'10_Analysis_Ready'!$AH$203="YES"))*1+('10_Analysis_Ready'!$AI$203="YES")+('10_Analysis_Ready'!$AJ$203="YES")+('10_Analysis_Ready'!$AK$203="YES")+('10_Analysis_Ready'!$AL$203="YES"))=0,'10_Analysis_Ready'!$BJ$203="YES")),1,0))</f>
        <v>0</v>
      </c>
      <c r="I220">
        <f>IF('10_Analysis_Ready'!$A$203="",0,IF(AND(((OR('10_Analysis_Ready'!$AG$203="YES",'10_Analysis_Ready'!$AH$203="YES"))*1+('10_Analysis_Ready'!$AI$203="YES")+('10_Analysis_Ready'!$AJ$203="YES")+('10_Analysis_Ready'!$AK$203="YES")+('10_Analysis_Ready'!$AL$203="YES"))=0,'10_Analysis_Ready'!$AM$203&lt;&gt;"N/A"),1,0))</f>
        <v>0</v>
      </c>
      <c r="J220">
        <f>IF('10_Analysis_Ready'!$A$203="",0,IF(('28_Taxonomy_Coding'!$G$203="NONE")&lt;&gt;(((OR('10_Analysis_Ready'!$AG$203="YES",'10_Analysis_Ready'!$AH$203="YES"))*1+('10_Analysis_Ready'!$AI$203="YES")+('10_Analysis_Ready'!$AJ$203="YES")+('10_Analysis_Ready'!$AK$203="YES")+('10_Analysis_Ready'!$AL$203="YES"))=0),1,0))</f>
        <v>0</v>
      </c>
    </row>
    <row r="221" spans="1:10">
      <c r="A221">
        <v>204</v>
      </c>
      <c r="B221" t="str">
        <f>IF('10_Analysis_Ready'!$A$204="","",'10_Analysis_Ready'!$A$204)</f>
        <v/>
      </c>
      <c r="C221">
        <f>IF('10_Analysis_Ready'!$A$204="",0,IF(AND('28_Taxonomy_Coding'!$A$204='10_Analysis_Ready'!$A$204,'14_Generalization_Map'!$A$204='10_Analysis_Ready'!$A$204),0,1))</f>
        <v>0</v>
      </c>
      <c r="D221">
        <f>IF('10_Analysis_Ready'!$A$204="",0,IF(COUNTIFS('06_Full_Text_Screening'!$A:$A,'10_Analysis_Ready'!$A$204,'06_Full_Text_Screening'!$J:$J,"INCLUDE")=1,0,1))</f>
        <v>0</v>
      </c>
      <c r="E221">
        <f>IF('10_Analysis_Ready'!$A$204="",0,IF(OR(AND(((OR('10_Analysis_Ready'!$AG$204="YES",'10_Analysis_Ready'!$AH$204="YES"))*1+('10_Analysis_Ready'!$AI$204="YES")+('10_Analysis_Ready'!$AJ$204="YES")+('10_Analysis_Ready'!$AK$204="YES")+('10_Analysis_Ready'!$AL$204="YES"))=0,'10_Analysis_Ready'!$AF$204&lt;&gt;"NONE"),AND(((OR('10_Analysis_Ready'!$AG$204="YES",'10_Analysis_Ready'!$AH$204="YES"))*1+('10_Analysis_Ready'!$AI$204="YES")+('10_Analysis_Ready'!$AJ$204="YES")+('10_Analysis_Ready'!$AK$204="YES")+('10_Analysis_Ready'!$AL$204="YES"))=1,OR('10_Analysis_Ready'!$AF$204="NONE",'10_Analysis_Ready'!$AF$204="MULTIPLE")),AND(((OR('10_Analysis_Ready'!$AG$204="YES",'10_Analysis_Ready'!$AH$204="YES"))*1+('10_Analysis_Ready'!$AI$204="YES")+('10_Analysis_Ready'!$AJ$204="YES")+('10_Analysis_Ready'!$AK$204="YES")+('10_Analysis_Ready'!$AL$204="YES"))&gt;=2,'10_Analysis_Ready'!$AF$204&lt;&gt;"MULTIPLE")),1,0))</f>
        <v>0</v>
      </c>
      <c r="F221">
        <f>IF('10_Analysis_Ready'!$A$204="",0,IF(AND('10_Analysis_Ready'!$AO$204="NO",COUNTIF('10_Analysis_Ready'!$AP$204:$AU$204,"YES")&gt;0),1,0))</f>
        <v>0</v>
      </c>
      <c r="G221">
        <f>IF('10_Analysis_Ready'!$A$204="",0,IF(OR(AND('10_Analysis_Ready'!$Y$204="GAN",'10_Analysis_Ready'!$AA$204="YES"),AND('10_Analysis_Ready'!$Y$204="DIFFUSION",'10_Analysis_Ready'!$Z$204="YES"),AND('10_Analysis_Ready'!$Y$204="GAN+DIFFUSION",OR('10_Analysis_Ready'!$Z$204&lt;&gt;"YES",'10_Analysis_Ready'!$AA$204&lt;&gt;"YES"))),1,0))</f>
        <v>0</v>
      </c>
      <c r="H221">
        <f>IF('10_Analysis_Ready'!$A$204="",0,IF(OR(AND('10_Analysis_Ready'!$BJ$204="NO",OR('10_Analysis_Ready'!$BK$204="HIGH",'10_Analysis_Ready'!$BK$204="VERY HIGH")),AND(((OR('10_Analysis_Ready'!$AG$204="YES",'10_Analysis_Ready'!$AH$204="YES"))*1+('10_Analysis_Ready'!$AI$204="YES")+('10_Analysis_Ready'!$AJ$204="YES")+('10_Analysis_Ready'!$AK$204="YES")+('10_Analysis_Ready'!$AL$204="YES"))=0,'10_Analysis_Ready'!$BJ$204="YES")),1,0))</f>
        <v>0</v>
      </c>
      <c r="I221">
        <f>IF('10_Analysis_Ready'!$A$204="",0,IF(AND(((OR('10_Analysis_Ready'!$AG$204="YES",'10_Analysis_Ready'!$AH$204="YES"))*1+('10_Analysis_Ready'!$AI$204="YES")+('10_Analysis_Ready'!$AJ$204="YES")+('10_Analysis_Ready'!$AK$204="YES")+('10_Analysis_Ready'!$AL$204="YES"))=0,'10_Analysis_Ready'!$AM$204&lt;&gt;"N/A"),1,0))</f>
        <v>0</v>
      </c>
      <c r="J221">
        <f>IF('10_Analysis_Ready'!$A$204="",0,IF(('28_Taxonomy_Coding'!$G$204="NONE")&lt;&gt;(((OR('10_Analysis_Ready'!$AG$204="YES",'10_Analysis_Ready'!$AH$204="YES"))*1+('10_Analysis_Ready'!$AI$204="YES")+('10_Analysis_Ready'!$AJ$204="YES")+('10_Analysis_Ready'!$AK$204="YES")+('10_Analysis_Ready'!$AL$204="YES"))=0),1,0))</f>
        <v>0</v>
      </c>
    </row>
    <row r="222" spans="1:10">
      <c r="A222">
        <v>205</v>
      </c>
      <c r="B222" t="str">
        <f>IF('10_Analysis_Ready'!$A$205="","",'10_Analysis_Ready'!$A$205)</f>
        <v/>
      </c>
      <c r="C222">
        <f>IF('10_Analysis_Ready'!$A$205="",0,IF(AND('28_Taxonomy_Coding'!$A$205='10_Analysis_Ready'!$A$205,'14_Generalization_Map'!$A$205='10_Analysis_Ready'!$A$205),0,1))</f>
        <v>0</v>
      </c>
      <c r="D222">
        <f>IF('10_Analysis_Ready'!$A$205="",0,IF(COUNTIFS('06_Full_Text_Screening'!$A:$A,'10_Analysis_Ready'!$A$205,'06_Full_Text_Screening'!$J:$J,"INCLUDE")=1,0,1))</f>
        <v>0</v>
      </c>
      <c r="E222">
        <f>IF('10_Analysis_Ready'!$A$205="",0,IF(OR(AND(((OR('10_Analysis_Ready'!$AG$205="YES",'10_Analysis_Ready'!$AH$205="YES"))*1+('10_Analysis_Ready'!$AI$205="YES")+('10_Analysis_Ready'!$AJ$205="YES")+('10_Analysis_Ready'!$AK$205="YES")+('10_Analysis_Ready'!$AL$205="YES"))=0,'10_Analysis_Ready'!$AF$205&lt;&gt;"NONE"),AND(((OR('10_Analysis_Ready'!$AG$205="YES",'10_Analysis_Ready'!$AH$205="YES"))*1+('10_Analysis_Ready'!$AI$205="YES")+('10_Analysis_Ready'!$AJ$205="YES")+('10_Analysis_Ready'!$AK$205="YES")+('10_Analysis_Ready'!$AL$205="YES"))=1,OR('10_Analysis_Ready'!$AF$205="NONE",'10_Analysis_Ready'!$AF$205="MULTIPLE")),AND(((OR('10_Analysis_Ready'!$AG$205="YES",'10_Analysis_Ready'!$AH$205="YES"))*1+('10_Analysis_Ready'!$AI$205="YES")+('10_Analysis_Ready'!$AJ$205="YES")+('10_Analysis_Ready'!$AK$205="YES")+('10_Analysis_Ready'!$AL$205="YES"))&gt;=2,'10_Analysis_Ready'!$AF$205&lt;&gt;"MULTIPLE")),1,0))</f>
        <v>0</v>
      </c>
      <c r="F222">
        <f>IF('10_Analysis_Ready'!$A$205="",0,IF(AND('10_Analysis_Ready'!$AO$205="NO",COUNTIF('10_Analysis_Ready'!$AP$205:$AU$205,"YES")&gt;0),1,0))</f>
        <v>0</v>
      </c>
      <c r="G222">
        <f>IF('10_Analysis_Ready'!$A$205="",0,IF(OR(AND('10_Analysis_Ready'!$Y$205="GAN",'10_Analysis_Ready'!$AA$205="YES"),AND('10_Analysis_Ready'!$Y$205="DIFFUSION",'10_Analysis_Ready'!$Z$205="YES"),AND('10_Analysis_Ready'!$Y$205="GAN+DIFFUSION",OR('10_Analysis_Ready'!$Z$205&lt;&gt;"YES",'10_Analysis_Ready'!$AA$205&lt;&gt;"YES"))),1,0))</f>
        <v>0</v>
      </c>
      <c r="H222">
        <f>IF('10_Analysis_Ready'!$A$205="",0,IF(OR(AND('10_Analysis_Ready'!$BJ$205="NO",OR('10_Analysis_Ready'!$BK$205="HIGH",'10_Analysis_Ready'!$BK$205="VERY HIGH")),AND(((OR('10_Analysis_Ready'!$AG$205="YES",'10_Analysis_Ready'!$AH$205="YES"))*1+('10_Analysis_Ready'!$AI$205="YES")+('10_Analysis_Ready'!$AJ$205="YES")+('10_Analysis_Ready'!$AK$205="YES")+('10_Analysis_Ready'!$AL$205="YES"))=0,'10_Analysis_Ready'!$BJ$205="YES")),1,0))</f>
        <v>0</v>
      </c>
      <c r="I222">
        <f>IF('10_Analysis_Ready'!$A$205="",0,IF(AND(((OR('10_Analysis_Ready'!$AG$205="YES",'10_Analysis_Ready'!$AH$205="YES"))*1+('10_Analysis_Ready'!$AI$205="YES")+('10_Analysis_Ready'!$AJ$205="YES")+('10_Analysis_Ready'!$AK$205="YES")+('10_Analysis_Ready'!$AL$205="YES"))=0,'10_Analysis_Ready'!$AM$205&lt;&gt;"N/A"),1,0))</f>
        <v>0</v>
      </c>
      <c r="J222">
        <f>IF('10_Analysis_Ready'!$A$205="",0,IF(('28_Taxonomy_Coding'!$G$205="NONE")&lt;&gt;(((OR('10_Analysis_Ready'!$AG$205="YES",'10_Analysis_Ready'!$AH$205="YES"))*1+('10_Analysis_Ready'!$AI$205="YES")+('10_Analysis_Ready'!$AJ$205="YES")+('10_Analysis_Ready'!$AK$205="YES")+('10_Analysis_Ready'!$AL$205="YES"))=0),1,0))</f>
        <v>0</v>
      </c>
    </row>
    <row r="223" spans="1:10">
      <c r="A223">
        <v>206</v>
      </c>
      <c r="B223" t="str">
        <f>IF('10_Analysis_Ready'!$A$206="","",'10_Analysis_Ready'!$A$206)</f>
        <v/>
      </c>
      <c r="C223">
        <f>IF('10_Analysis_Ready'!$A$206="",0,IF(AND('28_Taxonomy_Coding'!$A$206='10_Analysis_Ready'!$A$206,'14_Generalization_Map'!$A$206='10_Analysis_Ready'!$A$206),0,1))</f>
        <v>0</v>
      </c>
      <c r="D223">
        <f>IF('10_Analysis_Ready'!$A$206="",0,IF(COUNTIFS('06_Full_Text_Screening'!$A:$A,'10_Analysis_Ready'!$A$206,'06_Full_Text_Screening'!$J:$J,"INCLUDE")=1,0,1))</f>
        <v>0</v>
      </c>
      <c r="E223">
        <f>IF('10_Analysis_Ready'!$A$206="",0,IF(OR(AND(((OR('10_Analysis_Ready'!$AG$206="YES",'10_Analysis_Ready'!$AH$206="YES"))*1+('10_Analysis_Ready'!$AI$206="YES")+('10_Analysis_Ready'!$AJ$206="YES")+('10_Analysis_Ready'!$AK$206="YES")+('10_Analysis_Ready'!$AL$206="YES"))=0,'10_Analysis_Ready'!$AF$206&lt;&gt;"NONE"),AND(((OR('10_Analysis_Ready'!$AG$206="YES",'10_Analysis_Ready'!$AH$206="YES"))*1+('10_Analysis_Ready'!$AI$206="YES")+('10_Analysis_Ready'!$AJ$206="YES")+('10_Analysis_Ready'!$AK$206="YES")+('10_Analysis_Ready'!$AL$206="YES"))=1,OR('10_Analysis_Ready'!$AF$206="NONE",'10_Analysis_Ready'!$AF$206="MULTIPLE")),AND(((OR('10_Analysis_Ready'!$AG$206="YES",'10_Analysis_Ready'!$AH$206="YES"))*1+('10_Analysis_Ready'!$AI$206="YES")+('10_Analysis_Ready'!$AJ$206="YES")+('10_Analysis_Ready'!$AK$206="YES")+('10_Analysis_Ready'!$AL$206="YES"))&gt;=2,'10_Analysis_Ready'!$AF$206&lt;&gt;"MULTIPLE")),1,0))</f>
        <v>0</v>
      </c>
      <c r="F223">
        <f>IF('10_Analysis_Ready'!$A$206="",0,IF(AND('10_Analysis_Ready'!$AO$206="NO",COUNTIF('10_Analysis_Ready'!$AP$206:$AU$206,"YES")&gt;0),1,0))</f>
        <v>0</v>
      </c>
      <c r="G223">
        <f>IF('10_Analysis_Ready'!$A$206="",0,IF(OR(AND('10_Analysis_Ready'!$Y$206="GAN",'10_Analysis_Ready'!$AA$206="YES"),AND('10_Analysis_Ready'!$Y$206="DIFFUSION",'10_Analysis_Ready'!$Z$206="YES"),AND('10_Analysis_Ready'!$Y$206="GAN+DIFFUSION",OR('10_Analysis_Ready'!$Z$206&lt;&gt;"YES",'10_Analysis_Ready'!$AA$206&lt;&gt;"YES"))),1,0))</f>
        <v>0</v>
      </c>
      <c r="H223">
        <f>IF('10_Analysis_Ready'!$A$206="",0,IF(OR(AND('10_Analysis_Ready'!$BJ$206="NO",OR('10_Analysis_Ready'!$BK$206="HIGH",'10_Analysis_Ready'!$BK$206="VERY HIGH")),AND(((OR('10_Analysis_Ready'!$AG$206="YES",'10_Analysis_Ready'!$AH$206="YES"))*1+('10_Analysis_Ready'!$AI$206="YES")+('10_Analysis_Ready'!$AJ$206="YES")+('10_Analysis_Ready'!$AK$206="YES")+('10_Analysis_Ready'!$AL$206="YES"))=0,'10_Analysis_Ready'!$BJ$206="YES")),1,0))</f>
        <v>0</v>
      </c>
      <c r="I223">
        <f>IF('10_Analysis_Ready'!$A$206="",0,IF(AND(((OR('10_Analysis_Ready'!$AG$206="YES",'10_Analysis_Ready'!$AH$206="YES"))*1+('10_Analysis_Ready'!$AI$206="YES")+('10_Analysis_Ready'!$AJ$206="YES")+('10_Analysis_Ready'!$AK$206="YES")+('10_Analysis_Ready'!$AL$206="YES"))=0,'10_Analysis_Ready'!$AM$206&lt;&gt;"N/A"),1,0))</f>
        <v>0</v>
      </c>
      <c r="J223">
        <f>IF('10_Analysis_Ready'!$A$206="",0,IF(('28_Taxonomy_Coding'!$G$206="NONE")&lt;&gt;(((OR('10_Analysis_Ready'!$AG$206="YES",'10_Analysis_Ready'!$AH$206="YES"))*1+('10_Analysis_Ready'!$AI$206="YES")+('10_Analysis_Ready'!$AJ$206="YES")+('10_Analysis_Ready'!$AK$206="YES")+('10_Analysis_Ready'!$AL$206="YES"))=0),1,0))</f>
        <v>0</v>
      </c>
    </row>
    <row r="224" spans="1:10">
      <c r="A224">
        <v>207</v>
      </c>
      <c r="B224" t="str">
        <f>IF('10_Analysis_Ready'!$A$207="","",'10_Analysis_Ready'!$A$207)</f>
        <v/>
      </c>
      <c r="C224">
        <f>IF('10_Analysis_Ready'!$A$207="",0,IF(AND('28_Taxonomy_Coding'!$A$207='10_Analysis_Ready'!$A$207,'14_Generalization_Map'!$A$207='10_Analysis_Ready'!$A$207),0,1))</f>
        <v>0</v>
      </c>
      <c r="D224">
        <f>IF('10_Analysis_Ready'!$A$207="",0,IF(COUNTIFS('06_Full_Text_Screening'!$A:$A,'10_Analysis_Ready'!$A$207,'06_Full_Text_Screening'!$J:$J,"INCLUDE")=1,0,1))</f>
        <v>0</v>
      </c>
      <c r="E224">
        <f>IF('10_Analysis_Ready'!$A$207="",0,IF(OR(AND(((OR('10_Analysis_Ready'!$AG$207="YES",'10_Analysis_Ready'!$AH$207="YES"))*1+('10_Analysis_Ready'!$AI$207="YES")+('10_Analysis_Ready'!$AJ$207="YES")+('10_Analysis_Ready'!$AK$207="YES")+('10_Analysis_Ready'!$AL$207="YES"))=0,'10_Analysis_Ready'!$AF$207&lt;&gt;"NONE"),AND(((OR('10_Analysis_Ready'!$AG$207="YES",'10_Analysis_Ready'!$AH$207="YES"))*1+('10_Analysis_Ready'!$AI$207="YES")+('10_Analysis_Ready'!$AJ$207="YES")+('10_Analysis_Ready'!$AK$207="YES")+('10_Analysis_Ready'!$AL$207="YES"))=1,OR('10_Analysis_Ready'!$AF$207="NONE",'10_Analysis_Ready'!$AF$207="MULTIPLE")),AND(((OR('10_Analysis_Ready'!$AG$207="YES",'10_Analysis_Ready'!$AH$207="YES"))*1+('10_Analysis_Ready'!$AI$207="YES")+('10_Analysis_Ready'!$AJ$207="YES")+('10_Analysis_Ready'!$AK$207="YES")+('10_Analysis_Ready'!$AL$207="YES"))&gt;=2,'10_Analysis_Ready'!$AF$207&lt;&gt;"MULTIPLE")),1,0))</f>
        <v>0</v>
      </c>
      <c r="F224">
        <f>IF('10_Analysis_Ready'!$A$207="",0,IF(AND('10_Analysis_Ready'!$AO$207="NO",COUNTIF('10_Analysis_Ready'!$AP$207:$AU$207,"YES")&gt;0),1,0))</f>
        <v>0</v>
      </c>
      <c r="G224">
        <f>IF('10_Analysis_Ready'!$A$207="",0,IF(OR(AND('10_Analysis_Ready'!$Y$207="GAN",'10_Analysis_Ready'!$AA$207="YES"),AND('10_Analysis_Ready'!$Y$207="DIFFUSION",'10_Analysis_Ready'!$Z$207="YES"),AND('10_Analysis_Ready'!$Y$207="GAN+DIFFUSION",OR('10_Analysis_Ready'!$Z$207&lt;&gt;"YES",'10_Analysis_Ready'!$AA$207&lt;&gt;"YES"))),1,0))</f>
        <v>0</v>
      </c>
      <c r="H224">
        <f>IF('10_Analysis_Ready'!$A$207="",0,IF(OR(AND('10_Analysis_Ready'!$BJ$207="NO",OR('10_Analysis_Ready'!$BK$207="HIGH",'10_Analysis_Ready'!$BK$207="VERY HIGH")),AND(((OR('10_Analysis_Ready'!$AG$207="YES",'10_Analysis_Ready'!$AH$207="YES"))*1+('10_Analysis_Ready'!$AI$207="YES")+('10_Analysis_Ready'!$AJ$207="YES")+('10_Analysis_Ready'!$AK$207="YES")+('10_Analysis_Ready'!$AL$207="YES"))=0,'10_Analysis_Ready'!$BJ$207="YES")),1,0))</f>
        <v>0</v>
      </c>
      <c r="I224">
        <f>IF('10_Analysis_Ready'!$A$207="",0,IF(AND(((OR('10_Analysis_Ready'!$AG$207="YES",'10_Analysis_Ready'!$AH$207="YES"))*1+('10_Analysis_Ready'!$AI$207="YES")+('10_Analysis_Ready'!$AJ$207="YES")+('10_Analysis_Ready'!$AK$207="YES")+('10_Analysis_Ready'!$AL$207="YES"))=0,'10_Analysis_Ready'!$AM$207&lt;&gt;"N/A"),1,0))</f>
        <v>0</v>
      </c>
      <c r="J224">
        <f>IF('10_Analysis_Ready'!$A$207="",0,IF(('28_Taxonomy_Coding'!$G$207="NONE")&lt;&gt;(((OR('10_Analysis_Ready'!$AG$207="YES",'10_Analysis_Ready'!$AH$207="YES"))*1+('10_Analysis_Ready'!$AI$207="YES")+('10_Analysis_Ready'!$AJ$207="YES")+('10_Analysis_Ready'!$AK$207="YES")+('10_Analysis_Ready'!$AL$207="YES"))=0),1,0))</f>
        <v>0</v>
      </c>
    </row>
    <row r="225" spans="1:10">
      <c r="A225">
        <v>208</v>
      </c>
      <c r="B225" t="str">
        <f>IF('10_Analysis_Ready'!$A$208="","",'10_Analysis_Ready'!$A$208)</f>
        <v/>
      </c>
      <c r="C225">
        <f>IF('10_Analysis_Ready'!$A$208="",0,IF(AND('28_Taxonomy_Coding'!$A$208='10_Analysis_Ready'!$A$208,'14_Generalization_Map'!$A$208='10_Analysis_Ready'!$A$208),0,1))</f>
        <v>0</v>
      </c>
      <c r="D225">
        <f>IF('10_Analysis_Ready'!$A$208="",0,IF(COUNTIFS('06_Full_Text_Screening'!$A:$A,'10_Analysis_Ready'!$A$208,'06_Full_Text_Screening'!$J:$J,"INCLUDE")=1,0,1))</f>
        <v>0</v>
      </c>
      <c r="E225">
        <f>IF('10_Analysis_Ready'!$A$208="",0,IF(OR(AND(((OR('10_Analysis_Ready'!$AG$208="YES",'10_Analysis_Ready'!$AH$208="YES"))*1+('10_Analysis_Ready'!$AI$208="YES")+('10_Analysis_Ready'!$AJ$208="YES")+('10_Analysis_Ready'!$AK$208="YES")+('10_Analysis_Ready'!$AL$208="YES"))=0,'10_Analysis_Ready'!$AF$208&lt;&gt;"NONE"),AND(((OR('10_Analysis_Ready'!$AG$208="YES",'10_Analysis_Ready'!$AH$208="YES"))*1+('10_Analysis_Ready'!$AI$208="YES")+('10_Analysis_Ready'!$AJ$208="YES")+('10_Analysis_Ready'!$AK$208="YES")+('10_Analysis_Ready'!$AL$208="YES"))=1,OR('10_Analysis_Ready'!$AF$208="NONE",'10_Analysis_Ready'!$AF$208="MULTIPLE")),AND(((OR('10_Analysis_Ready'!$AG$208="YES",'10_Analysis_Ready'!$AH$208="YES"))*1+('10_Analysis_Ready'!$AI$208="YES")+('10_Analysis_Ready'!$AJ$208="YES")+('10_Analysis_Ready'!$AK$208="YES")+('10_Analysis_Ready'!$AL$208="YES"))&gt;=2,'10_Analysis_Ready'!$AF$208&lt;&gt;"MULTIPLE")),1,0))</f>
        <v>0</v>
      </c>
      <c r="F225">
        <f>IF('10_Analysis_Ready'!$A$208="",0,IF(AND('10_Analysis_Ready'!$AO$208="NO",COUNTIF('10_Analysis_Ready'!$AP$208:$AU$208,"YES")&gt;0),1,0))</f>
        <v>0</v>
      </c>
      <c r="G225">
        <f>IF('10_Analysis_Ready'!$A$208="",0,IF(OR(AND('10_Analysis_Ready'!$Y$208="GAN",'10_Analysis_Ready'!$AA$208="YES"),AND('10_Analysis_Ready'!$Y$208="DIFFUSION",'10_Analysis_Ready'!$Z$208="YES"),AND('10_Analysis_Ready'!$Y$208="GAN+DIFFUSION",OR('10_Analysis_Ready'!$Z$208&lt;&gt;"YES",'10_Analysis_Ready'!$AA$208&lt;&gt;"YES"))),1,0))</f>
        <v>0</v>
      </c>
      <c r="H225">
        <f>IF('10_Analysis_Ready'!$A$208="",0,IF(OR(AND('10_Analysis_Ready'!$BJ$208="NO",OR('10_Analysis_Ready'!$BK$208="HIGH",'10_Analysis_Ready'!$BK$208="VERY HIGH")),AND(((OR('10_Analysis_Ready'!$AG$208="YES",'10_Analysis_Ready'!$AH$208="YES"))*1+('10_Analysis_Ready'!$AI$208="YES")+('10_Analysis_Ready'!$AJ$208="YES")+('10_Analysis_Ready'!$AK$208="YES")+('10_Analysis_Ready'!$AL$208="YES"))=0,'10_Analysis_Ready'!$BJ$208="YES")),1,0))</f>
        <v>0</v>
      </c>
      <c r="I225">
        <f>IF('10_Analysis_Ready'!$A$208="",0,IF(AND(((OR('10_Analysis_Ready'!$AG$208="YES",'10_Analysis_Ready'!$AH$208="YES"))*1+('10_Analysis_Ready'!$AI$208="YES")+('10_Analysis_Ready'!$AJ$208="YES")+('10_Analysis_Ready'!$AK$208="YES")+('10_Analysis_Ready'!$AL$208="YES"))=0,'10_Analysis_Ready'!$AM$208&lt;&gt;"N/A"),1,0))</f>
        <v>0</v>
      </c>
      <c r="J225">
        <f>IF('10_Analysis_Ready'!$A$208="",0,IF(('28_Taxonomy_Coding'!$G$208="NONE")&lt;&gt;(((OR('10_Analysis_Ready'!$AG$208="YES",'10_Analysis_Ready'!$AH$208="YES"))*1+('10_Analysis_Ready'!$AI$208="YES")+('10_Analysis_Ready'!$AJ$208="YES")+('10_Analysis_Ready'!$AK$208="YES")+('10_Analysis_Ready'!$AL$208="YES"))=0),1,0))</f>
        <v>0</v>
      </c>
    </row>
    <row r="226" spans="1:10">
      <c r="A226">
        <v>209</v>
      </c>
      <c r="B226" t="str">
        <f>IF('10_Analysis_Ready'!$A$209="","",'10_Analysis_Ready'!$A$209)</f>
        <v/>
      </c>
      <c r="C226">
        <f>IF('10_Analysis_Ready'!$A$209="",0,IF(AND('28_Taxonomy_Coding'!$A$209='10_Analysis_Ready'!$A$209,'14_Generalization_Map'!$A$209='10_Analysis_Ready'!$A$209),0,1))</f>
        <v>0</v>
      </c>
      <c r="D226">
        <f>IF('10_Analysis_Ready'!$A$209="",0,IF(COUNTIFS('06_Full_Text_Screening'!$A:$A,'10_Analysis_Ready'!$A$209,'06_Full_Text_Screening'!$J:$J,"INCLUDE")=1,0,1))</f>
        <v>0</v>
      </c>
      <c r="E226">
        <f>IF('10_Analysis_Ready'!$A$209="",0,IF(OR(AND(((OR('10_Analysis_Ready'!$AG$209="YES",'10_Analysis_Ready'!$AH$209="YES"))*1+('10_Analysis_Ready'!$AI$209="YES")+('10_Analysis_Ready'!$AJ$209="YES")+('10_Analysis_Ready'!$AK$209="YES")+('10_Analysis_Ready'!$AL$209="YES"))=0,'10_Analysis_Ready'!$AF$209&lt;&gt;"NONE"),AND(((OR('10_Analysis_Ready'!$AG$209="YES",'10_Analysis_Ready'!$AH$209="YES"))*1+('10_Analysis_Ready'!$AI$209="YES")+('10_Analysis_Ready'!$AJ$209="YES")+('10_Analysis_Ready'!$AK$209="YES")+('10_Analysis_Ready'!$AL$209="YES"))=1,OR('10_Analysis_Ready'!$AF$209="NONE",'10_Analysis_Ready'!$AF$209="MULTIPLE")),AND(((OR('10_Analysis_Ready'!$AG$209="YES",'10_Analysis_Ready'!$AH$209="YES"))*1+('10_Analysis_Ready'!$AI$209="YES")+('10_Analysis_Ready'!$AJ$209="YES")+('10_Analysis_Ready'!$AK$209="YES")+('10_Analysis_Ready'!$AL$209="YES"))&gt;=2,'10_Analysis_Ready'!$AF$209&lt;&gt;"MULTIPLE")),1,0))</f>
        <v>0</v>
      </c>
      <c r="F226">
        <f>IF('10_Analysis_Ready'!$A$209="",0,IF(AND('10_Analysis_Ready'!$AO$209="NO",COUNTIF('10_Analysis_Ready'!$AP$209:$AU$209,"YES")&gt;0),1,0))</f>
        <v>0</v>
      </c>
      <c r="G226">
        <f>IF('10_Analysis_Ready'!$A$209="",0,IF(OR(AND('10_Analysis_Ready'!$Y$209="GAN",'10_Analysis_Ready'!$AA$209="YES"),AND('10_Analysis_Ready'!$Y$209="DIFFUSION",'10_Analysis_Ready'!$Z$209="YES"),AND('10_Analysis_Ready'!$Y$209="GAN+DIFFUSION",OR('10_Analysis_Ready'!$Z$209&lt;&gt;"YES",'10_Analysis_Ready'!$AA$209&lt;&gt;"YES"))),1,0))</f>
        <v>0</v>
      </c>
      <c r="H226">
        <f>IF('10_Analysis_Ready'!$A$209="",0,IF(OR(AND('10_Analysis_Ready'!$BJ$209="NO",OR('10_Analysis_Ready'!$BK$209="HIGH",'10_Analysis_Ready'!$BK$209="VERY HIGH")),AND(((OR('10_Analysis_Ready'!$AG$209="YES",'10_Analysis_Ready'!$AH$209="YES"))*1+('10_Analysis_Ready'!$AI$209="YES")+('10_Analysis_Ready'!$AJ$209="YES")+('10_Analysis_Ready'!$AK$209="YES")+('10_Analysis_Ready'!$AL$209="YES"))=0,'10_Analysis_Ready'!$BJ$209="YES")),1,0))</f>
        <v>0</v>
      </c>
      <c r="I226">
        <f>IF('10_Analysis_Ready'!$A$209="",0,IF(AND(((OR('10_Analysis_Ready'!$AG$209="YES",'10_Analysis_Ready'!$AH$209="YES"))*1+('10_Analysis_Ready'!$AI$209="YES")+('10_Analysis_Ready'!$AJ$209="YES")+('10_Analysis_Ready'!$AK$209="YES")+('10_Analysis_Ready'!$AL$209="YES"))=0,'10_Analysis_Ready'!$AM$209&lt;&gt;"N/A"),1,0))</f>
        <v>0</v>
      </c>
      <c r="J226">
        <f>IF('10_Analysis_Ready'!$A$209="",0,IF(('28_Taxonomy_Coding'!$G$209="NONE")&lt;&gt;(((OR('10_Analysis_Ready'!$AG$209="YES",'10_Analysis_Ready'!$AH$209="YES"))*1+('10_Analysis_Ready'!$AI$209="YES")+('10_Analysis_Ready'!$AJ$209="YES")+('10_Analysis_Ready'!$AK$209="YES")+('10_Analysis_Ready'!$AL$209="YES"))=0),1,0))</f>
        <v>0</v>
      </c>
    </row>
    <row r="227" spans="1:10">
      <c r="A227">
        <v>210</v>
      </c>
      <c r="B227" t="str">
        <f>IF('10_Analysis_Ready'!$A$210="","",'10_Analysis_Ready'!$A$210)</f>
        <v/>
      </c>
      <c r="C227">
        <f>IF('10_Analysis_Ready'!$A$210="",0,IF(AND('28_Taxonomy_Coding'!$A$210='10_Analysis_Ready'!$A$210,'14_Generalization_Map'!$A$210='10_Analysis_Ready'!$A$210),0,1))</f>
        <v>0</v>
      </c>
      <c r="D227">
        <f>IF('10_Analysis_Ready'!$A$210="",0,IF(COUNTIFS('06_Full_Text_Screening'!$A:$A,'10_Analysis_Ready'!$A$210,'06_Full_Text_Screening'!$J:$J,"INCLUDE")=1,0,1))</f>
        <v>0</v>
      </c>
      <c r="E227">
        <f>IF('10_Analysis_Ready'!$A$210="",0,IF(OR(AND(((OR('10_Analysis_Ready'!$AG$210="YES",'10_Analysis_Ready'!$AH$210="YES"))*1+('10_Analysis_Ready'!$AI$210="YES")+('10_Analysis_Ready'!$AJ$210="YES")+('10_Analysis_Ready'!$AK$210="YES")+('10_Analysis_Ready'!$AL$210="YES"))=0,'10_Analysis_Ready'!$AF$210&lt;&gt;"NONE"),AND(((OR('10_Analysis_Ready'!$AG$210="YES",'10_Analysis_Ready'!$AH$210="YES"))*1+('10_Analysis_Ready'!$AI$210="YES")+('10_Analysis_Ready'!$AJ$210="YES")+('10_Analysis_Ready'!$AK$210="YES")+('10_Analysis_Ready'!$AL$210="YES"))=1,OR('10_Analysis_Ready'!$AF$210="NONE",'10_Analysis_Ready'!$AF$210="MULTIPLE")),AND(((OR('10_Analysis_Ready'!$AG$210="YES",'10_Analysis_Ready'!$AH$210="YES"))*1+('10_Analysis_Ready'!$AI$210="YES")+('10_Analysis_Ready'!$AJ$210="YES")+('10_Analysis_Ready'!$AK$210="YES")+('10_Analysis_Ready'!$AL$210="YES"))&gt;=2,'10_Analysis_Ready'!$AF$210&lt;&gt;"MULTIPLE")),1,0))</f>
        <v>0</v>
      </c>
      <c r="F227">
        <f>IF('10_Analysis_Ready'!$A$210="",0,IF(AND('10_Analysis_Ready'!$AO$210="NO",COUNTIF('10_Analysis_Ready'!$AP$210:$AU$210,"YES")&gt;0),1,0))</f>
        <v>0</v>
      </c>
      <c r="G227">
        <f>IF('10_Analysis_Ready'!$A$210="",0,IF(OR(AND('10_Analysis_Ready'!$Y$210="GAN",'10_Analysis_Ready'!$AA$210="YES"),AND('10_Analysis_Ready'!$Y$210="DIFFUSION",'10_Analysis_Ready'!$Z$210="YES"),AND('10_Analysis_Ready'!$Y$210="GAN+DIFFUSION",OR('10_Analysis_Ready'!$Z$210&lt;&gt;"YES",'10_Analysis_Ready'!$AA$210&lt;&gt;"YES"))),1,0))</f>
        <v>0</v>
      </c>
      <c r="H227">
        <f>IF('10_Analysis_Ready'!$A$210="",0,IF(OR(AND('10_Analysis_Ready'!$BJ$210="NO",OR('10_Analysis_Ready'!$BK$210="HIGH",'10_Analysis_Ready'!$BK$210="VERY HIGH")),AND(((OR('10_Analysis_Ready'!$AG$210="YES",'10_Analysis_Ready'!$AH$210="YES"))*1+('10_Analysis_Ready'!$AI$210="YES")+('10_Analysis_Ready'!$AJ$210="YES")+('10_Analysis_Ready'!$AK$210="YES")+('10_Analysis_Ready'!$AL$210="YES"))=0,'10_Analysis_Ready'!$BJ$210="YES")),1,0))</f>
        <v>0</v>
      </c>
      <c r="I227">
        <f>IF('10_Analysis_Ready'!$A$210="",0,IF(AND(((OR('10_Analysis_Ready'!$AG$210="YES",'10_Analysis_Ready'!$AH$210="YES"))*1+('10_Analysis_Ready'!$AI$210="YES")+('10_Analysis_Ready'!$AJ$210="YES")+('10_Analysis_Ready'!$AK$210="YES")+('10_Analysis_Ready'!$AL$210="YES"))=0,'10_Analysis_Ready'!$AM$210&lt;&gt;"N/A"),1,0))</f>
        <v>0</v>
      </c>
      <c r="J227">
        <f>IF('10_Analysis_Ready'!$A$210="",0,IF(('28_Taxonomy_Coding'!$G$210="NONE")&lt;&gt;(((OR('10_Analysis_Ready'!$AG$210="YES",'10_Analysis_Ready'!$AH$210="YES"))*1+('10_Analysis_Ready'!$AI$210="YES")+('10_Analysis_Ready'!$AJ$210="YES")+('10_Analysis_Ready'!$AK$210="YES")+('10_Analysis_Ready'!$AL$210="YES"))=0),1,0))</f>
        <v>0</v>
      </c>
    </row>
    <row r="228" spans="1:10">
      <c r="A228">
        <v>211</v>
      </c>
      <c r="B228" t="str">
        <f>IF('10_Analysis_Ready'!$A$211="","",'10_Analysis_Ready'!$A$211)</f>
        <v/>
      </c>
      <c r="C228">
        <f>IF('10_Analysis_Ready'!$A$211="",0,IF(AND('28_Taxonomy_Coding'!$A$211='10_Analysis_Ready'!$A$211,'14_Generalization_Map'!$A$211='10_Analysis_Ready'!$A$211),0,1))</f>
        <v>0</v>
      </c>
      <c r="D228">
        <f>IF('10_Analysis_Ready'!$A$211="",0,IF(COUNTIFS('06_Full_Text_Screening'!$A:$A,'10_Analysis_Ready'!$A$211,'06_Full_Text_Screening'!$J:$J,"INCLUDE")=1,0,1))</f>
        <v>0</v>
      </c>
      <c r="E228">
        <f>IF('10_Analysis_Ready'!$A$211="",0,IF(OR(AND(((OR('10_Analysis_Ready'!$AG$211="YES",'10_Analysis_Ready'!$AH$211="YES"))*1+('10_Analysis_Ready'!$AI$211="YES")+('10_Analysis_Ready'!$AJ$211="YES")+('10_Analysis_Ready'!$AK$211="YES")+('10_Analysis_Ready'!$AL$211="YES"))=0,'10_Analysis_Ready'!$AF$211&lt;&gt;"NONE"),AND(((OR('10_Analysis_Ready'!$AG$211="YES",'10_Analysis_Ready'!$AH$211="YES"))*1+('10_Analysis_Ready'!$AI$211="YES")+('10_Analysis_Ready'!$AJ$211="YES")+('10_Analysis_Ready'!$AK$211="YES")+('10_Analysis_Ready'!$AL$211="YES"))=1,OR('10_Analysis_Ready'!$AF$211="NONE",'10_Analysis_Ready'!$AF$211="MULTIPLE")),AND(((OR('10_Analysis_Ready'!$AG$211="YES",'10_Analysis_Ready'!$AH$211="YES"))*1+('10_Analysis_Ready'!$AI$211="YES")+('10_Analysis_Ready'!$AJ$211="YES")+('10_Analysis_Ready'!$AK$211="YES")+('10_Analysis_Ready'!$AL$211="YES"))&gt;=2,'10_Analysis_Ready'!$AF$211&lt;&gt;"MULTIPLE")),1,0))</f>
        <v>0</v>
      </c>
      <c r="F228">
        <f>IF('10_Analysis_Ready'!$A$211="",0,IF(AND('10_Analysis_Ready'!$AO$211="NO",COUNTIF('10_Analysis_Ready'!$AP$211:$AU$211,"YES")&gt;0),1,0))</f>
        <v>0</v>
      </c>
      <c r="G228">
        <f>IF('10_Analysis_Ready'!$A$211="",0,IF(OR(AND('10_Analysis_Ready'!$Y$211="GAN",'10_Analysis_Ready'!$AA$211="YES"),AND('10_Analysis_Ready'!$Y$211="DIFFUSION",'10_Analysis_Ready'!$Z$211="YES"),AND('10_Analysis_Ready'!$Y$211="GAN+DIFFUSION",OR('10_Analysis_Ready'!$Z$211&lt;&gt;"YES",'10_Analysis_Ready'!$AA$211&lt;&gt;"YES"))),1,0))</f>
        <v>0</v>
      </c>
      <c r="H228">
        <f>IF('10_Analysis_Ready'!$A$211="",0,IF(OR(AND('10_Analysis_Ready'!$BJ$211="NO",OR('10_Analysis_Ready'!$BK$211="HIGH",'10_Analysis_Ready'!$BK$211="VERY HIGH")),AND(((OR('10_Analysis_Ready'!$AG$211="YES",'10_Analysis_Ready'!$AH$211="YES"))*1+('10_Analysis_Ready'!$AI$211="YES")+('10_Analysis_Ready'!$AJ$211="YES")+('10_Analysis_Ready'!$AK$211="YES")+('10_Analysis_Ready'!$AL$211="YES"))=0,'10_Analysis_Ready'!$BJ$211="YES")),1,0))</f>
        <v>0</v>
      </c>
      <c r="I228">
        <f>IF('10_Analysis_Ready'!$A$211="",0,IF(AND(((OR('10_Analysis_Ready'!$AG$211="YES",'10_Analysis_Ready'!$AH$211="YES"))*1+('10_Analysis_Ready'!$AI$211="YES")+('10_Analysis_Ready'!$AJ$211="YES")+('10_Analysis_Ready'!$AK$211="YES")+('10_Analysis_Ready'!$AL$211="YES"))=0,'10_Analysis_Ready'!$AM$211&lt;&gt;"N/A"),1,0))</f>
        <v>0</v>
      </c>
      <c r="J228">
        <f>IF('10_Analysis_Ready'!$A$211="",0,IF(('28_Taxonomy_Coding'!$G$211="NONE")&lt;&gt;(((OR('10_Analysis_Ready'!$AG$211="YES",'10_Analysis_Ready'!$AH$211="YES"))*1+('10_Analysis_Ready'!$AI$211="YES")+('10_Analysis_Ready'!$AJ$211="YES")+('10_Analysis_Ready'!$AK$211="YES")+('10_Analysis_Ready'!$AL$211="YES"))=0),1,0))</f>
        <v>0</v>
      </c>
    </row>
    <row r="229" spans="1:10">
      <c r="A229">
        <v>212</v>
      </c>
      <c r="B229" t="str">
        <f>IF('10_Analysis_Ready'!$A$212="","",'10_Analysis_Ready'!$A$212)</f>
        <v/>
      </c>
      <c r="C229">
        <f>IF('10_Analysis_Ready'!$A$212="",0,IF(AND('28_Taxonomy_Coding'!$A$212='10_Analysis_Ready'!$A$212,'14_Generalization_Map'!$A$212='10_Analysis_Ready'!$A$212),0,1))</f>
        <v>0</v>
      </c>
      <c r="D229">
        <f>IF('10_Analysis_Ready'!$A$212="",0,IF(COUNTIFS('06_Full_Text_Screening'!$A:$A,'10_Analysis_Ready'!$A$212,'06_Full_Text_Screening'!$J:$J,"INCLUDE")=1,0,1))</f>
        <v>0</v>
      </c>
      <c r="E229">
        <f>IF('10_Analysis_Ready'!$A$212="",0,IF(OR(AND(((OR('10_Analysis_Ready'!$AG$212="YES",'10_Analysis_Ready'!$AH$212="YES"))*1+('10_Analysis_Ready'!$AI$212="YES")+('10_Analysis_Ready'!$AJ$212="YES")+('10_Analysis_Ready'!$AK$212="YES")+('10_Analysis_Ready'!$AL$212="YES"))=0,'10_Analysis_Ready'!$AF$212&lt;&gt;"NONE"),AND(((OR('10_Analysis_Ready'!$AG$212="YES",'10_Analysis_Ready'!$AH$212="YES"))*1+('10_Analysis_Ready'!$AI$212="YES")+('10_Analysis_Ready'!$AJ$212="YES")+('10_Analysis_Ready'!$AK$212="YES")+('10_Analysis_Ready'!$AL$212="YES"))=1,OR('10_Analysis_Ready'!$AF$212="NONE",'10_Analysis_Ready'!$AF$212="MULTIPLE")),AND(((OR('10_Analysis_Ready'!$AG$212="YES",'10_Analysis_Ready'!$AH$212="YES"))*1+('10_Analysis_Ready'!$AI$212="YES")+('10_Analysis_Ready'!$AJ$212="YES")+('10_Analysis_Ready'!$AK$212="YES")+('10_Analysis_Ready'!$AL$212="YES"))&gt;=2,'10_Analysis_Ready'!$AF$212&lt;&gt;"MULTIPLE")),1,0))</f>
        <v>0</v>
      </c>
      <c r="F229">
        <f>IF('10_Analysis_Ready'!$A$212="",0,IF(AND('10_Analysis_Ready'!$AO$212="NO",COUNTIF('10_Analysis_Ready'!$AP$212:$AU$212,"YES")&gt;0),1,0))</f>
        <v>0</v>
      </c>
      <c r="G229">
        <f>IF('10_Analysis_Ready'!$A$212="",0,IF(OR(AND('10_Analysis_Ready'!$Y$212="GAN",'10_Analysis_Ready'!$AA$212="YES"),AND('10_Analysis_Ready'!$Y$212="DIFFUSION",'10_Analysis_Ready'!$Z$212="YES"),AND('10_Analysis_Ready'!$Y$212="GAN+DIFFUSION",OR('10_Analysis_Ready'!$Z$212&lt;&gt;"YES",'10_Analysis_Ready'!$AA$212&lt;&gt;"YES"))),1,0))</f>
        <v>0</v>
      </c>
      <c r="H229">
        <f>IF('10_Analysis_Ready'!$A$212="",0,IF(OR(AND('10_Analysis_Ready'!$BJ$212="NO",OR('10_Analysis_Ready'!$BK$212="HIGH",'10_Analysis_Ready'!$BK$212="VERY HIGH")),AND(((OR('10_Analysis_Ready'!$AG$212="YES",'10_Analysis_Ready'!$AH$212="YES"))*1+('10_Analysis_Ready'!$AI$212="YES")+('10_Analysis_Ready'!$AJ$212="YES")+('10_Analysis_Ready'!$AK$212="YES")+('10_Analysis_Ready'!$AL$212="YES"))=0,'10_Analysis_Ready'!$BJ$212="YES")),1,0))</f>
        <v>0</v>
      </c>
      <c r="I229">
        <f>IF('10_Analysis_Ready'!$A$212="",0,IF(AND(((OR('10_Analysis_Ready'!$AG$212="YES",'10_Analysis_Ready'!$AH$212="YES"))*1+('10_Analysis_Ready'!$AI$212="YES")+('10_Analysis_Ready'!$AJ$212="YES")+('10_Analysis_Ready'!$AK$212="YES")+('10_Analysis_Ready'!$AL$212="YES"))=0,'10_Analysis_Ready'!$AM$212&lt;&gt;"N/A"),1,0))</f>
        <v>0</v>
      </c>
      <c r="J229">
        <f>IF('10_Analysis_Ready'!$A$212="",0,IF(('28_Taxonomy_Coding'!$G$212="NONE")&lt;&gt;(((OR('10_Analysis_Ready'!$AG$212="YES",'10_Analysis_Ready'!$AH$212="YES"))*1+('10_Analysis_Ready'!$AI$212="YES")+('10_Analysis_Ready'!$AJ$212="YES")+('10_Analysis_Ready'!$AK$212="YES")+('10_Analysis_Ready'!$AL$212="YES"))=0),1,0))</f>
        <v>0</v>
      </c>
    </row>
    <row r="230" spans="1:10">
      <c r="A230">
        <v>213</v>
      </c>
      <c r="B230" t="str">
        <f>IF('10_Analysis_Ready'!$A$213="","",'10_Analysis_Ready'!$A$213)</f>
        <v/>
      </c>
      <c r="C230">
        <f>IF('10_Analysis_Ready'!$A$213="",0,IF(AND('28_Taxonomy_Coding'!$A$213='10_Analysis_Ready'!$A$213,'14_Generalization_Map'!$A$213='10_Analysis_Ready'!$A$213),0,1))</f>
        <v>0</v>
      </c>
      <c r="D230">
        <f>IF('10_Analysis_Ready'!$A$213="",0,IF(COUNTIFS('06_Full_Text_Screening'!$A:$A,'10_Analysis_Ready'!$A$213,'06_Full_Text_Screening'!$J:$J,"INCLUDE")=1,0,1))</f>
        <v>0</v>
      </c>
      <c r="E230">
        <f>IF('10_Analysis_Ready'!$A$213="",0,IF(OR(AND(((OR('10_Analysis_Ready'!$AG$213="YES",'10_Analysis_Ready'!$AH$213="YES"))*1+('10_Analysis_Ready'!$AI$213="YES")+('10_Analysis_Ready'!$AJ$213="YES")+('10_Analysis_Ready'!$AK$213="YES")+('10_Analysis_Ready'!$AL$213="YES"))=0,'10_Analysis_Ready'!$AF$213&lt;&gt;"NONE"),AND(((OR('10_Analysis_Ready'!$AG$213="YES",'10_Analysis_Ready'!$AH$213="YES"))*1+('10_Analysis_Ready'!$AI$213="YES")+('10_Analysis_Ready'!$AJ$213="YES")+('10_Analysis_Ready'!$AK$213="YES")+('10_Analysis_Ready'!$AL$213="YES"))=1,OR('10_Analysis_Ready'!$AF$213="NONE",'10_Analysis_Ready'!$AF$213="MULTIPLE")),AND(((OR('10_Analysis_Ready'!$AG$213="YES",'10_Analysis_Ready'!$AH$213="YES"))*1+('10_Analysis_Ready'!$AI$213="YES")+('10_Analysis_Ready'!$AJ$213="YES")+('10_Analysis_Ready'!$AK$213="YES")+('10_Analysis_Ready'!$AL$213="YES"))&gt;=2,'10_Analysis_Ready'!$AF$213&lt;&gt;"MULTIPLE")),1,0))</f>
        <v>0</v>
      </c>
      <c r="F230">
        <f>IF('10_Analysis_Ready'!$A$213="",0,IF(AND('10_Analysis_Ready'!$AO$213="NO",COUNTIF('10_Analysis_Ready'!$AP$213:$AU$213,"YES")&gt;0),1,0))</f>
        <v>0</v>
      </c>
      <c r="G230">
        <f>IF('10_Analysis_Ready'!$A$213="",0,IF(OR(AND('10_Analysis_Ready'!$Y$213="GAN",'10_Analysis_Ready'!$AA$213="YES"),AND('10_Analysis_Ready'!$Y$213="DIFFUSION",'10_Analysis_Ready'!$Z$213="YES"),AND('10_Analysis_Ready'!$Y$213="GAN+DIFFUSION",OR('10_Analysis_Ready'!$Z$213&lt;&gt;"YES",'10_Analysis_Ready'!$AA$213&lt;&gt;"YES"))),1,0))</f>
        <v>0</v>
      </c>
      <c r="H230">
        <f>IF('10_Analysis_Ready'!$A$213="",0,IF(OR(AND('10_Analysis_Ready'!$BJ$213="NO",OR('10_Analysis_Ready'!$BK$213="HIGH",'10_Analysis_Ready'!$BK$213="VERY HIGH")),AND(((OR('10_Analysis_Ready'!$AG$213="YES",'10_Analysis_Ready'!$AH$213="YES"))*1+('10_Analysis_Ready'!$AI$213="YES")+('10_Analysis_Ready'!$AJ$213="YES")+('10_Analysis_Ready'!$AK$213="YES")+('10_Analysis_Ready'!$AL$213="YES"))=0,'10_Analysis_Ready'!$BJ$213="YES")),1,0))</f>
        <v>0</v>
      </c>
      <c r="I230">
        <f>IF('10_Analysis_Ready'!$A$213="",0,IF(AND(((OR('10_Analysis_Ready'!$AG$213="YES",'10_Analysis_Ready'!$AH$213="YES"))*1+('10_Analysis_Ready'!$AI$213="YES")+('10_Analysis_Ready'!$AJ$213="YES")+('10_Analysis_Ready'!$AK$213="YES")+('10_Analysis_Ready'!$AL$213="YES"))=0,'10_Analysis_Ready'!$AM$213&lt;&gt;"N/A"),1,0))</f>
        <v>0</v>
      </c>
      <c r="J230">
        <f>IF('10_Analysis_Ready'!$A$213="",0,IF(('28_Taxonomy_Coding'!$G$213="NONE")&lt;&gt;(((OR('10_Analysis_Ready'!$AG$213="YES",'10_Analysis_Ready'!$AH$213="YES"))*1+('10_Analysis_Ready'!$AI$213="YES")+('10_Analysis_Ready'!$AJ$213="YES")+('10_Analysis_Ready'!$AK$213="YES")+('10_Analysis_Ready'!$AL$213="YES"))=0),1,0))</f>
        <v>0</v>
      </c>
    </row>
    <row r="231" spans="1:10">
      <c r="A231">
        <v>214</v>
      </c>
      <c r="B231" t="str">
        <f>IF('10_Analysis_Ready'!$A$214="","",'10_Analysis_Ready'!$A$214)</f>
        <v/>
      </c>
      <c r="C231">
        <f>IF('10_Analysis_Ready'!$A$214="",0,IF(AND('28_Taxonomy_Coding'!$A$214='10_Analysis_Ready'!$A$214,'14_Generalization_Map'!$A$214='10_Analysis_Ready'!$A$214),0,1))</f>
        <v>0</v>
      </c>
      <c r="D231">
        <f>IF('10_Analysis_Ready'!$A$214="",0,IF(COUNTIFS('06_Full_Text_Screening'!$A:$A,'10_Analysis_Ready'!$A$214,'06_Full_Text_Screening'!$J:$J,"INCLUDE")=1,0,1))</f>
        <v>0</v>
      </c>
      <c r="E231">
        <f>IF('10_Analysis_Ready'!$A$214="",0,IF(OR(AND(((OR('10_Analysis_Ready'!$AG$214="YES",'10_Analysis_Ready'!$AH$214="YES"))*1+('10_Analysis_Ready'!$AI$214="YES")+('10_Analysis_Ready'!$AJ$214="YES")+('10_Analysis_Ready'!$AK$214="YES")+('10_Analysis_Ready'!$AL$214="YES"))=0,'10_Analysis_Ready'!$AF$214&lt;&gt;"NONE"),AND(((OR('10_Analysis_Ready'!$AG$214="YES",'10_Analysis_Ready'!$AH$214="YES"))*1+('10_Analysis_Ready'!$AI$214="YES")+('10_Analysis_Ready'!$AJ$214="YES")+('10_Analysis_Ready'!$AK$214="YES")+('10_Analysis_Ready'!$AL$214="YES"))=1,OR('10_Analysis_Ready'!$AF$214="NONE",'10_Analysis_Ready'!$AF$214="MULTIPLE")),AND(((OR('10_Analysis_Ready'!$AG$214="YES",'10_Analysis_Ready'!$AH$214="YES"))*1+('10_Analysis_Ready'!$AI$214="YES")+('10_Analysis_Ready'!$AJ$214="YES")+('10_Analysis_Ready'!$AK$214="YES")+('10_Analysis_Ready'!$AL$214="YES"))&gt;=2,'10_Analysis_Ready'!$AF$214&lt;&gt;"MULTIPLE")),1,0))</f>
        <v>0</v>
      </c>
      <c r="F231">
        <f>IF('10_Analysis_Ready'!$A$214="",0,IF(AND('10_Analysis_Ready'!$AO$214="NO",COUNTIF('10_Analysis_Ready'!$AP$214:$AU$214,"YES")&gt;0),1,0))</f>
        <v>0</v>
      </c>
      <c r="G231">
        <f>IF('10_Analysis_Ready'!$A$214="",0,IF(OR(AND('10_Analysis_Ready'!$Y$214="GAN",'10_Analysis_Ready'!$AA$214="YES"),AND('10_Analysis_Ready'!$Y$214="DIFFUSION",'10_Analysis_Ready'!$Z$214="YES"),AND('10_Analysis_Ready'!$Y$214="GAN+DIFFUSION",OR('10_Analysis_Ready'!$Z$214&lt;&gt;"YES",'10_Analysis_Ready'!$AA$214&lt;&gt;"YES"))),1,0))</f>
        <v>0</v>
      </c>
      <c r="H231">
        <f>IF('10_Analysis_Ready'!$A$214="",0,IF(OR(AND('10_Analysis_Ready'!$BJ$214="NO",OR('10_Analysis_Ready'!$BK$214="HIGH",'10_Analysis_Ready'!$BK$214="VERY HIGH")),AND(((OR('10_Analysis_Ready'!$AG$214="YES",'10_Analysis_Ready'!$AH$214="YES"))*1+('10_Analysis_Ready'!$AI$214="YES")+('10_Analysis_Ready'!$AJ$214="YES")+('10_Analysis_Ready'!$AK$214="YES")+('10_Analysis_Ready'!$AL$214="YES"))=0,'10_Analysis_Ready'!$BJ$214="YES")),1,0))</f>
        <v>0</v>
      </c>
      <c r="I231">
        <f>IF('10_Analysis_Ready'!$A$214="",0,IF(AND(((OR('10_Analysis_Ready'!$AG$214="YES",'10_Analysis_Ready'!$AH$214="YES"))*1+('10_Analysis_Ready'!$AI$214="YES")+('10_Analysis_Ready'!$AJ$214="YES")+('10_Analysis_Ready'!$AK$214="YES")+('10_Analysis_Ready'!$AL$214="YES"))=0,'10_Analysis_Ready'!$AM$214&lt;&gt;"N/A"),1,0))</f>
        <v>0</v>
      </c>
      <c r="J231">
        <f>IF('10_Analysis_Ready'!$A$214="",0,IF(('28_Taxonomy_Coding'!$G$214="NONE")&lt;&gt;(((OR('10_Analysis_Ready'!$AG$214="YES",'10_Analysis_Ready'!$AH$214="YES"))*1+('10_Analysis_Ready'!$AI$214="YES")+('10_Analysis_Ready'!$AJ$214="YES")+('10_Analysis_Ready'!$AK$214="YES")+('10_Analysis_Ready'!$AL$214="YES"))=0),1,0))</f>
        <v>0</v>
      </c>
    </row>
    <row r="232" spans="1:10">
      <c r="A232">
        <v>215</v>
      </c>
      <c r="B232" t="str">
        <f>IF('10_Analysis_Ready'!$A$215="","",'10_Analysis_Ready'!$A$215)</f>
        <v/>
      </c>
      <c r="C232">
        <f>IF('10_Analysis_Ready'!$A$215="",0,IF(AND('28_Taxonomy_Coding'!$A$215='10_Analysis_Ready'!$A$215,'14_Generalization_Map'!$A$215='10_Analysis_Ready'!$A$215),0,1))</f>
        <v>0</v>
      </c>
      <c r="D232">
        <f>IF('10_Analysis_Ready'!$A$215="",0,IF(COUNTIFS('06_Full_Text_Screening'!$A:$A,'10_Analysis_Ready'!$A$215,'06_Full_Text_Screening'!$J:$J,"INCLUDE")=1,0,1))</f>
        <v>0</v>
      </c>
      <c r="E232">
        <f>IF('10_Analysis_Ready'!$A$215="",0,IF(OR(AND(((OR('10_Analysis_Ready'!$AG$215="YES",'10_Analysis_Ready'!$AH$215="YES"))*1+('10_Analysis_Ready'!$AI$215="YES")+('10_Analysis_Ready'!$AJ$215="YES")+('10_Analysis_Ready'!$AK$215="YES")+('10_Analysis_Ready'!$AL$215="YES"))=0,'10_Analysis_Ready'!$AF$215&lt;&gt;"NONE"),AND(((OR('10_Analysis_Ready'!$AG$215="YES",'10_Analysis_Ready'!$AH$215="YES"))*1+('10_Analysis_Ready'!$AI$215="YES")+('10_Analysis_Ready'!$AJ$215="YES")+('10_Analysis_Ready'!$AK$215="YES")+('10_Analysis_Ready'!$AL$215="YES"))=1,OR('10_Analysis_Ready'!$AF$215="NONE",'10_Analysis_Ready'!$AF$215="MULTIPLE")),AND(((OR('10_Analysis_Ready'!$AG$215="YES",'10_Analysis_Ready'!$AH$215="YES"))*1+('10_Analysis_Ready'!$AI$215="YES")+('10_Analysis_Ready'!$AJ$215="YES")+('10_Analysis_Ready'!$AK$215="YES")+('10_Analysis_Ready'!$AL$215="YES"))&gt;=2,'10_Analysis_Ready'!$AF$215&lt;&gt;"MULTIPLE")),1,0))</f>
        <v>0</v>
      </c>
      <c r="F232">
        <f>IF('10_Analysis_Ready'!$A$215="",0,IF(AND('10_Analysis_Ready'!$AO$215="NO",COUNTIF('10_Analysis_Ready'!$AP$215:$AU$215,"YES")&gt;0),1,0))</f>
        <v>0</v>
      </c>
      <c r="G232">
        <f>IF('10_Analysis_Ready'!$A$215="",0,IF(OR(AND('10_Analysis_Ready'!$Y$215="GAN",'10_Analysis_Ready'!$AA$215="YES"),AND('10_Analysis_Ready'!$Y$215="DIFFUSION",'10_Analysis_Ready'!$Z$215="YES"),AND('10_Analysis_Ready'!$Y$215="GAN+DIFFUSION",OR('10_Analysis_Ready'!$Z$215&lt;&gt;"YES",'10_Analysis_Ready'!$AA$215&lt;&gt;"YES"))),1,0))</f>
        <v>0</v>
      </c>
      <c r="H232">
        <f>IF('10_Analysis_Ready'!$A$215="",0,IF(OR(AND('10_Analysis_Ready'!$BJ$215="NO",OR('10_Analysis_Ready'!$BK$215="HIGH",'10_Analysis_Ready'!$BK$215="VERY HIGH")),AND(((OR('10_Analysis_Ready'!$AG$215="YES",'10_Analysis_Ready'!$AH$215="YES"))*1+('10_Analysis_Ready'!$AI$215="YES")+('10_Analysis_Ready'!$AJ$215="YES")+('10_Analysis_Ready'!$AK$215="YES")+('10_Analysis_Ready'!$AL$215="YES"))=0,'10_Analysis_Ready'!$BJ$215="YES")),1,0))</f>
        <v>0</v>
      </c>
      <c r="I232">
        <f>IF('10_Analysis_Ready'!$A$215="",0,IF(AND(((OR('10_Analysis_Ready'!$AG$215="YES",'10_Analysis_Ready'!$AH$215="YES"))*1+('10_Analysis_Ready'!$AI$215="YES")+('10_Analysis_Ready'!$AJ$215="YES")+('10_Analysis_Ready'!$AK$215="YES")+('10_Analysis_Ready'!$AL$215="YES"))=0,'10_Analysis_Ready'!$AM$215&lt;&gt;"N/A"),1,0))</f>
        <v>0</v>
      </c>
      <c r="J232">
        <f>IF('10_Analysis_Ready'!$A$215="",0,IF(('28_Taxonomy_Coding'!$G$215="NONE")&lt;&gt;(((OR('10_Analysis_Ready'!$AG$215="YES",'10_Analysis_Ready'!$AH$215="YES"))*1+('10_Analysis_Ready'!$AI$215="YES")+('10_Analysis_Ready'!$AJ$215="YES")+('10_Analysis_Ready'!$AK$215="YES")+('10_Analysis_Ready'!$AL$215="YES"))=0),1,0))</f>
        <v>0</v>
      </c>
    </row>
    <row r="233" spans="1:10">
      <c r="A233">
        <v>216</v>
      </c>
      <c r="B233" t="str">
        <f>IF('10_Analysis_Ready'!$A$216="","",'10_Analysis_Ready'!$A$216)</f>
        <v/>
      </c>
      <c r="C233">
        <f>IF('10_Analysis_Ready'!$A$216="",0,IF(AND('28_Taxonomy_Coding'!$A$216='10_Analysis_Ready'!$A$216,'14_Generalization_Map'!$A$216='10_Analysis_Ready'!$A$216),0,1))</f>
        <v>0</v>
      </c>
      <c r="D233">
        <f>IF('10_Analysis_Ready'!$A$216="",0,IF(COUNTIFS('06_Full_Text_Screening'!$A:$A,'10_Analysis_Ready'!$A$216,'06_Full_Text_Screening'!$J:$J,"INCLUDE")=1,0,1))</f>
        <v>0</v>
      </c>
      <c r="E233">
        <f>IF('10_Analysis_Ready'!$A$216="",0,IF(OR(AND(((OR('10_Analysis_Ready'!$AG$216="YES",'10_Analysis_Ready'!$AH$216="YES"))*1+('10_Analysis_Ready'!$AI$216="YES")+('10_Analysis_Ready'!$AJ$216="YES")+('10_Analysis_Ready'!$AK$216="YES")+('10_Analysis_Ready'!$AL$216="YES"))=0,'10_Analysis_Ready'!$AF$216&lt;&gt;"NONE"),AND(((OR('10_Analysis_Ready'!$AG$216="YES",'10_Analysis_Ready'!$AH$216="YES"))*1+('10_Analysis_Ready'!$AI$216="YES")+('10_Analysis_Ready'!$AJ$216="YES")+('10_Analysis_Ready'!$AK$216="YES")+('10_Analysis_Ready'!$AL$216="YES"))=1,OR('10_Analysis_Ready'!$AF$216="NONE",'10_Analysis_Ready'!$AF$216="MULTIPLE")),AND(((OR('10_Analysis_Ready'!$AG$216="YES",'10_Analysis_Ready'!$AH$216="YES"))*1+('10_Analysis_Ready'!$AI$216="YES")+('10_Analysis_Ready'!$AJ$216="YES")+('10_Analysis_Ready'!$AK$216="YES")+('10_Analysis_Ready'!$AL$216="YES"))&gt;=2,'10_Analysis_Ready'!$AF$216&lt;&gt;"MULTIPLE")),1,0))</f>
        <v>0</v>
      </c>
      <c r="F233">
        <f>IF('10_Analysis_Ready'!$A$216="",0,IF(AND('10_Analysis_Ready'!$AO$216="NO",COUNTIF('10_Analysis_Ready'!$AP$216:$AU$216,"YES")&gt;0),1,0))</f>
        <v>0</v>
      </c>
      <c r="G233">
        <f>IF('10_Analysis_Ready'!$A$216="",0,IF(OR(AND('10_Analysis_Ready'!$Y$216="GAN",'10_Analysis_Ready'!$AA$216="YES"),AND('10_Analysis_Ready'!$Y$216="DIFFUSION",'10_Analysis_Ready'!$Z$216="YES"),AND('10_Analysis_Ready'!$Y$216="GAN+DIFFUSION",OR('10_Analysis_Ready'!$Z$216&lt;&gt;"YES",'10_Analysis_Ready'!$AA$216&lt;&gt;"YES"))),1,0))</f>
        <v>0</v>
      </c>
      <c r="H233">
        <f>IF('10_Analysis_Ready'!$A$216="",0,IF(OR(AND('10_Analysis_Ready'!$BJ$216="NO",OR('10_Analysis_Ready'!$BK$216="HIGH",'10_Analysis_Ready'!$BK$216="VERY HIGH")),AND(((OR('10_Analysis_Ready'!$AG$216="YES",'10_Analysis_Ready'!$AH$216="YES"))*1+('10_Analysis_Ready'!$AI$216="YES")+('10_Analysis_Ready'!$AJ$216="YES")+('10_Analysis_Ready'!$AK$216="YES")+('10_Analysis_Ready'!$AL$216="YES"))=0,'10_Analysis_Ready'!$BJ$216="YES")),1,0))</f>
        <v>0</v>
      </c>
      <c r="I233">
        <f>IF('10_Analysis_Ready'!$A$216="",0,IF(AND(((OR('10_Analysis_Ready'!$AG$216="YES",'10_Analysis_Ready'!$AH$216="YES"))*1+('10_Analysis_Ready'!$AI$216="YES")+('10_Analysis_Ready'!$AJ$216="YES")+('10_Analysis_Ready'!$AK$216="YES")+('10_Analysis_Ready'!$AL$216="YES"))=0,'10_Analysis_Ready'!$AM$216&lt;&gt;"N/A"),1,0))</f>
        <v>0</v>
      </c>
      <c r="J233">
        <f>IF('10_Analysis_Ready'!$A$216="",0,IF(('28_Taxonomy_Coding'!$G$216="NONE")&lt;&gt;(((OR('10_Analysis_Ready'!$AG$216="YES",'10_Analysis_Ready'!$AH$216="YES"))*1+('10_Analysis_Ready'!$AI$216="YES")+('10_Analysis_Ready'!$AJ$216="YES")+('10_Analysis_Ready'!$AK$216="YES")+('10_Analysis_Ready'!$AL$216="YES"))=0),1,0))</f>
        <v>0</v>
      </c>
    </row>
    <row r="234" spans="1:10">
      <c r="A234">
        <v>217</v>
      </c>
      <c r="B234" t="str">
        <f>IF('10_Analysis_Ready'!$A$217="","",'10_Analysis_Ready'!$A$217)</f>
        <v/>
      </c>
      <c r="C234">
        <f>IF('10_Analysis_Ready'!$A$217="",0,IF(AND('28_Taxonomy_Coding'!$A$217='10_Analysis_Ready'!$A$217,'14_Generalization_Map'!$A$217='10_Analysis_Ready'!$A$217),0,1))</f>
        <v>0</v>
      </c>
      <c r="D234">
        <f>IF('10_Analysis_Ready'!$A$217="",0,IF(COUNTIFS('06_Full_Text_Screening'!$A:$A,'10_Analysis_Ready'!$A$217,'06_Full_Text_Screening'!$J:$J,"INCLUDE")=1,0,1))</f>
        <v>0</v>
      </c>
      <c r="E234">
        <f>IF('10_Analysis_Ready'!$A$217="",0,IF(OR(AND(((OR('10_Analysis_Ready'!$AG$217="YES",'10_Analysis_Ready'!$AH$217="YES"))*1+('10_Analysis_Ready'!$AI$217="YES")+('10_Analysis_Ready'!$AJ$217="YES")+('10_Analysis_Ready'!$AK$217="YES")+('10_Analysis_Ready'!$AL$217="YES"))=0,'10_Analysis_Ready'!$AF$217&lt;&gt;"NONE"),AND(((OR('10_Analysis_Ready'!$AG$217="YES",'10_Analysis_Ready'!$AH$217="YES"))*1+('10_Analysis_Ready'!$AI$217="YES")+('10_Analysis_Ready'!$AJ$217="YES")+('10_Analysis_Ready'!$AK$217="YES")+('10_Analysis_Ready'!$AL$217="YES"))=1,OR('10_Analysis_Ready'!$AF$217="NONE",'10_Analysis_Ready'!$AF$217="MULTIPLE")),AND(((OR('10_Analysis_Ready'!$AG$217="YES",'10_Analysis_Ready'!$AH$217="YES"))*1+('10_Analysis_Ready'!$AI$217="YES")+('10_Analysis_Ready'!$AJ$217="YES")+('10_Analysis_Ready'!$AK$217="YES")+('10_Analysis_Ready'!$AL$217="YES"))&gt;=2,'10_Analysis_Ready'!$AF$217&lt;&gt;"MULTIPLE")),1,0))</f>
        <v>0</v>
      </c>
      <c r="F234">
        <f>IF('10_Analysis_Ready'!$A$217="",0,IF(AND('10_Analysis_Ready'!$AO$217="NO",COUNTIF('10_Analysis_Ready'!$AP$217:$AU$217,"YES")&gt;0),1,0))</f>
        <v>0</v>
      </c>
      <c r="G234">
        <f>IF('10_Analysis_Ready'!$A$217="",0,IF(OR(AND('10_Analysis_Ready'!$Y$217="GAN",'10_Analysis_Ready'!$AA$217="YES"),AND('10_Analysis_Ready'!$Y$217="DIFFUSION",'10_Analysis_Ready'!$Z$217="YES"),AND('10_Analysis_Ready'!$Y$217="GAN+DIFFUSION",OR('10_Analysis_Ready'!$Z$217&lt;&gt;"YES",'10_Analysis_Ready'!$AA$217&lt;&gt;"YES"))),1,0))</f>
        <v>0</v>
      </c>
      <c r="H234">
        <f>IF('10_Analysis_Ready'!$A$217="",0,IF(OR(AND('10_Analysis_Ready'!$BJ$217="NO",OR('10_Analysis_Ready'!$BK$217="HIGH",'10_Analysis_Ready'!$BK$217="VERY HIGH")),AND(((OR('10_Analysis_Ready'!$AG$217="YES",'10_Analysis_Ready'!$AH$217="YES"))*1+('10_Analysis_Ready'!$AI$217="YES")+('10_Analysis_Ready'!$AJ$217="YES")+('10_Analysis_Ready'!$AK$217="YES")+('10_Analysis_Ready'!$AL$217="YES"))=0,'10_Analysis_Ready'!$BJ$217="YES")),1,0))</f>
        <v>0</v>
      </c>
      <c r="I234">
        <f>IF('10_Analysis_Ready'!$A$217="",0,IF(AND(((OR('10_Analysis_Ready'!$AG$217="YES",'10_Analysis_Ready'!$AH$217="YES"))*1+('10_Analysis_Ready'!$AI$217="YES")+('10_Analysis_Ready'!$AJ$217="YES")+('10_Analysis_Ready'!$AK$217="YES")+('10_Analysis_Ready'!$AL$217="YES"))=0,'10_Analysis_Ready'!$AM$217&lt;&gt;"N/A"),1,0))</f>
        <v>0</v>
      </c>
      <c r="J234">
        <f>IF('10_Analysis_Ready'!$A$217="",0,IF(('28_Taxonomy_Coding'!$G$217="NONE")&lt;&gt;(((OR('10_Analysis_Ready'!$AG$217="YES",'10_Analysis_Ready'!$AH$217="YES"))*1+('10_Analysis_Ready'!$AI$217="YES")+('10_Analysis_Ready'!$AJ$217="YES")+('10_Analysis_Ready'!$AK$217="YES")+('10_Analysis_Ready'!$AL$217="YES"))=0),1,0))</f>
        <v>0</v>
      </c>
    </row>
    <row r="235" spans="1:10">
      <c r="A235">
        <v>218</v>
      </c>
      <c r="B235" t="str">
        <f>IF('10_Analysis_Ready'!$A$218="","",'10_Analysis_Ready'!$A$218)</f>
        <v/>
      </c>
      <c r="C235">
        <f>IF('10_Analysis_Ready'!$A$218="",0,IF(AND('28_Taxonomy_Coding'!$A$218='10_Analysis_Ready'!$A$218,'14_Generalization_Map'!$A$218='10_Analysis_Ready'!$A$218),0,1))</f>
        <v>0</v>
      </c>
      <c r="D235">
        <f>IF('10_Analysis_Ready'!$A$218="",0,IF(COUNTIFS('06_Full_Text_Screening'!$A:$A,'10_Analysis_Ready'!$A$218,'06_Full_Text_Screening'!$J:$J,"INCLUDE")=1,0,1))</f>
        <v>0</v>
      </c>
      <c r="E235">
        <f>IF('10_Analysis_Ready'!$A$218="",0,IF(OR(AND(((OR('10_Analysis_Ready'!$AG$218="YES",'10_Analysis_Ready'!$AH$218="YES"))*1+('10_Analysis_Ready'!$AI$218="YES")+('10_Analysis_Ready'!$AJ$218="YES")+('10_Analysis_Ready'!$AK$218="YES")+('10_Analysis_Ready'!$AL$218="YES"))=0,'10_Analysis_Ready'!$AF$218&lt;&gt;"NONE"),AND(((OR('10_Analysis_Ready'!$AG$218="YES",'10_Analysis_Ready'!$AH$218="YES"))*1+('10_Analysis_Ready'!$AI$218="YES")+('10_Analysis_Ready'!$AJ$218="YES")+('10_Analysis_Ready'!$AK$218="YES")+('10_Analysis_Ready'!$AL$218="YES"))=1,OR('10_Analysis_Ready'!$AF$218="NONE",'10_Analysis_Ready'!$AF$218="MULTIPLE")),AND(((OR('10_Analysis_Ready'!$AG$218="YES",'10_Analysis_Ready'!$AH$218="YES"))*1+('10_Analysis_Ready'!$AI$218="YES")+('10_Analysis_Ready'!$AJ$218="YES")+('10_Analysis_Ready'!$AK$218="YES")+('10_Analysis_Ready'!$AL$218="YES"))&gt;=2,'10_Analysis_Ready'!$AF$218&lt;&gt;"MULTIPLE")),1,0))</f>
        <v>0</v>
      </c>
      <c r="F235">
        <f>IF('10_Analysis_Ready'!$A$218="",0,IF(AND('10_Analysis_Ready'!$AO$218="NO",COUNTIF('10_Analysis_Ready'!$AP$218:$AU$218,"YES")&gt;0),1,0))</f>
        <v>0</v>
      </c>
      <c r="G235">
        <f>IF('10_Analysis_Ready'!$A$218="",0,IF(OR(AND('10_Analysis_Ready'!$Y$218="GAN",'10_Analysis_Ready'!$AA$218="YES"),AND('10_Analysis_Ready'!$Y$218="DIFFUSION",'10_Analysis_Ready'!$Z$218="YES"),AND('10_Analysis_Ready'!$Y$218="GAN+DIFFUSION",OR('10_Analysis_Ready'!$Z$218&lt;&gt;"YES",'10_Analysis_Ready'!$AA$218&lt;&gt;"YES"))),1,0))</f>
        <v>0</v>
      </c>
      <c r="H235">
        <f>IF('10_Analysis_Ready'!$A$218="",0,IF(OR(AND('10_Analysis_Ready'!$BJ$218="NO",OR('10_Analysis_Ready'!$BK$218="HIGH",'10_Analysis_Ready'!$BK$218="VERY HIGH")),AND(((OR('10_Analysis_Ready'!$AG$218="YES",'10_Analysis_Ready'!$AH$218="YES"))*1+('10_Analysis_Ready'!$AI$218="YES")+('10_Analysis_Ready'!$AJ$218="YES")+('10_Analysis_Ready'!$AK$218="YES")+('10_Analysis_Ready'!$AL$218="YES"))=0,'10_Analysis_Ready'!$BJ$218="YES")),1,0))</f>
        <v>0</v>
      </c>
      <c r="I235">
        <f>IF('10_Analysis_Ready'!$A$218="",0,IF(AND(((OR('10_Analysis_Ready'!$AG$218="YES",'10_Analysis_Ready'!$AH$218="YES"))*1+('10_Analysis_Ready'!$AI$218="YES")+('10_Analysis_Ready'!$AJ$218="YES")+('10_Analysis_Ready'!$AK$218="YES")+('10_Analysis_Ready'!$AL$218="YES"))=0,'10_Analysis_Ready'!$AM$218&lt;&gt;"N/A"),1,0))</f>
        <v>0</v>
      </c>
      <c r="J235">
        <f>IF('10_Analysis_Ready'!$A$218="",0,IF(('28_Taxonomy_Coding'!$G$218="NONE")&lt;&gt;(((OR('10_Analysis_Ready'!$AG$218="YES",'10_Analysis_Ready'!$AH$218="YES"))*1+('10_Analysis_Ready'!$AI$218="YES")+('10_Analysis_Ready'!$AJ$218="YES")+('10_Analysis_Ready'!$AK$218="YES")+('10_Analysis_Ready'!$AL$218="YES"))=0),1,0))</f>
        <v>0</v>
      </c>
    </row>
    <row r="236" spans="1:10">
      <c r="A236">
        <v>219</v>
      </c>
      <c r="B236" t="str">
        <f>IF('10_Analysis_Ready'!$A$219="","",'10_Analysis_Ready'!$A$219)</f>
        <v/>
      </c>
      <c r="C236">
        <f>IF('10_Analysis_Ready'!$A$219="",0,IF(AND('28_Taxonomy_Coding'!$A$219='10_Analysis_Ready'!$A$219,'14_Generalization_Map'!$A$219='10_Analysis_Ready'!$A$219),0,1))</f>
        <v>0</v>
      </c>
      <c r="D236">
        <f>IF('10_Analysis_Ready'!$A$219="",0,IF(COUNTIFS('06_Full_Text_Screening'!$A:$A,'10_Analysis_Ready'!$A$219,'06_Full_Text_Screening'!$J:$J,"INCLUDE")=1,0,1))</f>
        <v>0</v>
      </c>
      <c r="E236">
        <f>IF('10_Analysis_Ready'!$A$219="",0,IF(OR(AND(((OR('10_Analysis_Ready'!$AG$219="YES",'10_Analysis_Ready'!$AH$219="YES"))*1+('10_Analysis_Ready'!$AI$219="YES")+('10_Analysis_Ready'!$AJ$219="YES")+('10_Analysis_Ready'!$AK$219="YES")+('10_Analysis_Ready'!$AL$219="YES"))=0,'10_Analysis_Ready'!$AF$219&lt;&gt;"NONE"),AND(((OR('10_Analysis_Ready'!$AG$219="YES",'10_Analysis_Ready'!$AH$219="YES"))*1+('10_Analysis_Ready'!$AI$219="YES")+('10_Analysis_Ready'!$AJ$219="YES")+('10_Analysis_Ready'!$AK$219="YES")+('10_Analysis_Ready'!$AL$219="YES"))=1,OR('10_Analysis_Ready'!$AF$219="NONE",'10_Analysis_Ready'!$AF$219="MULTIPLE")),AND(((OR('10_Analysis_Ready'!$AG$219="YES",'10_Analysis_Ready'!$AH$219="YES"))*1+('10_Analysis_Ready'!$AI$219="YES")+('10_Analysis_Ready'!$AJ$219="YES")+('10_Analysis_Ready'!$AK$219="YES")+('10_Analysis_Ready'!$AL$219="YES"))&gt;=2,'10_Analysis_Ready'!$AF$219&lt;&gt;"MULTIPLE")),1,0))</f>
        <v>0</v>
      </c>
      <c r="F236">
        <f>IF('10_Analysis_Ready'!$A$219="",0,IF(AND('10_Analysis_Ready'!$AO$219="NO",COUNTIF('10_Analysis_Ready'!$AP$219:$AU$219,"YES")&gt;0),1,0))</f>
        <v>0</v>
      </c>
      <c r="G236">
        <f>IF('10_Analysis_Ready'!$A$219="",0,IF(OR(AND('10_Analysis_Ready'!$Y$219="GAN",'10_Analysis_Ready'!$AA$219="YES"),AND('10_Analysis_Ready'!$Y$219="DIFFUSION",'10_Analysis_Ready'!$Z$219="YES"),AND('10_Analysis_Ready'!$Y$219="GAN+DIFFUSION",OR('10_Analysis_Ready'!$Z$219&lt;&gt;"YES",'10_Analysis_Ready'!$AA$219&lt;&gt;"YES"))),1,0))</f>
        <v>0</v>
      </c>
      <c r="H236">
        <f>IF('10_Analysis_Ready'!$A$219="",0,IF(OR(AND('10_Analysis_Ready'!$BJ$219="NO",OR('10_Analysis_Ready'!$BK$219="HIGH",'10_Analysis_Ready'!$BK$219="VERY HIGH")),AND(((OR('10_Analysis_Ready'!$AG$219="YES",'10_Analysis_Ready'!$AH$219="YES"))*1+('10_Analysis_Ready'!$AI$219="YES")+('10_Analysis_Ready'!$AJ$219="YES")+('10_Analysis_Ready'!$AK$219="YES")+('10_Analysis_Ready'!$AL$219="YES"))=0,'10_Analysis_Ready'!$BJ$219="YES")),1,0))</f>
        <v>0</v>
      </c>
      <c r="I236">
        <f>IF('10_Analysis_Ready'!$A$219="",0,IF(AND(((OR('10_Analysis_Ready'!$AG$219="YES",'10_Analysis_Ready'!$AH$219="YES"))*1+('10_Analysis_Ready'!$AI$219="YES")+('10_Analysis_Ready'!$AJ$219="YES")+('10_Analysis_Ready'!$AK$219="YES")+('10_Analysis_Ready'!$AL$219="YES"))=0,'10_Analysis_Ready'!$AM$219&lt;&gt;"N/A"),1,0))</f>
        <v>0</v>
      </c>
      <c r="J236">
        <f>IF('10_Analysis_Ready'!$A$219="",0,IF(('28_Taxonomy_Coding'!$G$219="NONE")&lt;&gt;(((OR('10_Analysis_Ready'!$AG$219="YES",'10_Analysis_Ready'!$AH$219="YES"))*1+('10_Analysis_Ready'!$AI$219="YES")+('10_Analysis_Ready'!$AJ$219="YES")+('10_Analysis_Ready'!$AK$219="YES")+('10_Analysis_Ready'!$AL$219="YES"))=0),1,0))</f>
        <v>0</v>
      </c>
    </row>
    <row r="237" spans="1:10">
      <c r="A237">
        <v>220</v>
      </c>
      <c r="B237" t="str">
        <f>IF('10_Analysis_Ready'!$A$220="","",'10_Analysis_Ready'!$A$220)</f>
        <v/>
      </c>
      <c r="C237">
        <f>IF('10_Analysis_Ready'!$A$220="",0,IF(AND('28_Taxonomy_Coding'!$A$220='10_Analysis_Ready'!$A$220,'14_Generalization_Map'!$A$220='10_Analysis_Ready'!$A$220),0,1))</f>
        <v>0</v>
      </c>
      <c r="D237">
        <f>IF('10_Analysis_Ready'!$A$220="",0,IF(COUNTIFS('06_Full_Text_Screening'!$A:$A,'10_Analysis_Ready'!$A$220,'06_Full_Text_Screening'!$J:$J,"INCLUDE")=1,0,1))</f>
        <v>0</v>
      </c>
      <c r="E237">
        <f>IF('10_Analysis_Ready'!$A$220="",0,IF(OR(AND(((OR('10_Analysis_Ready'!$AG$220="YES",'10_Analysis_Ready'!$AH$220="YES"))*1+('10_Analysis_Ready'!$AI$220="YES")+('10_Analysis_Ready'!$AJ$220="YES")+('10_Analysis_Ready'!$AK$220="YES")+('10_Analysis_Ready'!$AL$220="YES"))=0,'10_Analysis_Ready'!$AF$220&lt;&gt;"NONE"),AND(((OR('10_Analysis_Ready'!$AG$220="YES",'10_Analysis_Ready'!$AH$220="YES"))*1+('10_Analysis_Ready'!$AI$220="YES")+('10_Analysis_Ready'!$AJ$220="YES")+('10_Analysis_Ready'!$AK$220="YES")+('10_Analysis_Ready'!$AL$220="YES"))=1,OR('10_Analysis_Ready'!$AF$220="NONE",'10_Analysis_Ready'!$AF$220="MULTIPLE")),AND(((OR('10_Analysis_Ready'!$AG$220="YES",'10_Analysis_Ready'!$AH$220="YES"))*1+('10_Analysis_Ready'!$AI$220="YES")+('10_Analysis_Ready'!$AJ$220="YES")+('10_Analysis_Ready'!$AK$220="YES")+('10_Analysis_Ready'!$AL$220="YES"))&gt;=2,'10_Analysis_Ready'!$AF$220&lt;&gt;"MULTIPLE")),1,0))</f>
        <v>0</v>
      </c>
      <c r="F237">
        <f>IF('10_Analysis_Ready'!$A$220="",0,IF(AND('10_Analysis_Ready'!$AO$220="NO",COUNTIF('10_Analysis_Ready'!$AP$220:$AU$220,"YES")&gt;0),1,0))</f>
        <v>0</v>
      </c>
      <c r="G237">
        <f>IF('10_Analysis_Ready'!$A$220="",0,IF(OR(AND('10_Analysis_Ready'!$Y$220="GAN",'10_Analysis_Ready'!$AA$220="YES"),AND('10_Analysis_Ready'!$Y$220="DIFFUSION",'10_Analysis_Ready'!$Z$220="YES"),AND('10_Analysis_Ready'!$Y$220="GAN+DIFFUSION",OR('10_Analysis_Ready'!$Z$220&lt;&gt;"YES",'10_Analysis_Ready'!$AA$220&lt;&gt;"YES"))),1,0))</f>
        <v>0</v>
      </c>
      <c r="H237">
        <f>IF('10_Analysis_Ready'!$A$220="",0,IF(OR(AND('10_Analysis_Ready'!$BJ$220="NO",OR('10_Analysis_Ready'!$BK$220="HIGH",'10_Analysis_Ready'!$BK$220="VERY HIGH")),AND(((OR('10_Analysis_Ready'!$AG$220="YES",'10_Analysis_Ready'!$AH$220="YES"))*1+('10_Analysis_Ready'!$AI$220="YES")+('10_Analysis_Ready'!$AJ$220="YES")+('10_Analysis_Ready'!$AK$220="YES")+('10_Analysis_Ready'!$AL$220="YES"))=0,'10_Analysis_Ready'!$BJ$220="YES")),1,0))</f>
        <v>0</v>
      </c>
      <c r="I237">
        <f>IF('10_Analysis_Ready'!$A$220="",0,IF(AND(((OR('10_Analysis_Ready'!$AG$220="YES",'10_Analysis_Ready'!$AH$220="YES"))*1+('10_Analysis_Ready'!$AI$220="YES")+('10_Analysis_Ready'!$AJ$220="YES")+('10_Analysis_Ready'!$AK$220="YES")+('10_Analysis_Ready'!$AL$220="YES"))=0,'10_Analysis_Ready'!$AM$220&lt;&gt;"N/A"),1,0))</f>
        <v>0</v>
      </c>
      <c r="J237">
        <f>IF('10_Analysis_Ready'!$A$220="",0,IF(('28_Taxonomy_Coding'!$G$220="NONE")&lt;&gt;(((OR('10_Analysis_Ready'!$AG$220="YES",'10_Analysis_Ready'!$AH$220="YES"))*1+('10_Analysis_Ready'!$AI$220="YES")+('10_Analysis_Ready'!$AJ$220="YES")+('10_Analysis_Ready'!$AK$220="YES")+('10_Analysis_Ready'!$AL$220="YES"))=0),1,0))</f>
        <v>0</v>
      </c>
    </row>
    <row r="238" spans="1:10">
      <c r="A238">
        <v>221</v>
      </c>
      <c r="B238" t="str">
        <f>IF('10_Analysis_Ready'!$A$221="","",'10_Analysis_Ready'!$A$221)</f>
        <v/>
      </c>
      <c r="C238">
        <f>IF('10_Analysis_Ready'!$A$221="",0,IF(AND('28_Taxonomy_Coding'!$A$221='10_Analysis_Ready'!$A$221,'14_Generalization_Map'!$A$221='10_Analysis_Ready'!$A$221),0,1))</f>
        <v>0</v>
      </c>
      <c r="D238">
        <f>IF('10_Analysis_Ready'!$A$221="",0,IF(COUNTIFS('06_Full_Text_Screening'!$A:$A,'10_Analysis_Ready'!$A$221,'06_Full_Text_Screening'!$J:$J,"INCLUDE")=1,0,1))</f>
        <v>0</v>
      </c>
      <c r="E238">
        <f>IF('10_Analysis_Ready'!$A$221="",0,IF(OR(AND(((OR('10_Analysis_Ready'!$AG$221="YES",'10_Analysis_Ready'!$AH$221="YES"))*1+('10_Analysis_Ready'!$AI$221="YES")+('10_Analysis_Ready'!$AJ$221="YES")+('10_Analysis_Ready'!$AK$221="YES")+('10_Analysis_Ready'!$AL$221="YES"))=0,'10_Analysis_Ready'!$AF$221&lt;&gt;"NONE"),AND(((OR('10_Analysis_Ready'!$AG$221="YES",'10_Analysis_Ready'!$AH$221="YES"))*1+('10_Analysis_Ready'!$AI$221="YES")+('10_Analysis_Ready'!$AJ$221="YES")+('10_Analysis_Ready'!$AK$221="YES")+('10_Analysis_Ready'!$AL$221="YES"))=1,OR('10_Analysis_Ready'!$AF$221="NONE",'10_Analysis_Ready'!$AF$221="MULTIPLE")),AND(((OR('10_Analysis_Ready'!$AG$221="YES",'10_Analysis_Ready'!$AH$221="YES"))*1+('10_Analysis_Ready'!$AI$221="YES")+('10_Analysis_Ready'!$AJ$221="YES")+('10_Analysis_Ready'!$AK$221="YES")+('10_Analysis_Ready'!$AL$221="YES"))&gt;=2,'10_Analysis_Ready'!$AF$221&lt;&gt;"MULTIPLE")),1,0))</f>
        <v>0</v>
      </c>
      <c r="F238">
        <f>IF('10_Analysis_Ready'!$A$221="",0,IF(AND('10_Analysis_Ready'!$AO$221="NO",COUNTIF('10_Analysis_Ready'!$AP$221:$AU$221,"YES")&gt;0),1,0))</f>
        <v>0</v>
      </c>
      <c r="G238">
        <f>IF('10_Analysis_Ready'!$A$221="",0,IF(OR(AND('10_Analysis_Ready'!$Y$221="GAN",'10_Analysis_Ready'!$AA$221="YES"),AND('10_Analysis_Ready'!$Y$221="DIFFUSION",'10_Analysis_Ready'!$Z$221="YES"),AND('10_Analysis_Ready'!$Y$221="GAN+DIFFUSION",OR('10_Analysis_Ready'!$Z$221&lt;&gt;"YES",'10_Analysis_Ready'!$AA$221&lt;&gt;"YES"))),1,0))</f>
        <v>0</v>
      </c>
      <c r="H238">
        <f>IF('10_Analysis_Ready'!$A$221="",0,IF(OR(AND('10_Analysis_Ready'!$BJ$221="NO",OR('10_Analysis_Ready'!$BK$221="HIGH",'10_Analysis_Ready'!$BK$221="VERY HIGH")),AND(((OR('10_Analysis_Ready'!$AG$221="YES",'10_Analysis_Ready'!$AH$221="YES"))*1+('10_Analysis_Ready'!$AI$221="YES")+('10_Analysis_Ready'!$AJ$221="YES")+('10_Analysis_Ready'!$AK$221="YES")+('10_Analysis_Ready'!$AL$221="YES"))=0,'10_Analysis_Ready'!$BJ$221="YES")),1,0))</f>
        <v>0</v>
      </c>
      <c r="I238">
        <f>IF('10_Analysis_Ready'!$A$221="",0,IF(AND(((OR('10_Analysis_Ready'!$AG$221="YES",'10_Analysis_Ready'!$AH$221="YES"))*1+('10_Analysis_Ready'!$AI$221="YES")+('10_Analysis_Ready'!$AJ$221="YES")+('10_Analysis_Ready'!$AK$221="YES")+('10_Analysis_Ready'!$AL$221="YES"))=0,'10_Analysis_Ready'!$AM$221&lt;&gt;"N/A"),1,0))</f>
        <v>0</v>
      </c>
      <c r="J238">
        <f>IF('10_Analysis_Ready'!$A$221="",0,IF(('28_Taxonomy_Coding'!$G$221="NONE")&lt;&gt;(((OR('10_Analysis_Ready'!$AG$221="YES",'10_Analysis_Ready'!$AH$221="YES"))*1+('10_Analysis_Ready'!$AI$221="YES")+('10_Analysis_Ready'!$AJ$221="YES")+('10_Analysis_Ready'!$AK$221="YES")+('10_Analysis_Ready'!$AL$221="YES"))=0),1,0))</f>
        <v>0</v>
      </c>
    </row>
    <row r="239" spans="1:10">
      <c r="A239">
        <v>222</v>
      </c>
      <c r="B239" t="str">
        <f>IF('10_Analysis_Ready'!$A$222="","",'10_Analysis_Ready'!$A$222)</f>
        <v/>
      </c>
      <c r="C239">
        <f>IF('10_Analysis_Ready'!$A$222="",0,IF(AND('28_Taxonomy_Coding'!$A$222='10_Analysis_Ready'!$A$222,'14_Generalization_Map'!$A$222='10_Analysis_Ready'!$A$222),0,1))</f>
        <v>0</v>
      </c>
      <c r="D239">
        <f>IF('10_Analysis_Ready'!$A$222="",0,IF(COUNTIFS('06_Full_Text_Screening'!$A:$A,'10_Analysis_Ready'!$A$222,'06_Full_Text_Screening'!$J:$J,"INCLUDE")=1,0,1))</f>
        <v>0</v>
      </c>
      <c r="E239">
        <f>IF('10_Analysis_Ready'!$A$222="",0,IF(OR(AND(((OR('10_Analysis_Ready'!$AG$222="YES",'10_Analysis_Ready'!$AH$222="YES"))*1+('10_Analysis_Ready'!$AI$222="YES")+('10_Analysis_Ready'!$AJ$222="YES")+('10_Analysis_Ready'!$AK$222="YES")+('10_Analysis_Ready'!$AL$222="YES"))=0,'10_Analysis_Ready'!$AF$222&lt;&gt;"NONE"),AND(((OR('10_Analysis_Ready'!$AG$222="YES",'10_Analysis_Ready'!$AH$222="YES"))*1+('10_Analysis_Ready'!$AI$222="YES")+('10_Analysis_Ready'!$AJ$222="YES")+('10_Analysis_Ready'!$AK$222="YES")+('10_Analysis_Ready'!$AL$222="YES"))=1,OR('10_Analysis_Ready'!$AF$222="NONE",'10_Analysis_Ready'!$AF$222="MULTIPLE")),AND(((OR('10_Analysis_Ready'!$AG$222="YES",'10_Analysis_Ready'!$AH$222="YES"))*1+('10_Analysis_Ready'!$AI$222="YES")+('10_Analysis_Ready'!$AJ$222="YES")+('10_Analysis_Ready'!$AK$222="YES")+('10_Analysis_Ready'!$AL$222="YES"))&gt;=2,'10_Analysis_Ready'!$AF$222&lt;&gt;"MULTIPLE")),1,0))</f>
        <v>0</v>
      </c>
      <c r="F239">
        <f>IF('10_Analysis_Ready'!$A$222="",0,IF(AND('10_Analysis_Ready'!$AO$222="NO",COUNTIF('10_Analysis_Ready'!$AP$222:$AU$222,"YES")&gt;0),1,0))</f>
        <v>0</v>
      </c>
      <c r="G239">
        <f>IF('10_Analysis_Ready'!$A$222="",0,IF(OR(AND('10_Analysis_Ready'!$Y$222="GAN",'10_Analysis_Ready'!$AA$222="YES"),AND('10_Analysis_Ready'!$Y$222="DIFFUSION",'10_Analysis_Ready'!$Z$222="YES"),AND('10_Analysis_Ready'!$Y$222="GAN+DIFFUSION",OR('10_Analysis_Ready'!$Z$222&lt;&gt;"YES",'10_Analysis_Ready'!$AA$222&lt;&gt;"YES"))),1,0))</f>
        <v>0</v>
      </c>
      <c r="H239">
        <f>IF('10_Analysis_Ready'!$A$222="",0,IF(OR(AND('10_Analysis_Ready'!$BJ$222="NO",OR('10_Analysis_Ready'!$BK$222="HIGH",'10_Analysis_Ready'!$BK$222="VERY HIGH")),AND(((OR('10_Analysis_Ready'!$AG$222="YES",'10_Analysis_Ready'!$AH$222="YES"))*1+('10_Analysis_Ready'!$AI$222="YES")+('10_Analysis_Ready'!$AJ$222="YES")+('10_Analysis_Ready'!$AK$222="YES")+('10_Analysis_Ready'!$AL$222="YES"))=0,'10_Analysis_Ready'!$BJ$222="YES")),1,0))</f>
        <v>0</v>
      </c>
      <c r="I239">
        <f>IF('10_Analysis_Ready'!$A$222="",0,IF(AND(((OR('10_Analysis_Ready'!$AG$222="YES",'10_Analysis_Ready'!$AH$222="YES"))*1+('10_Analysis_Ready'!$AI$222="YES")+('10_Analysis_Ready'!$AJ$222="YES")+('10_Analysis_Ready'!$AK$222="YES")+('10_Analysis_Ready'!$AL$222="YES"))=0,'10_Analysis_Ready'!$AM$222&lt;&gt;"N/A"),1,0))</f>
        <v>0</v>
      </c>
      <c r="J239">
        <f>IF('10_Analysis_Ready'!$A$222="",0,IF(('28_Taxonomy_Coding'!$G$222="NONE")&lt;&gt;(((OR('10_Analysis_Ready'!$AG$222="YES",'10_Analysis_Ready'!$AH$222="YES"))*1+('10_Analysis_Ready'!$AI$222="YES")+('10_Analysis_Ready'!$AJ$222="YES")+('10_Analysis_Ready'!$AK$222="YES")+('10_Analysis_Ready'!$AL$222="YES"))=0),1,0))</f>
        <v>0</v>
      </c>
    </row>
    <row r="240" spans="1:10">
      <c r="A240">
        <v>223</v>
      </c>
      <c r="B240" t="str">
        <f>IF('10_Analysis_Ready'!$A$223="","",'10_Analysis_Ready'!$A$223)</f>
        <v/>
      </c>
      <c r="C240">
        <f>IF('10_Analysis_Ready'!$A$223="",0,IF(AND('28_Taxonomy_Coding'!$A$223='10_Analysis_Ready'!$A$223,'14_Generalization_Map'!$A$223='10_Analysis_Ready'!$A$223),0,1))</f>
        <v>0</v>
      </c>
      <c r="D240">
        <f>IF('10_Analysis_Ready'!$A$223="",0,IF(COUNTIFS('06_Full_Text_Screening'!$A:$A,'10_Analysis_Ready'!$A$223,'06_Full_Text_Screening'!$J:$J,"INCLUDE")=1,0,1))</f>
        <v>0</v>
      </c>
      <c r="E240">
        <f>IF('10_Analysis_Ready'!$A$223="",0,IF(OR(AND(((OR('10_Analysis_Ready'!$AG$223="YES",'10_Analysis_Ready'!$AH$223="YES"))*1+('10_Analysis_Ready'!$AI$223="YES")+('10_Analysis_Ready'!$AJ$223="YES")+('10_Analysis_Ready'!$AK$223="YES")+('10_Analysis_Ready'!$AL$223="YES"))=0,'10_Analysis_Ready'!$AF$223&lt;&gt;"NONE"),AND(((OR('10_Analysis_Ready'!$AG$223="YES",'10_Analysis_Ready'!$AH$223="YES"))*1+('10_Analysis_Ready'!$AI$223="YES")+('10_Analysis_Ready'!$AJ$223="YES")+('10_Analysis_Ready'!$AK$223="YES")+('10_Analysis_Ready'!$AL$223="YES"))=1,OR('10_Analysis_Ready'!$AF$223="NONE",'10_Analysis_Ready'!$AF$223="MULTIPLE")),AND(((OR('10_Analysis_Ready'!$AG$223="YES",'10_Analysis_Ready'!$AH$223="YES"))*1+('10_Analysis_Ready'!$AI$223="YES")+('10_Analysis_Ready'!$AJ$223="YES")+('10_Analysis_Ready'!$AK$223="YES")+('10_Analysis_Ready'!$AL$223="YES"))&gt;=2,'10_Analysis_Ready'!$AF$223&lt;&gt;"MULTIPLE")),1,0))</f>
        <v>0</v>
      </c>
      <c r="F240">
        <f>IF('10_Analysis_Ready'!$A$223="",0,IF(AND('10_Analysis_Ready'!$AO$223="NO",COUNTIF('10_Analysis_Ready'!$AP$223:$AU$223,"YES")&gt;0),1,0))</f>
        <v>0</v>
      </c>
      <c r="G240">
        <f>IF('10_Analysis_Ready'!$A$223="",0,IF(OR(AND('10_Analysis_Ready'!$Y$223="GAN",'10_Analysis_Ready'!$AA$223="YES"),AND('10_Analysis_Ready'!$Y$223="DIFFUSION",'10_Analysis_Ready'!$Z$223="YES"),AND('10_Analysis_Ready'!$Y$223="GAN+DIFFUSION",OR('10_Analysis_Ready'!$Z$223&lt;&gt;"YES",'10_Analysis_Ready'!$AA$223&lt;&gt;"YES"))),1,0))</f>
        <v>0</v>
      </c>
      <c r="H240">
        <f>IF('10_Analysis_Ready'!$A$223="",0,IF(OR(AND('10_Analysis_Ready'!$BJ$223="NO",OR('10_Analysis_Ready'!$BK$223="HIGH",'10_Analysis_Ready'!$BK$223="VERY HIGH")),AND(((OR('10_Analysis_Ready'!$AG$223="YES",'10_Analysis_Ready'!$AH$223="YES"))*1+('10_Analysis_Ready'!$AI$223="YES")+('10_Analysis_Ready'!$AJ$223="YES")+('10_Analysis_Ready'!$AK$223="YES")+('10_Analysis_Ready'!$AL$223="YES"))=0,'10_Analysis_Ready'!$BJ$223="YES")),1,0))</f>
        <v>0</v>
      </c>
      <c r="I240">
        <f>IF('10_Analysis_Ready'!$A$223="",0,IF(AND(((OR('10_Analysis_Ready'!$AG$223="YES",'10_Analysis_Ready'!$AH$223="YES"))*1+('10_Analysis_Ready'!$AI$223="YES")+('10_Analysis_Ready'!$AJ$223="YES")+('10_Analysis_Ready'!$AK$223="YES")+('10_Analysis_Ready'!$AL$223="YES"))=0,'10_Analysis_Ready'!$AM$223&lt;&gt;"N/A"),1,0))</f>
        <v>0</v>
      </c>
      <c r="J240">
        <f>IF('10_Analysis_Ready'!$A$223="",0,IF(('28_Taxonomy_Coding'!$G$223="NONE")&lt;&gt;(((OR('10_Analysis_Ready'!$AG$223="YES",'10_Analysis_Ready'!$AH$223="YES"))*1+('10_Analysis_Ready'!$AI$223="YES")+('10_Analysis_Ready'!$AJ$223="YES")+('10_Analysis_Ready'!$AK$223="YES")+('10_Analysis_Ready'!$AL$223="YES"))=0),1,0))</f>
        <v>0</v>
      </c>
    </row>
    <row r="241" spans="1:10">
      <c r="A241">
        <v>224</v>
      </c>
      <c r="B241" t="str">
        <f>IF('10_Analysis_Ready'!$A$224="","",'10_Analysis_Ready'!$A$224)</f>
        <v/>
      </c>
      <c r="C241">
        <f>IF('10_Analysis_Ready'!$A$224="",0,IF(AND('28_Taxonomy_Coding'!$A$224='10_Analysis_Ready'!$A$224,'14_Generalization_Map'!$A$224='10_Analysis_Ready'!$A$224),0,1))</f>
        <v>0</v>
      </c>
      <c r="D241">
        <f>IF('10_Analysis_Ready'!$A$224="",0,IF(COUNTIFS('06_Full_Text_Screening'!$A:$A,'10_Analysis_Ready'!$A$224,'06_Full_Text_Screening'!$J:$J,"INCLUDE")=1,0,1))</f>
        <v>0</v>
      </c>
      <c r="E241">
        <f>IF('10_Analysis_Ready'!$A$224="",0,IF(OR(AND(((OR('10_Analysis_Ready'!$AG$224="YES",'10_Analysis_Ready'!$AH$224="YES"))*1+('10_Analysis_Ready'!$AI$224="YES")+('10_Analysis_Ready'!$AJ$224="YES")+('10_Analysis_Ready'!$AK$224="YES")+('10_Analysis_Ready'!$AL$224="YES"))=0,'10_Analysis_Ready'!$AF$224&lt;&gt;"NONE"),AND(((OR('10_Analysis_Ready'!$AG$224="YES",'10_Analysis_Ready'!$AH$224="YES"))*1+('10_Analysis_Ready'!$AI$224="YES")+('10_Analysis_Ready'!$AJ$224="YES")+('10_Analysis_Ready'!$AK$224="YES")+('10_Analysis_Ready'!$AL$224="YES"))=1,OR('10_Analysis_Ready'!$AF$224="NONE",'10_Analysis_Ready'!$AF$224="MULTIPLE")),AND(((OR('10_Analysis_Ready'!$AG$224="YES",'10_Analysis_Ready'!$AH$224="YES"))*1+('10_Analysis_Ready'!$AI$224="YES")+('10_Analysis_Ready'!$AJ$224="YES")+('10_Analysis_Ready'!$AK$224="YES")+('10_Analysis_Ready'!$AL$224="YES"))&gt;=2,'10_Analysis_Ready'!$AF$224&lt;&gt;"MULTIPLE")),1,0))</f>
        <v>0</v>
      </c>
      <c r="F241">
        <f>IF('10_Analysis_Ready'!$A$224="",0,IF(AND('10_Analysis_Ready'!$AO$224="NO",COUNTIF('10_Analysis_Ready'!$AP$224:$AU$224,"YES")&gt;0),1,0))</f>
        <v>0</v>
      </c>
      <c r="G241">
        <f>IF('10_Analysis_Ready'!$A$224="",0,IF(OR(AND('10_Analysis_Ready'!$Y$224="GAN",'10_Analysis_Ready'!$AA$224="YES"),AND('10_Analysis_Ready'!$Y$224="DIFFUSION",'10_Analysis_Ready'!$Z$224="YES"),AND('10_Analysis_Ready'!$Y$224="GAN+DIFFUSION",OR('10_Analysis_Ready'!$Z$224&lt;&gt;"YES",'10_Analysis_Ready'!$AA$224&lt;&gt;"YES"))),1,0))</f>
        <v>0</v>
      </c>
      <c r="H241">
        <f>IF('10_Analysis_Ready'!$A$224="",0,IF(OR(AND('10_Analysis_Ready'!$BJ$224="NO",OR('10_Analysis_Ready'!$BK$224="HIGH",'10_Analysis_Ready'!$BK$224="VERY HIGH")),AND(((OR('10_Analysis_Ready'!$AG$224="YES",'10_Analysis_Ready'!$AH$224="YES"))*1+('10_Analysis_Ready'!$AI$224="YES")+('10_Analysis_Ready'!$AJ$224="YES")+('10_Analysis_Ready'!$AK$224="YES")+('10_Analysis_Ready'!$AL$224="YES"))=0,'10_Analysis_Ready'!$BJ$224="YES")),1,0))</f>
        <v>0</v>
      </c>
      <c r="I241">
        <f>IF('10_Analysis_Ready'!$A$224="",0,IF(AND(((OR('10_Analysis_Ready'!$AG$224="YES",'10_Analysis_Ready'!$AH$224="YES"))*1+('10_Analysis_Ready'!$AI$224="YES")+('10_Analysis_Ready'!$AJ$224="YES")+('10_Analysis_Ready'!$AK$224="YES")+('10_Analysis_Ready'!$AL$224="YES"))=0,'10_Analysis_Ready'!$AM$224&lt;&gt;"N/A"),1,0))</f>
        <v>0</v>
      </c>
      <c r="J241">
        <f>IF('10_Analysis_Ready'!$A$224="",0,IF(('28_Taxonomy_Coding'!$G$224="NONE")&lt;&gt;(((OR('10_Analysis_Ready'!$AG$224="YES",'10_Analysis_Ready'!$AH$224="YES"))*1+('10_Analysis_Ready'!$AI$224="YES")+('10_Analysis_Ready'!$AJ$224="YES")+('10_Analysis_Ready'!$AK$224="YES")+('10_Analysis_Ready'!$AL$224="YES"))=0),1,0))</f>
        <v>0</v>
      </c>
    </row>
    <row r="242" spans="1:10">
      <c r="A242">
        <v>225</v>
      </c>
      <c r="B242" t="str">
        <f>IF('10_Analysis_Ready'!$A$225="","",'10_Analysis_Ready'!$A$225)</f>
        <v/>
      </c>
      <c r="C242">
        <f>IF('10_Analysis_Ready'!$A$225="",0,IF(AND('28_Taxonomy_Coding'!$A$225='10_Analysis_Ready'!$A$225,'14_Generalization_Map'!$A$225='10_Analysis_Ready'!$A$225),0,1))</f>
        <v>0</v>
      </c>
      <c r="D242">
        <f>IF('10_Analysis_Ready'!$A$225="",0,IF(COUNTIFS('06_Full_Text_Screening'!$A:$A,'10_Analysis_Ready'!$A$225,'06_Full_Text_Screening'!$J:$J,"INCLUDE")=1,0,1))</f>
        <v>0</v>
      </c>
      <c r="E242">
        <f>IF('10_Analysis_Ready'!$A$225="",0,IF(OR(AND(((OR('10_Analysis_Ready'!$AG$225="YES",'10_Analysis_Ready'!$AH$225="YES"))*1+('10_Analysis_Ready'!$AI$225="YES")+('10_Analysis_Ready'!$AJ$225="YES")+('10_Analysis_Ready'!$AK$225="YES")+('10_Analysis_Ready'!$AL$225="YES"))=0,'10_Analysis_Ready'!$AF$225&lt;&gt;"NONE"),AND(((OR('10_Analysis_Ready'!$AG$225="YES",'10_Analysis_Ready'!$AH$225="YES"))*1+('10_Analysis_Ready'!$AI$225="YES")+('10_Analysis_Ready'!$AJ$225="YES")+('10_Analysis_Ready'!$AK$225="YES")+('10_Analysis_Ready'!$AL$225="YES"))=1,OR('10_Analysis_Ready'!$AF$225="NONE",'10_Analysis_Ready'!$AF$225="MULTIPLE")),AND(((OR('10_Analysis_Ready'!$AG$225="YES",'10_Analysis_Ready'!$AH$225="YES"))*1+('10_Analysis_Ready'!$AI$225="YES")+('10_Analysis_Ready'!$AJ$225="YES")+('10_Analysis_Ready'!$AK$225="YES")+('10_Analysis_Ready'!$AL$225="YES"))&gt;=2,'10_Analysis_Ready'!$AF$225&lt;&gt;"MULTIPLE")),1,0))</f>
        <v>0</v>
      </c>
      <c r="F242">
        <f>IF('10_Analysis_Ready'!$A$225="",0,IF(AND('10_Analysis_Ready'!$AO$225="NO",COUNTIF('10_Analysis_Ready'!$AP$225:$AU$225,"YES")&gt;0),1,0))</f>
        <v>0</v>
      </c>
      <c r="G242">
        <f>IF('10_Analysis_Ready'!$A$225="",0,IF(OR(AND('10_Analysis_Ready'!$Y$225="GAN",'10_Analysis_Ready'!$AA$225="YES"),AND('10_Analysis_Ready'!$Y$225="DIFFUSION",'10_Analysis_Ready'!$Z$225="YES"),AND('10_Analysis_Ready'!$Y$225="GAN+DIFFUSION",OR('10_Analysis_Ready'!$Z$225&lt;&gt;"YES",'10_Analysis_Ready'!$AA$225&lt;&gt;"YES"))),1,0))</f>
        <v>0</v>
      </c>
      <c r="H242">
        <f>IF('10_Analysis_Ready'!$A$225="",0,IF(OR(AND('10_Analysis_Ready'!$BJ$225="NO",OR('10_Analysis_Ready'!$BK$225="HIGH",'10_Analysis_Ready'!$BK$225="VERY HIGH")),AND(((OR('10_Analysis_Ready'!$AG$225="YES",'10_Analysis_Ready'!$AH$225="YES"))*1+('10_Analysis_Ready'!$AI$225="YES")+('10_Analysis_Ready'!$AJ$225="YES")+('10_Analysis_Ready'!$AK$225="YES")+('10_Analysis_Ready'!$AL$225="YES"))=0,'10_Analysis_Ready'!$BJ$225="YES")),1,0))</f>
        <v>0</v>
      </c>
      <c r="I242">
        <f>IF('10_Analysis_Ready'!$A$225="",0,IF(AND(((OR('10_Analysis_Ready'!$AG$225="YES",'10_Analysis_Ready'!$AH$225="YES"))*1+('10_Analysis_Ready'!$AI$225="YES")+('10_Analysis_Ready'!$AJ$225="YES")+('10_Analysis_Ready'!$AK$225="YES")+('10_Analysis_Ready'!$AL$225="YES"))=0,'10_Analysis_Ready'!$AM$225&lt;&gt;"N/A"),1,0))</f>
        <v>0</v>
      </c>
      <c r="J242">
        <f>IF('10_Analysis_Ready'!$A$225="",0,IF(('28_Taxonomy_Coding'!$G$225="NONE")&lt;&gt;(((OR('10_Analysis_Ready'!$AG$225="YES",'10_Analysis_Ready'!$AH$225="YES"))*1+('10_Analysis_Ready'!$AI$225="YES")+('10_Analysis_Ready'!$AJ$225="YES")+('10_Analysis_Ready'!$AK$225="YES")+('10_Analysis_Ready'!$AL$225="YES"))=0),1,0))</f>
        <v>0</v>
      </c>
    </row>
    <row r="243" spans="1:10">
      <c r="A243">
        <v>226</v>
      </c>
      <c r="B243" t="str">
        <f>IF('10_Analysis_Ready'!$A$226="","",'10_Analysis_Ready'!$A$226)</f>
        <v/>
      </c>
      <c r="C243">
        <f>IF('10_Analysis_Ready'!$A$226="",0,IF(AND('28_Taxonomy_Coding'!$A$226='10_Analysis_Ready'!$A$226,'14_Generalization_Map'!$A$226='10_Analysis_Ready'!$A$226),0,1))</f>
        <v>0</v>
      </c>
      <c r="D243">
        <f>IF('10_Analysis_Ready'!$A$226="",0,IF(COUNTIFS('06_Full_Text_Screening'!$A:$A,'10_Analysis_Ready'!$A$226,'06_Full_Text_Screening'!$J:$J,"INCLUDE")=1,0,1))</f>
        <v>0</v>
      </c>
      <c r="E243">
        <f>IF('10_Analysis_Ready'!$A$226="",0,IF(OR(AND(((OR('10_Analysis_Ready'!$AG$226="YES",'10_Analysis_Ready'!$AH$226="YES"))*1+('10_Analysis_Ready'!$AI$226="YES")+('10_Analysis_Ready'!$AJ$226="YES")+('10_Analysis_Ready'!$AK$226="YES")+('10_Analysis_Ready'!$AL$226="YES"))=0,'10_Analysis_Ready'!$AF$226&lt;&gt;"NONE"),AND(((OR('10_Analysis_Ready'!$AG$226="YES",'10_Analysis_Ready'!$AH$226="YES"))*1+('10_Analysis_Ready'!$AI$226="YES")+('10_Analysis_Ready'!$AJ$226="YES")+('10_Analysis_Ready'!$AK$226="YES")+('10_Analysis_Ready'!$AL$226="YES"))=1,OR('10_Analysis_Ready'!$AF$226="NONE",'10_Analysis_Ready'!$AF$226="MULTIPLE")),AND(((OR('10_Analysis_Ready'!$AG$226="YES",'10_Analysis_Ready'!$AH$226="YES"))*1+('10_Analysis_Ready'!$AI$226="YES")+('10_Analysis_Ready'!$AJ$226="YES")+('10_Analysis_Ready'!$AK$226="YES")+('10_Analysis_Ready'!$AL$226="YES"))&gt;=2,'10_Analysis_Ready'!$AF$226&lt;&gt;"MULTIPLE")),1,0))</f>
        <v>0</v>
      </c>
      <c r="F243">
        <f>IF('10_Analysis_Ready'!$A$226="",0,IF(AND('10_Analysis_Ready'!$AO$226="NO",COUNTIF('10_Analysis_Ready'!$AP$226:$AU$226,"YES")&gt;0),1,0))</f>
        <v>0</v>
      </c>
      <c r="G243">
        <f>IF('10_Analysis_Ready'!$A$226="",0,IF(OR(AND('10_Analysis_Ready'!$Y$226="GAN",'10_Analysis_Ready'!$AA$226="YES"),AND('10_Analysis_Ready'!$Y$226="DIFFUSION",'10_Analysis_Ready'!$Z$226="YES"),AND('10_Analysis_Ready'!$Y$226="GAN+DIFFUSION",OR('10_Analysis_Ready'!$Z$226&lt;&gt;"YES",'10_Analysis_Ready'!$AA$226&lt;&gt;"YES"))),1,0))</f>
        <v>0</v>
      </c>
      <c r="H243">
        <f>IF('10_Analysis_Ready'!$A$226="",0,IF(OR(AND('10_Analysis_Ready'!$BJ$226="NO",OR('10_Analysis_Ready'!$BK$226="HIGH",'10_Analysis_Ready'!$BK$226="VERY HIGH")),AND(((OR('10_Analysis_Ready'!$AG$226="YES",'10_Analysis_Ready'!$AH$226="YES"))*1+('10_Analysis_Ready'!$AI$226="YES")+('10_Analysis_Ready'!$AJ$226="YES")+('10_Analysis_Ready'!$AK$226="YES")+('10_Analysis_Ready'!$AL$226="YES"))=0,'10_Analysis_Ready'!$BJ$226="YES")),1,0))</f>
        <v>0</v>
      </c>
      <c r="I243">
        <f>IF('10_Analysis_Ready'!$A$226="",0,IF(AND(((OR('10_Analysis_Ready'!$AG$226="YES",'10_Analysis_Ready'!$AH$226="YES"))*1+('10_Analysis_Ready'!$AI$226="YES")+('10_Analysis_Ready'!$AJ$226="YES")+('10_Analysis_Ready'!$AK$226="YES")+('10_Analysis_Ready'!$AL$226="YES"))=0,'10_Analysis_Ready'!$AM$226&lt;&gt;"N/A"),1,0))</f>
        <v>0</v>
      </c>
      <c r="J243">
        <f>IF('10_Analysis_Ready'!$A$226="",0,IF(('28_Taxonomy_Coding'!$G$226="NONE")&lt;&gt;(((OR('10_Analysis_Ready'!$AG$226="YES",'10_Analysis_Ready'!$AH$226="YES"))*1+('10_Analysis_Ready'!$AI$226="YES")+('10_Analysis_Ready'!$AJ$226="YES")+('10_Analysis_Ready'!$AK$226="YES")+('10_Analysis_Ready'!$AL$226="YES"))=0),1,0))</f>
        <v>0</v>
      </c>
    </row>
    <row r="244" spans="1:10">
      <c r="A244">
        <v>227</v>
      </c>
      <c r="B244" t="str">
        <f>IF('10_Analysis_Ready'!$A$227="","",'10_Analysis_Ready'!$A$227)</f>
        <v/>
      </c>
      <c r="C244">
        <f>IF('10_Analysis_Ready'!$A$227="",0,IF(AND('28_Taxonomy_Coding'!$A$227='10_Analysis_Ready'!$A$227,'14_Generalization_Map'!$A$227='10_Analysis_Ready'!$A$227),0,1))</f>
        <v>0</v>
      </c>
      <c r="D244">
        <f>IF('10_Analysis_Ready'!$A$227="",0,IF(COUNTIFS('06_Full_Text_Screening'!$A:$A,'10_Analysis_Ready'!$A$227,'06_Full_Text_Screening'!$J:$J,"INCLUDE")=1,0,1))</f>
        <v>0</v>
      </c>
      <c r="E244">
        <f>IF('10_Analysis_Ready'!$A$227="",0,IF(OR(AND(((OR('10_Analysis_Ready'!$AG$227="YES",'10_Analysis_Ready'!$AH$227="YES"))*1+('10_Analysis_Ready'!$AI$227="YES")+('10_Analysis_Ready'!$AJ$227="YES")+('10_Analysis_Ready'!$AK$227="YES")+('10_Analysis_Ready'!$AL$227="YES"))=0,'10_Analysis_Ready'!$AF$227&lt;&gt;"NONE"),AND(((OR('10_Analysis_Ready'!$AG$227="YES",'10_Analysis_Ready'!$AH$227="YES"))*1+('10_Analysis_Ready'!$AI$227="YES")+('10_Analysis_Ready'!$AJ$227="YES")+('10_Analysis_Ready'!$AK$227="YES")+('10_Analysis_Ready'!$AL$227="YES"))=1,OR('10_Analysis_Ready'!$AF$227="NONE",'10_Analysis_Ready'!$AF$227="MULTIPLE")),AND(((OR('10_Analysis_Ready'!$AG$227="YES",'10_Analysis_Ready'!$AH$227="YES"))*1+('10_Analysis_Ready'!$AI$227="YES")+('10_Analysis_Ready'!$AJ$227="YES")+('10_Analysis_Ready'!$AK$227="YES")+('10_Analysis_Ready'!$AL$227="YES"))&gt;=2,'10_Analysis_Ready'!$AF$227&lt;&gt;"MULTIPLE")),1,0))</f>
        <v>0</v>
      </c>
      <c r="F244">
        <f>IF('10_Analysis_Ready'!$A$227="",0,IF(AND('10_Analysis_Ready'!$AO$227="NO",COUNTIF('10_Analysis_Ready'!$AP$227:$AU$227,"YES")&gt;0),1,0))</f>
        <v>0</v>
      </c>
      <c r="G244">
        <f>IF('10_Analysis_Ready'!$A$227="",0,IF(OR(AND('10_Analysis_Ready'!$Y$227="GAN",'10_Analysis_Ready'!$AA$227="YES"),AND('10_Analysis_Ready'!$Y$227="DIFFUSION",'10_Analysis_Ready'!$Z$227="YES"),AND('10_Analysis_Ready'!$Y$227="GAN+DIFFUSION",OR('10_Analysis_Ready'!$Z$227&lt;&gt;"YES",'10_Analysis_Ready'!$AA$227&lt;&gt;"YES"))),1,0))</f>
        <v>0</v>
      </c>
      <c r="H244">
        <f>IF('10_Analysis_Ready'!$A$227="",0,IF(OR(AND('10_Analysis_Ready'!$BJ$227="NO",OR('10_Analysis_Ready'!$BK$227="HIGH",'10_Analysis_Ready'!$BK$227="VERY HIGH")),AND(((OR('10_Analysis_Ready'!$AG$227="YES",'10_Analysis_Ready'!$AH$227="YES"))*1+('10_Analysis_Ready'!$AI$227="YES")+('10_Analysis_Ready'!$AJ$227="YES")+('10_Analysis_Ready'!$AK$227="YES")+('10_Analysis_Ready'!$AL$227="YES"))=0,'10_Analysis_Ready'!$BJ$227="YES")),1,0))</f>
        <v>0</v>
      </c>
      <c r="I244">
        <f>IF('10_Analysis_Ready'!$A$227="",0,IF(AND(((OR('10_Analysis_Ready'!$AG$227="YES",'10_Analysis_Ready'!$AH$227="YES"))*1+('10_Analysis_Ready'!$AI$227="YES")+('10_Analysis_Ready'!$AJ$227="YES")+('10_Analysis_Ready'!$AK$227="YES")+('10_Analysis_Ready'!$AL$227="YES"))=0,'10_Analysis_Ready'!$AM$227&lt;&gt;"N/A"),1,0))</f>
        <v>0</v>
      </c>
      <c r="J244">
        <f>IF('10_Analysis_Ready'!$A$227="",0,IF(('28_Taxonomy_Coding'!$G$227="NONE")&lt;&gt;(((OR('10_Analysis_Ready'!$AG$227="YES",'10_Analysis_Ready'!$AH$227="YES"))*1+('10_Analysis_Ready'!$AI$227="YES")+('10_Analysis_Ready'!$AJ$227="YES")+('10_Analysis_Ready'!$AK$227="YES")+('10_Analysis_Ready'!$AL$227="YES"))=0),1,0))</f>
        <v>0</v>
      </c>
    </row>
    <row r="245" spans="1:10">
      <c r="A245">
        <v>228</v>
      </c>
      <c r="B245" t="str">
        <f>IF('10_Analysis_Ready'!$A$228="","",'10_Analysis_Ready'!$A$228)</f>
        <v/>
      </c>
      <c r="C245">
        <f>IF('10_Analysis_Ready'!$A$228="",0,IF(AND('28_Taxonomy_Coding'!$A$228='10_Analysis_Ready'!$A$228,'14_Generalization_Map'!$A$228='10_Analysis_Ready'!$A$228),0,1))</f>
        <v>0</v>
      </c>
      <c r="D245">
        <f>IF('10_Analysis_Ready'!$A$228="",0,IF(COUNTIFS('06_Full_Text_Screening'!$A:$A,'10_Analysis_Ready'!$A$228,'06_Full_Text_Screening'!$J:$J,"INCLUDE")=1,0,1))</f>
        <v>0</v>
      </c>
      <c r="E245">
        <f>IF('10_Analysis_Ready'!$A$228="",0,IF(OR(AND(((OR('10_Analysis_Ready'!$AG$228="YES",'10_Analysis_Ready'!$AH$228="YES"))*1+('10_Analysis_Ready'!$AI$228="YES")+('10_Analysis_Ready'!$AJ$228="YES")+('10_Analysis_Ready'!$AK$228="YES")+('10_Analysis_Ready'!$AL$228="YES"))=0,'10_Analysis_Ready'!$AF$228&lt;&gt;"NONE"),AND(((OR('10_Analysis_Ready'!$AG$228="YES",'10_Analysis_Ready'!$AH$228="YES"))*1+('10_Analysis_Ready'!$AI$228="YES")+('10_Analysis_Ready'!$AJ$228="YES")+('10_Analysis_Ready'!$AK$228="YES")+('10_Analysis_Ready'!$AL$228="YES"))=1,OR('10_Analysis_Ready'!$AF$228="NONE",'10_Analysis_Ready'!$AF$228="MULTIPLE")),AND(((OR('10_Analysis_Ready'!$AG$228="YES",'10_Analysis_Ready'!$AH$228="YES"))*1+('10_Analysis_Ready'!$AI$228="YES")+('10_Analysis_Ready'!$AJ$228="YES")+('10_Analysis_Ready'!$AK$228="YES")+('10_Analysis_Ready'!$AL$228="YES"))&gt;=2,'10_Analysis_Ready'!$AF$228&lt;&gt;"MULTIPLE")),1,0))</f>
        <v>0</v>
      </c>
      <c r="F245">
        <f>IF('10_Analysis_Ready'!$A$228="",0,IF(AND('10_Analysis_Ready'!$AO$228="NO",COUNTIF('10_Analysis_Ready'!$AP$228:$AU$228,"YES")&gt;0),1,0))</f>
        <v>0</v>
      </c>
      <c r="G245">
        <f>IF('10_Analysis_Ready'!$A$228="",0,IF(OR(AND('10_Analysis_Ready'!$Y$228="GAN",'10_Analysis_Ready'!$AA$228="YES"),AND('10_Analysis_Ready'!$Y$228="DIFFUSION",'10_Analysis_Ready'!$Z$228="YES"),AND('10_Analysis_Ready'!$Y$228="GAN+DIFFUSION",OR('10_Analysis_Ready'!$Z$228&lt;&gt;"YES",'10_Analysis_Ready'!$AA$228&lt;&gt;"YES"))),1,0))</f>
        <v>0</v>
      </c>
      <c r="H245">
        <f>IF('10_Analysis_Ready'!$A$228="",0,IF(OR(AND('10_Analysis_Ready'!$BJ$228="NO",OR('10_Analysis_Ready'!$BK$228="HIGH",'10_Analysis_Ready'!$BK$228="VERY HIGH")),AND(((OR('10_Analysis_Ready'!$AG$228="YES",'10_Analysis_Ready'!$AH$228="YES"))*1+('10_Analysis_Ready'!$AI$228="YES")+('10_Analysis_Ready'!$AJ$228="YES")+('10_Analysis_Ready'!$AK$228="YES")+('10_Analysis_Ready'!$AL$228="YES"))=0,'10_Analysis_Ready'!$BJ$228="YES")),1,0))</f>
        <v>0</v>
      </c>
      <c r="I245">
        <f>IF('10_Analysis_Ready'!$A$228="",0,IF(AND(((OR('10_Analysis_Ready'!$AG$228="YES",'10_Analysis_Ready'!$AH$228="YES"))*1+('10_Analysis_Ready'!$AI$228="YES")+('10_Analysis_Ready'!$AJ$228="YES")+('10_Analysis_Ready'!$AK$228="YES")+('10_Analysis_Ready'!$AL$228="YES"))=0,'10_Analysis_Ready'!$AM$228&lt;&gt;"N/A"),1,0))</f>
        <v>0</v>
      </c>
      <c r="J245">
        <f>IF('10_Analysis_Ready'!$A$228="",0,IF(('28_Taxonomy_Coding'!$G$228="NONE")&lt;&gt;(((OR('10_Analysis_Ready'!$AG$228="YES",'10_Analysis_Ready'!$AH$228="YES"))*1+('10_Analysis_Ready'!$AI$228="YES")+('10_Analysis_Ready'!$AJ$228="YES")+('10_Analysis_Ready'!$AK$228="YES")+('10_Analysis_Ready'!$AL$228="YES"))=0),1,0))</f>
        <v>0</v>
      </c>
    </row>
    <row r="246" spans="1:10">
      <c r="A246">
        <v>229</v>
      </c>
      <c r="B246" t="str">
        <f>IF('10_Analysis_Ready'!$A$229="","",'10_Analysis_Ready'!$A$229)</f>
        <v/>
      </c>
      <c r="C246">
        <f>IF('10_Analysis_Ready'!$A$229="",0,IF(AND('28_Taxonomy_Coding'!$A$229='10_Analysis_Ready'!$A$229,'14_Generalization_Map'!$A$229='10_Analysis_Ready'!$A$229),0,1))</f>
        <v>0</v>
      </c>
      <c r="D246">
        <f>IF('10_Analysis_Ready'!$A$229="",0,IF(COUNTIFS('06_Full_Text_Screening'!$A:$A,'10_Analysis_Ready'!$A$229,'06_Full_Text_Screening'!$J:$J,"INCLUDE")=1,0,1))</f>
        <v>0</v>
      </c>
      <c r="E246">
        <f>IF('10_Analysis_Ready'!$A$229="",0,IF(OR(AND(((OR('10_Analysis_Ready'!$AG$229="YES",'10_Analysis_Ready'!$AH$229="YES"))*1+('10_Analysis_Ready'!$AI$229="YES")+('10_Analysis_Ready'!$AJ$229="YES")+('10_Analysis_Ready'!$AK$229="YES")+('10_Analysis_Ready'!$AL$229="YES"))=0,'10_Analysis_Ready'!$AF$229&lt;&gt;"NONE"),AND(((OR('10_Analysis_Ready'!$AG$229="YES",'10_Analysis_Ready'!$AH$229="YES"))*1+('10_Analysis_Ready'!$AI$229="YES")+('10_Analysis_Ready'!$AJ$229="YES")+('10_Analysis_Ready'!$AK$229="YES")+('10_Analysis_Ready'!$AL$229="YES"))=1,OR('10_Analysis_Ready'!$AF$229="NONE",'10_Analysis_Ready'!$AF$229="MULTIPLE")),AND(((OR('10_Analysis_Ready'!$AG$229="YES",'10_Analysis_Ready'!$AH$229="YES"))*1+('10_Analysis_Ready'!$AI$229="YES")+('10_Analysis_Ready'!$AJ$229="YES")+('10_Analysis_Ready'!$AK$229="YES")+('10_Analysis_Ready'!$AL$229="YES"))&gt;=2,'10_Analysis_Ready'!$AF$229&lt;&gt;"MULTIPLE")),1,0))</f>
        <v>0</v>
      </c>
      <c r="F246">
        <f>IF('10_Analysis_Ready'!$A$229="",0,IF(AND('10_Analysis_Ready'!$AO$229="NO",COUNTIF('10_Analysis_Ready'!$AP$229:$AU$229,"YES")&gt;0),1,0))</f>
        <v>0</v>
      </c>
      <c r="G246">
        <f>IF('10_Analysis_Ready'!$A$229="",0,IF(OR(AND('10_Analysis_Ready'!$Y$229="GAN",'10_Analysis_Ready'!$AA$229="YES"),AND('10_Analysis_Ready'!$Y$229="DIFFUSION",'10_Analysis_Ready'!$Z$229="YES"),AND('10_Analysis_Ready'!$Y$229="GAN+DIFFUSION",OR('10_Analysis_Ready'!$Z$229&lt;&gt;"YES",'10_Analysis_Ready'!$AA$229&lt;&gt;"YES"))),1,0))</f>
        <v>0</v>
      </c>
      <c r="H246">
        <f>IF('10_Analysis_Ready'!$A$229="",0,IF(OR(AND('10_Analysis_Ready'!$BJ$229="NO",OR('10_Analysis_Ready'!$BK$229="HIGH",'10_Analysis_Ready'!$BK$229="VERY HIGH")),AND(((OR('10_Analysis_Ready'!$AG$229="YES",'10_Analysis_Ready'!$AH$229="YES"))*1+('10_Analysis_Ready'!$AI$229="YES")+('10_Analysis_Ready'!$AJ$229="YES")+('10_Analysis_Ready'!$AK$229="YES")+('10_Analysis_Ready'!$AL$229="YES"))=0,'10_Analysis_Ready'!$BJ$229="YES")),1,0))</f>
        <v>0</v>
      </c>
      <c r="I246">
        <f>IF('10_Analysis_Ready'!$A$229="",0,IF(AND(((OR('10_Analysis_Ready'!$AG$229="YES",'10_Analysis_Ready'!$AH$229="YES"))*1+('10_Analysis_Ready'!$AI$229="YES")+('10_Analysis_Ready'!$AJ$229="YES")+('10_Analysis_Ready'!$AK$229="YES")+('10_Analysis_Ready'!$AL$229="YES"))=0,'10_Analysis_Ready'!$AM$229&lt;&gt;"N/A"),1,0))</f>
        <v>0</v>
      </c>
      <c r="J246">
        <f>IF('10_Analysis_Ready'!$A$229="",0,IF(('28_Taxonomy_Coding'!$G$229="NONE")&lt;&gt;(((OR('10_Analysis_Ready'!$AG$229="YES",'10_Analysis_Ready'!$AH$229="YES"))*1+('10_Analysis_Ready'!$AI$229="YES")+('10_Analysis_Ready'!$AJ$229="YES")+('10_Analysis_Ready'!$AK$229="YES")+('10_Analysis_Ready'!$AL$229="YES"))=0),1,0))</f>
        <v>0</v>
      </c>
    </row>
    <row r="247" spans="1:10">
      <c r="A247">
        <v>230</v>
      </c>
      <c r="B247" t="str">
        <f>IF('10_Analysis_Ready'!$A$230="","",'10_Analysis_Ready'!$A$230)</f>
        <v/>
      </c>
      <c r="C247">
        <f>IF('10_Analysis_Ready'!$A$230="",0,IF(AND('28_Taxonomy_Coding'!$A$230='10_Analysis_Ready'!$A$230,'14_Generalization_Map'!$A$230='10_Analysis_Ready'!$A$230),0,1))</f>
        <v>0</v>
      </c>
      <c r="D247">
        <f>IF('10_Analysis_Ready'!$A$230="",0,IF(COUNTIFS('06_Full_Text_Screening'!$A:$A,'10_Analysis_Ready'!$A$230,'06_Full_Text_Screening'!$J:$J,"INCLUDE")=1,0,1))</f>
        <v>0</v>
      </c>
      <c r="E247">
        <f>IF('10_Analysis_Ready'!$A$230="",0,IF(OR(AND(((OR('10_Analysis_Ready'!$AG$230="YES",'10_Analysis_Ready'!$AH$230="YES"))*1+('10_Analysis_Ready'!$AI$230="YES")+('10_Analysis_Ready'!$AJ$230="YES")+('10_Analysis_Ready'!$AK$230="YES")+('10_Analysis_Ready'!$AL$230="YES"))=0,'10_Analysis_Ready'!$AF$230&lt;&gt;"NONE"),AND(((OR('10_Analysis_Ready'!$AG$230="YES",'10_Analysis_Ready'!$AH$230="YES"))*1+('10_Analysis_Ready'!$AI$230="YES")+('10_Analysis_Ready'!$AJ$230="YES")+('10_Analysis_Ready'!$AK$230="YES")+('10_Analysis_Ready'!$AL$230="YES"))=1,OR('10_Analysis_Ready'!$AF$230="NONE",'10_Analysis_Ready'!$AF$230="MULTIPLE")),AND(((OR('10_Analysis_Ready'!$AG$230="YES",'10_Analysis_Ready'!$AH$230="YES"))*1+('10_Analysis_Ready'!$AI$230="YES")+('10_Analysis_Ready'!$AJ$230="YES")+('10_Analysis_Ready'!$AK$230="YES")+('10_Analysis_Ready'!$AL$230="YES"))&gt;=2,'10_Analysis_Ready'!$AF$230&lt;&gt;"MULTIPLE")),1,0))</f>
        <v>0</v>
      </c>
      <c r="F247">
        <f>IF('10_Analysis_Ready'!$A$230="",0,IF(AND('10_Analysis_Ready'!$AO$230="NO",COUNTIF('10_Analysis_Ready'!$AP$230:$AU$230,"YES")&gt;0),1,0))</f>
        <v>0</v>
      </c>
      <c r="G247">
        <f>IF('10_Analysis_Ready'!$A$230="",0,IF(OR(AND('10_Analysis_Ready'!$Y$230="GAN",'10_Analysis_Ready'!$AA$230="YES"),AND('10_Analysis_Ready'!$Y$230="DIFFUSION",'10_Analysis_Ready'!$Z$230="YES"),AND('10_Analysis_Ready'!$Y$230="GAN+DIFFUSION",OR('10_Analysis_Ready'!$Z$230&lt;&gt;"YES",'10_Analysis_Ready'!$AA$230&lt;&gt;"YES"))),1,0))</f>
        <v>0</v>
      </c>
      <c r="H247">
        <f>IF('10_Analysis_Ready'!$A$230="",0,IF(OR(AND('10_Analysis_Ready'!$BJ$230="NO",OR('10_Analysis_Ready'!$BK$230="HIGH",'10_Analysis_Ready'!$BK$230="VERY HIGH")),AND(((OR('10_Analysis_Ready'!$AG$230="YES",'10_Analysis_Ready'!$AH$230="YES"))*1+('10_Analysis_Ready'!$AI$230="YES")+('10_Analysis_Ready'!$AJ$230="YES")+('10_Analysis_Ready'!$AK$230="YES")+('10_Analysis_Ready'!$AL$230="YES"))=0,'10_Analysis_Ready'!$BJ$230="YES")),1,0))</f>
        <v>0</v>
      </c>
      <c r="I247">
        <f>IF('10_Analysis_Ready'!$A$230="",0,IF(AND(((OR('10_Analysis_Ready'!$AG$230="YES",'10_Analysis_Ready'!$AH$230="YES"))*1+('10_Analysis_Ready'!$AI$230="YES")+('10_Analysis_Ready'!$AJ$230="YES")+('10_Analysis_Ready'!$AK$230="YES")+('10_Analysis_Ready'!$AL$230="YES"))=0,'10_Analysis_Ready'!$AM$230&lt;&gt;"N/A"),1,0))</f>
        <v>0</v>
      </c>
      <c r="J247">
        <f>IF('10_Analysis_Ready'!$A$230="",0,IF(('28_Taxonomy_Coding'!$G$230="NONE")&lt;&gt;(((OR('10_Analysis_Ready'!$AG$230="YES",'10_Analysis_Ready'!$AH$230="YES"))*1+('10_Analysis_Ready'!$AI$230="YES")+('10_Analysis_Ready'!$AJ$230="YES")+('10_Analysis_Ready'!$AK$230="YES")+('10_Analysis_Ready'!$AL$230="YES"))=0),1,0))</f>
        <v>0</v>
      </c>
    </row>
    <row r="248" spans="1:10">
      <c r="A248">
        <v>231</v>
      </c>
      <c r="B248" t="str">
        <f>IF('10_Analysis_Ready'!$A$231="","",'10_Analysis_Ready'!$A$231)</f>
        <v/>
      </c>
      <c r="C248">
        <f>IF('10_Analysis_Ready'!$A$231="",0,IF(AND('28_Taxonomy_Coding'!$A$231='10_Analysis_Ready'!$A$231,'14_Generalization_Map'!$A$231='10_Analysis_Ready'!$A$231),0,1))</f>
        <v>0</v>
      </c>
      <c r="D248">
        <f>IF('10_Analysis_Ready'!$A$231="",0,IF(COUNTIFS('06_Full_Text_Screening'!$A:$A,'10_Analysis_Ready'!$A$231,'06_Full_Text_Screening'!$J:$J,"INCLUDE")=1,0,1))</f>
        <v>0</v>
      </c>
      <c r="E248">
        <f>IF('10_Analysis_Ready'!$A$231="",0,IF(OR(AND(((OR('10_Analysis_Ready'!$AG$231="YES",'10_Analysis_Ready'!$AH$231="YES"))*1+('10_Analysis_Ready'!$AI$231="YES")+('10_Analysis_Ready'!$AJ$231="YES")+('10_Analysis_Ready'!$AK$231="YES")+('10_Analysis_Ready'!$AL$231="YES"))=0,'10_Analysis_Ready'!$AF$231&lt;&gt;"NONE"),AND(((OR('10_Analysis_Ready'!$AG$231="YES",'10_Analysis_Ready'!$AH$231="YES"))*1+('10_Analysis_Ready'!$AI$231="YES")+('10_Analysis_Ready'!$AJ$231="YES")+('10_Analysis_Ready'!$AK$231="YES")+('10_Analysis_Ready'!$AL$231="YES"))=1,OR('10_Analysis_Ready'!$AF$231="NONE",'10_Analysis_Ready'!$AF$231="MULTIPLE")),AND(((OR('10_Analysis_Ready'!$AG$231="YES",'10_Analysis_Ready'!$AH$231="YES"))*1+('10_Analysis_Ready'!$AI$231="YES")+('10_Analysis_Ready'!$AJ$231="YES")+('10_Analysis_Ready'!$AK$231="YES")+('10_Analysis_Ready'!$AL$231="YES"))&gt;=2,'10_Analysis_Ready'!$AF$231&lt;&gt;"MULTIPLE")),1,0))</f>
        <v>0</v>
      </c>
      <c r="F248">
        <f>IF('10_Analysis_Ready'!$A$231="",0,IF(AND('10_Analysis_Ready'!$AO$231="NO",COUNTIF('10_Analysis_Ready'!$AP$231:$AU$231,"YES")&gt;0),1,0))</f>
        <v>0</v>
      </c>
      <c r="G248">
        <f>IF('10_Analysis_Ready'!$A$231="",0,IF(OR(AND('10_Analysis_Ready'!$Y$231="GAN",'10_Analysis_Ready'!$AA$231="YES"),AND('10_Analysis_Ready'!$Y$231="DIFFUSION",'10_Analysis_Ready'!$Z$231="YES"),AND('10_Analysis_Ready'!$Y$231="GAN+DIFFUSION",OR('10_Analysis_Ready'!$Z$231&lt;&gt;"YES",'10_Analysis_Ready'!$AA$231&lt;&gt;"YES"))),1,0))</f>
        <v>0</v>
      </c>
      <c r="H248">
        <f>IF('10_Analysis_Ready'!$A$231="",0,IF(OR(AND('10_Analysis_Ready'!$BJ$231="NO",OR('10_Analysis_Ready'!$BK$231="HIGH",'10_Analysis_Ready'!$BK$231="VERY HIGH")),AND(((OR('10_Analysis_Ready'!$AG$231="YES",'10_Analysis_Ready'!$AH$231="YES"))*1+('10_Analysis_Ready'!$AI$231="YES")+('10_Analysis_Ready'!$AJ$231="YES")+('10_Analysis_Ready'!$AK$231="YES")+('10_Analysis_Ready'!$AL$231="YES"))=0,'10_Analysis_Ready'!$BJ$231="YES")),1,0))</f>
        <v>0</v>
      </c>
      <c r="I248">
        <f>IF('10_Analysis_Ready'!$A$231="",0,IF(AND(((OR('10_Analysis_Ready'!$AG$231="YES",'10_Analysis_Ready'!$AH$231="YES"))*1+('10_Analysis_Ready'!$AI$231="YES")+('10_Analysis_Ready'!$AJ$231="YES")+('10_Analysis_Ready'!$AK$231="YES")+('10_Analysis_Ready'!$AL$231="YES"))=0,'10_Analysis_Ready'!$AM$231&lt;&gt;"N/A"),1,0))</f>
        <v>0</v>
      </c>
      <c r="J248">
        <f>IF('10_Analysis_Ready'!$A$231="",0,IF(('28_Taxonomy_Coding'!$G$231="NONE")&lt;&gt;(((OR('10_Analysis_Ready'!$AG$231="YES",'10_Analysis_Ready'!$AH$231="YES"))*1+('10_Analysis_Ready'!$AI$231="YES")+('10_Analysis_Ready'!$AJ$231="YES")+('10_Analysis_Ready'!$AK$231="YES")+('10_Analysis_Ready'!$AL$231="YES"))=0),1,0))</f>
        <v>0</v>
      </c>
    </row>
    <row r="249" spans="1:10">
      <c r="A249">
        <v>232</v>
      </c>
      <c r="B249" t="str">
        <f>IF('10_Analysis_Ready'!$A$232="","",'10_Analysis_Ready'!$A$232)</f>
        <v/>
      </c>
      <c r="C249">
        <f>IF('10_Analysis_Ready'!$A$232="",0,IF(AND('28_Taxonomy_Coding'!$A$232='10_Analysis_Ready'!$A$232,'14_Generalization_Map'!$A$232='10_Analysis_Ready'!$A$232),0,1))</f>
        <v>0</v>
      </c>
      <c r="D249">
        <f>IF('10_Analysis_Ready'!$A$232="",0,IF(COUNTIFS('06_Full_Text_Screening'!$A:$A,'10_Analysis_Ready'!$A$232,'06_Full_Text_Screening'!$J:$J,"INCLUDE")=1,0,1))</f>
        <v>0</v>
      </c>
      <c r="E249">
        <f>IF('10_Analysis_Ready'!$A$232="",0,IF(OR(AND(((OR('10_Analysis_Ready'!$AG$232="YES",'10_Analysis_Ready'!$AH$232="YES"))*1+('10_Analysis_Ready'!$AI$232="YES")+('10_Analysis_Ready'!$AJ$232="YES")+('10_Analysis_Ready'!$AK$232="YES")+('10_Analysis_Ready'!$AL$232="YES"))=0,'10_Analysis_Ready'!$AF$232&lt;&gt;"NONE"),AND(((OR('10_Analysis_Ready'!$AG$232="YES",'10_Analysis_Ready'!$AH$232="YES"))*1+('10_Analysis_Ready'!$AI$232="YES")+('10_Analysis_Ready'!$AJ$232="YES")+('10_Analysis_Ready'!$AK$232="YES")+('10_Analysis_Ready'!$AL$232="YES"))=1,OR('10_Analysis_Ready'!$AF$232="NONE",'10_Analysis_Ready'!$AF$232="MULTIPLE")),AND(((OR('10_Analysis_Ready'!$AG$232="YES",'10_Analysis_Ready'!$AH$232="YES"))*1+('10_Analysis_Ready'!$AI$232="YES")+('10_Analysis_Ready'!$AJ$232="YES")+('10_Analysis_Ready'!$AK$232="YES")+('10_Analysis_Ready'!$AL$232="YES"))&gt;=2,'10_Analysis_Ready'!$AF$232&lt;&gt;"MULTIPLE")),1,0))</f>
        <v>0</v>
      </c>
      <c r="F249">
        <f>IF('10_Analysis_Ready'!$A$232="",0,IF(AND('10_Analysis_Ready'!$AO$232="NO",COUNTIF('10_Analysis_Ready'!$AP$232:$AU$232,"YES")&gt;0),1,0))</f>
        <v>0</v>
      </c>
      <c r="G249">
        <f>IF('10_Analysis_Ready'!$A$232="",0,IF(OR(AND('10_Analysis_Ready'!$Y$232="GAN",'10_Analysis_Ready'!$AA$232="YES"),AND('10_Analysis_Ready'!$Y$232="DIFFUSION",'10_Analysis_Ready'!$Z$232="YES"),AND('10_Analysis_Ready'!$Y$232="GAN+DIFFUSION",OR('10_Analysis_Ready'!$Z$232&lt;&gt;"YES",'10_Analysis_Ready'!$AA$232&lt;&gt;"YES"))),1,0))</f>
        <v>0</v>
      </c>
      <c r="H249">
        <f>IF('10_Analysis_Ready'!$A$232="",0,IF(OR(AND('10_Analysis_Ready'!$BJ$232="NO",OR('10_Analysis_Ready'!$BK$232="HIGH",'10_Analysis_Ready'!$BK$232="VERY HIGH")),AND(((OR('10_Analysis_Ready'!$AG$232="YES",'10_Analysis_Ready'!$AH$232="YES"))*1+('10_Analysis_Ready'!$AI$232="YES")+('10_Analysis_Ready'!$AJ$232="YES")+('10_Analysis_Ready'!$AK$232="YES")+('10_Analysis_Ready'!$AL$232="YES"))=0,'10_Analysis_Ready'!$BJ$232="YES")),1,0))</f>
        <v>0</v>
      </c>
      <c r="I249">
        <f>IF('10_Analysis_Ready'!$A$232="",0,IF(AND(((OR('10_Analysis_Ready'!$AG$232="YES",'10_Analysis_Ready'!$AH$232="YES"))*1+('10_Analysis_Ready'!$AI$232="YES")+('10_Analysis_Ready'!$AJ$232="YES")+('10_Analysis_Ready'!$AK$232="YES")+('10_Analysis_Ready'!$AL$232="YES"))=0,'10_Analysis_Ready'!$AM$232&lt;&gt;"N/A"),1,0))</f>
        <v>0</v>
      </c>
      <c r="J249">
        <f>IF('10_Analysis_Ready'!$A$232="",0,IF(('28_Taxonomy_Coding'!$G$232="NONE")&lt;&gt;(((OR('10_Analysis_Ready'!$AG$232="YES",'10_Analysis_Ready'!$AH$232="YES"))*1+('10_Analysis_Ready'!$AI$232="YES")+('10_Analysis_Ready'!$AJ$232="YES")+('10_Analysis_Ready'!$AK$232="YES")+('10_Analysis_Ready'!$AL$232="YES"))=0),1,0))</f>
        <v>0</v>
      </c>
    </row>
    <row r="250" spans="1:10">
      <c r="A250">
        <v>233</v>
      </c>
      <c r="B250" t="str">
        <f>IF('10_Analysis_Ready'!$A$233="","",'10_Analysis_Ready'!$A$233)</f>
        <v/>
      </c>
      <c r="C250">
        <f>IF('10_Analysis_Ready'!$A$233="",0,IF(AND('28_Taxonomy_Coding'!$A$233='10_Analysis_Ready'!$A$233,'14_Generalization_Map'!$A$233='10_Analysis_Ready'!$A$233),0,1))</f>
        <v>0</v>
      </c>
      <c r="D250">
        <f>IF('10_Analysis_Ready'!$A$233="",0,IF(COUNTIFS('06_Full_Text_Screening'!$A:$A,'10_Analysis_Ready'!$A$233,'06_Full_Text_Screening'!$J:$J,"INCLUDE")=1,0,1))</f>
        <v>0</v>
      </c>
      <c r="E250">
        <f>IF('10_Analysis_Ready'!$A$233="",0,IF(OR(AND(((OR('10_Analysis_Ready'!$AG$233="YES",'10_Analysis_Ready'!$AH$233="YES"))*1+('10_Analysis_Ready'!$AI$233="YES")+('10_Analysis_Ready'!$AJ$233="YES")+('10_Analysis_Ready'!$AK$233="YES")+('10_Analysis_Ready'!$AL$233="YES"))=0,'10_Analysis_Ready'!$AF$233&lt;&gt;"NONE"),AND(((OR('10_Analysis_Ready'!$AG$233="YES",'10_Analysis_Ready'!$AH$233="YES"))*1+('10_Analysis_Ready'!$AI$233="YES")+('10_Analysis_Ready'!$AJ$233="YES")+('10_Analysis_Ready'!$AK$233="YES")+('10_Analysis_Ready'!$AL$233="YES"))=1,OR('10_Analysis_Ready'!$AF$233="NONE",'10_Analysis_Ready'!$AF$233="MULTIPLE")),AND(((OR('10_Analysis_Ready'!$AG$233="YES",'10_Analysis_Ready'!$AH$233="YES"))*1+('10_Analysis_Ready'!$AI$233="YES")+('10_Analysis_Ready'!$AJ$233="YES")+('10_Analysis_Ready'!$AK$233="YES")+('10_Analysis_Ready'!$AL$233="YES"))&gt;=2,'10_Analysis_Ready'!$AF$233&lt;&gt;"MULTIPLE")),1,0))</f>
        <v>0</v>
      </c>
      <c r="F250">
        <f>IF('10_Analysis_Ready'!$A$233="",0,IF(AND('10_Analysis_Ready'!$AO$233="NO",COUNTIF('10_Analysis_Ready'!$AP$233:$AU$233,"YES")&gt;0),1,0))</f>
        <v>0</v>
      </c>
      <c r="G250">
        <f>IF('10_Analysis_Ready'!$A$233="",0,IF(OR(AND('10_Analysis_Ready'!$Y$233="GAN",'10_Analysis_Ready'!$AA$233="YES"),AND('10_Analysis_Ready'!$Y$233="DIFFUSION",'10_Analysis_Ready'!$Z$233="YES"),AND('10_Analysis_Ready'!$Y$233="GAN+DIFFUSION",OR('10_Analysis_Ready'!$Z$233&lt;&gt;"YES",'10_Analysis_Ready'!$AA$233&lt;&gt;"YES"))),1,0))</f>
        <v>0</v>
      </c>
      <c r="H250">
        <f>IF('10_Analysis_Ready'!$A$233="",0,IF(OR(AND('10_Analysis_Ready'!$BJ$233="NO",OR('10_Analysis_Ready'!$BK$233="HIGH",'10_Analysis_Ready'!$BK$233="VERY HIGH")),AND(((OR('10_Analysis_Ready'!$AG$233="YES",'10_Analysis_Ready'!$AH$233="YES"))*1+('10_Analysis_Ready'!$AI$233="YES")+('10_Analysis_Ready'!$AJ$233="YES")+('10_Analysis_Ready'!$AK$233="YES")+('10_Analysis_Ready'!$AL$233="YES"))=0,'10_Analysis_Ready'!$BJ$233="YES")),1,0))</f>
        <v>0</v>
      </c>
      <c r="I250">
        <f>IF('10_Analysis_Ready'!$A$233="",0,IF(AND(((OR('10_Analysis_Ready'!$AG$233="YES",'10_Analysis_Ready'!$AH$233="YES"))*1+('10_Analysis_Ready'!$AI$233="YES")+('10_Analysis_Ready'!$AJ$233="YES")+('10_Analysis_Ready'!$AK$233="YES")+('10_Analysis_Ready'!$AL$233="YES"))=0,'10_Analysis_Ready'!$AM$233&lt;&gt;"N/A"),1,0))</f>
        <v>0</v>
      </c>
      <c r="J250">
        <f>IF('10_Analysis_Ready'!$A$233="",0,IF(('28_Taxonomy_Coding'!$G$233="NONE")&lt;&gt;(((OR('10_Analysis_Ready'!$AG$233="YES",'10_Analysis_Ready'!$AH$233="YES"))*1+('10_Analysis_Ready'!$AI$233="YES")+('10_Analysis_Ready'!$AJ$233="YES")+('10_Analysis_Ready'!$AK$233="YES")+('10_Analysis_Ready'!$AL$233="YES"))=0),1,0))</f>
        <v>0</v>
      </c>
    </row>
    <row r="251" spans="1:10">
      <c r="A251">
        <v>234</v>
      </c>
      <c r="B251" t="str">
        <f>IF('10_Analysis_Ready'!$A$234="","",'10_Analysis_Ready'!$A$234)</f>
        <v/>
      </c>
      <c r="C251">
        <f>IF('10_Analysis_Ready'!$A$234="",0,IF(AND('28_Taxonomy_Coding'!$A$234='10_Analysis_Ready'!$A$234,'14_Generalization_Map'!$A$234='10_Analysis_Ready'!$A$234),0,1))</f>
        <v>0</v>
      </c>
      <c r="D251">
        <f>IF('10_Analysis_Ready'!$A$234="",0,IF(COUNTIFS('06_Full_Text_Screening'!$A:$A,'10_Analysis_Ready'!$A$234,'06_Full_Text_Screening'!$J:$J,"INCLUDE")=1,0,1))</f>
        <v>0</v>
      </c>
      <c r="E251">
        <f>IF('10_Analysis_Ready'!$A$234="",0,IF(OR(AND(((OR('10_Analysis_Ready'!$AG$234="YES",'10_Analysis_Ready'!$AH$234="YES"))*1+('10_Analysis_Ready'!$AI$234="YES")+('10_Analysis_Ready'!$AJ$234="YES")+('10_Analysis_Ready'!$AK$234="YES")+('10_Analysis_Ready'!$AL$234="YES"))=0,'10_Analysis_Ready'!$AF$234&lt;&gt;"NONE"),AND(((OR('10_Analysis_Ready'!$AG$234="YES",'10_Analysis_Ready'!$AH$234="YES"))*1+('10_Analysis_Ready'!$AI$234="YES")+('10_Analysis_Ready'!$AJ$234="YES")+('10_Analysis_Ready'!$AK$234="YES")+('10_Analysis_Ready'!$AL$234="YES"))=1,OR('10_Analysis_Ready'!$AF$234="NONE",'10_Analysis_Ready'!$AF$234="MULTIPLE")),AND(((OR('10_Analysis_Ready'!$AG$234="YES",'10_Analysis_Ready'!$AH$234="YES"))*1+('10_Analysis_Ready'!$AI$234="YES")+('10_Analysis_Ready'!$AJ$234="YES")+('10_Analysis_Ready'!$AK$234="YES")+('10_Analysis_Ready'!$AL$234="YES"))&gt;=2,'10_Analysis_Ready'!$AF$234&lt;&gt;"MULTIPLE")),1,0))</f>
        <v>0</v>
      </c>
      <c r="F251">
        <f>IF('10_Analysis_Ready'!$A$234="",0,IF(AND('10_Analysis_Ready'!$AO$234="NO",COUNTIF('10_Analysis_Ready'!$AP$234:$AU$234,"YES")&gt;0),1,0))</f>
        <v>0</v>
      </c>
      <c r="G251">
        <f>IF('10_Analysis_Ready'!$A$234="",0,IF(OR(AND('10_Analysis_Ready'!$Y$234="GAN",'10_Analysis_Ready'!$AA$234="YES"),AND('10_Analysis_Ready'!$Y$234="DIFFUSION",'10_Analysis_Ready'!$Z$234="YES"),AND('10_Analysis_Ready'!$Y$234="GAN+DIFFUSION",OR('10_Analysis_Ready'!$Z$234&lt;&gt;"YES",'10_Analysis_Ready'!$AA$234&lt;&gt;"YES"))),1,0))</f>
        <v>0</v>
      </c>
      <c r="H251">
        <f>IF('10_Analysis_Ready'!$A$234="",0,IF(OR(AND('10_Analysis_Ready'!$BJ$234="NO",OR('10_Analysis_Ready'!$BK$234="HIGH",'10_Analysis_Ready'!$BK$234="VERY HIGH")),AND(((OR('10_Analysis_Ready'!$AG$234="YES",'10_Analysis_Ready'!$AH$234="YES"))*1+('10_Analysis_Ready'!$AI$234="YES")+('10_Analysis_Ready'!$AJ$234="YES")+('10_Analysis_Ready'!$AK$234="YES")+('10_Analysis_Ready'!$AL$234="YES"))=0,'10_Analysis_Ready'!$BJ$234="YES")),1,0))</f>
        <v>0</v>
      </c>
      <c r="I251">
        <f>IF('10_Analysis_Ready'!$A$234="",0,IF(AND(((OR('10_Analysis_Ready'!$AG$234="YES",'10_Analysis_Ready'!$AH$234="YES"))*1+('10_Analysis_Ready'!$AI$234="YES")+('10_Analysis_Ready'!$AJ$234="YES")+('10_Analysis_Ready'!$AK$234="YES")+('10_Analysis_Ready'!$AL$234="YES"))=0,'10_Analysis_Ready'!$AM$234&lt;&gt;"N/A"),1,0))</f>
        <v>0</v>
      </c>
      <c r="J251">
        <f>IF('10_Analysis_Ready'!$A$234="",0,IF(('28_Taxonomy_Coding'!$G$234="NONE")&lt;&gt;(((OR('10_Analysis_Ready'!$AG$234="YES",'10_Analysis_Ready'!$AH$234="YES"))*1+('10_Analysis_Ready'!$AI$234="YES")+('10_Analysis_Ready'!$AJ$234="YES")+('10_Analysis_Ready'!$AK$234="YES")+('10_Analysis_Ready'!$AL$234="YES"))=0),1,0))</f>
        <v>0</v>
      </c>
    </row>
    <row r="252" spans="1:10">
      <c r="A252">
        <v>235</v>
      </c>
      <c r="B252" t="str">
        <f>IF('10_Analysis_Ready'!$A$235="","",'10_Analysis_Ready'!$A$235)</f>
        <v/>
      </c>
      <c r="C252">
        <f>IF('10_Analysis_Ready'!$A$235="",0,IF(AND('28_Taxonomy_Coding'!$A$235='10_Analysis_Ready'!$A$235,'14_Generalization_Map'!$A$235='10_Analysis_Ready'!$A$235),0,1))</f>
        <v>0</v>
      </c>
      <c r="D252">
        <f>IF('10_Analysis_Ready'!$A$235="",0,IF(COUNTIFS('06_Full_Text_Screening'!$A:$A,'10_Analysis_Ready'!$A$235,'06_Full_Text_Screening'!$J:$J,"INCLUDE")=1,0,1))</f>
        <v>0</v>
      </c>
      <c r="E252">
        <f>IF('10_Analysis_Ready'!$A$235="",0,IF(OR(AND(((OR('10_Analysis_Ready'!$AG$235="YES",'10_Analysis_Ready'!$AH$235="YES"))*1+('10_Analysis_Ready'!$AI$235="YES")+('10_Analysis_Ready'!$AJ$235="YES")+('10_Analysis_Ready'!$AK$235="YES")+('10_Analysis_Ready'!$AL$235="YES"))=0,'10_Analysis_Ready'!$AF$235&lt;&gt;"NONE"),AND(((OR('10_Analysis_Ready'!$AG$235="YES",'10_Analysis_Ready'!$AH$235="YES"))*1+('10_Analysis_Ready'!$AI$235="YES")+('10_Analysis_Ready'!$AJ$235="YES")+('10_Analysis_Ready'!$AK$235="YES")+('10_Analysis_Ready'!$AL$235="YES"))=1,OR('10_Analysis_Ready'!$AF$235="NONE",'10_Analysis_Ready'!$AF$235="MULTIPLE")),AND(((OR('10_Analysis_Ready'!$AG$235="YES",'10_Analysis_Ready'!$AH$235="YES"))*1+('10_Analysis_Ready'!$AI$235="YES")+('10_Analysis_Ready'!$AJ$235="YES")+('10_Analysis_Ready'!$AK$235="YES")+('10_Analysis_Ready'!$AL$235="YES"))&gt;=2,'10_Analysis_Ready'!$AF$235&lt;&gt;"MULTIPLE")),1,0))</f>
        <v>0</v>
      </c>
      <c r="F252">
        <f>IF('10_Analysis_Ready'!$A$235="",0,IF(AND('10_Analysis_Ready'!$AO$235="NO",COUNTIF('10_Analysis_Ready'!$AP$235:$AU$235,"YES")&gt;0),1,0))</f>
        <v>0</v>
      </c>
      <c r="G252">
        <f>IF('10_Analysis_Ready'!$A$235="",0,IF(OR(AND('10_Analysis_Ready'!$Y$235="GAN",'10_Analysis_Ready'!$AA$235="YES"),AND('10_Analysis_Ready'!$Y$235="DIFFUSION",'10_Analysis_Ready'!$Z$235="YES"),AND('10_Analysis_Ready'!$Y$235="GAN+DIFFUSION",OR('10_Analysis_Ready'!$Z$235&lt;&gt;"YES",'10_Analysis_Ready'!$AA$235&lt;&gt;"YES"))),1,0))</f>
        <v>0</v>
      </c>
      <c r="H252">
        <f>IF('10_Analysis_Ready'!$A$235="",0,IF(OR(AND('10_Analysis_Ready'!$BJ$235="NO",OR('10_Analysis_Ready'!$BK$235="HIGH",'10_Analysis_Ready'!$BK$235="VERY HIGH")),AND(((OR('10_Analysis_Ready'!$AG$235="YES",'10_Analysis_Ready'!$AH$235="YES"))*1+('10_Analysis_Ready'!$AI$235="YES")+('10_Analysis_Ready'!$AJ$235="YES")+('10_Analysis_Ready'!$AK$235="YES")+('10_Analysis_Ready'!$AL$235="YES"))=0,'10_Analysis_Ready'!$BJ$235="YES")),1,0))</f>
        <v>0</v>
      </c>
      <c r="I252">
        <f>IF('10_Analysis_Ready'!$A$235="",0,IF(AND(((OR('10_Analysis_Ready'!$AG$235="YES",'10_Analysis_Ready'!$AH$235="YES"))*1+('10_Analysis_Ready'!$AI$235="YES")+('10_Analysis_Ready'!$AJ$235="YES")+('10_Analysis_Ready'!$AK$235="YES")+('10_Analysis_Ready'!$AL$235="YES"))=0,'10_Analysis_Ready'!$AM$235&lt;&gt;"N/A"),1,0))</f>
        <v>0</v>
      </c>
      <c r="J252">
        <f>IF('10_Analysis_Ready'!$A$235="",0,IF(('28_Taxonomy_Coding'!$G$235="NONE")&lt;&gt;(((OR('10_Analysis_Ready'!$AG$235="YES",'10_Analysis_Ready'!$AH$235="YES"))*1+('10_Analysis_Ready'!$AI$235="YES")+('10_Analysis_Ready'!$AJ$235="YES")+('10_Analysis_Ready'!$AK$235="YES")+('10_Analysis_Ready'!$AL$235="YES"))=0),1,0))</f>
        <v>0</v>
      </c>
    </row>
    <row r="253" spans="1:10">
      <c r="A253">
        <v>236</v>
      </c>
      <c r="B253" t="str">
        <f>IF('10_Analysis_Ready'!$A$236="","",'10_Analysis_Ready'!$A$236)</f>
        <v/>
      </c>
      <c r="C253">
        <f>IF('10_Analysis_Ready'!$A$236="",0,IF(AND('28_Taxonomy_Coding'!$A$236='10_Analysis_Ready'!$A$236,'14_Generalization_Map'!$A$236='10_Analysis_Ready'!$A$236),0,1))</f>
        <v>0</v>
      </c>
      <c r="D253">
        <f>IF('10_Analysis_Ready'!$A$236="",0,IF(COUNTIFS('06_Full_Text_Screening'!$A:$A,'10_Analysis_Ready'!$A$236,'06_Full_Text_Screening'!$J:$J,"INCLUDE")=1,0,1))</f>
        <v>0</v>
      </c>
      <c r="E253">
        <f>IF('10_Analysis_Ready'!$A$236="",0,IF(OR(AND(((OR('10_Analysis_Ready'!$AG$236="YES",'10_Analysis_Ready'!$AH$236="YES"))*1+('10_Analysis_Ready'!$AI$236="YES")+('10_Analysis_Ready'!$AJ$236="YES")+('10_Analysis_Ready'!$AK$236="YES")+('10_Analysis_Ready'!$AL$236="YES"))=0,'10_Analysis_Ready'!$AF$236&lt;&gt;"NONE"),AND(((OR('10_Analysis_Ready'!$AG$236="YES",'10_Analysis_Ready'!$AH$236="YES"))*1+('10_Analysis_Ready'!$AI$236="YES")+('10_Analysis_Ready'!$AJ$236="YES")+('10_Analysis_Ready'!$AK$236="YES")+('10_Analysis_Ready'!$AL$236="YES"))=1,OR('10_Analysis_Ready'!$AF$236="NONE",'10_Analysis_Ready'!$AF$236="MULTIPLE")),AND(((OR('10_Analysis_Ready'!$AG$236="YES",'10_Analysis_Ready'!$AH$236="YES"))*1+('10_Analysis_Ready'!$AI$236="YES")+('10_Analysis_Ready'!$AJ$236="YES")+('10_Analysis_Ready'!$AK$236="YES")+('10_Analysis_Ready'!$AL$236="YES"))&gt;=2,'10_Analysis_Ready'!$AF$236&lt;&gt;"MULTIPLE")),1,0))</f>
        <v>0</v>
      </c>
      <c r="F253">
        <f>IF('10_Analysis_Ready'!$A$236="",0,IF(AND('10_Analysis_Ready'!$AO$236="NO",COUNTIF('10_Analysis_Ready'!$AP$236:$AU$236,"YES")&gt;0),1,0))</f>
        <v>0</v>
      </c>
      <c r="G253">
        <f>IF('10_Analysis_Ready'!$A$236="",0,IF(OR(AND('10_Analysis_Ready'!$Y$236="GAN",'10_Analysis_Ready'!$AA$236="YES"),AND('10_Analysis_Ready'!$Y$236="DIFFUSION",'10_Analysis_Ready'!$Z$236="YES"),AND('10_Analysis_Ready'!$Y$236="GAN+DIFFUSION",OR('10_Analysis_Ready'!$Z$236&lt;&gt;"YES",'10_Analysis_Ready'!$AA$236&lt;&gt;"YES"))),1,0))</f>
        <v>0</v>
      </c>
      <c r="H253">
        <f>IF('10_Analysis_Ready'!$A$236="",0,IF(OR(AND('10_Analysis_Ready'!$BJ$236="NO",OR('10_Analysis_Ready'!$BK$236="HIGH",'10_Analysis_Ready'!$BK$236="VERY HIGH")),AND(((OR('10_Analysis_Ready'!$AG$236="YES",'10_Analysis_Ready'!$AH$236="YES"))*1+('10_Analysis_Ready'!$AI$236="YES")+('10_Analysis_Ready'!$AJ$236="YES")+('10_Analysis_Ready'!$AK$236="YES")+('10_Analysis_Ready'!$AL$236="YES"))=0,'10_Analysis_Ready'!$BJ$236="YES")),1,0))</f>
        <v>0</v>
      </c>
      <c r="I253">
        <f>IF('10_Analysis_Ready'!$A$236="",0,IF(AND(((OR('10_Analysis_Ready'!$AG$236="YES",'10_Analysis_Ready'!$AH$236="YES"))*1+('10_Analysis_Ready'!$AI$236="YES")+('10_Analysis_Ready'!$AJ$236="YES")+('10_Analysis_Ready'!$AK$236="YES")+('10_Analysis_Ready'!$AL$236="YES"))=0,'10_Analysis_Ready'!$AM$236&lt;&gt;"N/A"),1,0))</f>
        <v>0</v>
      </c>
      <c r="J253">
        <f>IF('10_Analysis_Ready'!$A$236="",0,IF(('28_Taxonomy_Coding'!$G$236="NONE")&lt;&gt;(((OR('10_Analysis_Ready'!$AG$236="YES",'10_Analysis_Ready'!$AH$236="YES"))*1+('10_Analysis_Ready'!$AI$236="YES")+('10_Analysis_Ready'!$AJ$236="YES")+('10_Analysis_Ready'!$AK$236="YES")+('10_Analysis_Ready'!$AL$236="YES"))=0),1,0))</f>
        <v>0</v>
      </c>
    </row>
    <row r="254" spans="1:10">
      <c r="A254">
        <v>237</v>
      </c>
      <c r="B254" t="str">
        <f>IF('10_Analysis_Ready'!$A$237="","",'10_Analysis_Ready'!$A$237)</f>
        <v/>
      </c>
      <c r="C254">
        <f>IF('10_Analysis_Ready'!$A$237="",0,IF(AND('28_Taxonomy_Coding'!$A$237='10_Analysis_Ready'!$A$237,'14_Generalization_Map'!$A$237='10_Analysis_Ready'!$A$237),0,1))</f>
        <v>0</v>
      </c>
      <c r="D254">
        <f>IF('10_Analysis_Ready'!$A$237="",0,IF(COUNTIFS('06_Full_Text_Screening'!$A:$A,'10_Analysis_Ready'!$A$237,'06_Full_Text_Screening'!$J:$J,"INCLUDE")=1,0,1))</f>
        <v>0</v>
      </c>
      <c r="E254">
        <f>IF('10_Analysis_Ready'!$A$237="",0,IF(OR(AND(((OR('10_Analysis_Ready'!$AG$237="YES",'10_Analysis_Ready'!$AH$237="YES"))*1+('10_Analysis_Ready'!$AI$237="YES")+('10_Analysis_Ready'!$AJ$237="YES")+('10_Analysis_Ready'!$AK$237="YES")+('10_Analysis_Ready'!$AL$237="YES"))=0,'10_Analysis_Ready'!$AF$237&lt;&gt;"NONE"),AND(((OR('10_Analysis_Ready'!$AG$237="YES",'10_Analysis_Ready'!$AH$237="YES"))*1+('10_Analysis_Ready'!$AI$237="YES")+('10_Analysis_Ready'!$AJ$237="YES")+('10_Analysis_Ready'!$AK$237="YES")+('10_Analysis_Ready'!$AL$237="YES"))=1,OR('10_Analysis_Ready'!$AF$237="NONE",'10_Analysis_Ready'!$AF$237="MULTIPLE")),AND(((OR('10_Analysis_Ready'!$AG$237="YES",'10_Analysis_Ready'!$AH$237="YES"))*1+('10_Analysis_Ready'!$AI$237="YES")+('10_Analysis_Ready'!$AJ$237="YES")+('10_Analysis_Ready'!$AK$237="YES")+('10_Analysis_Ready'!$AL$237="YES"))&gt;=2,'10_Analysis_Ready'!$AF$237&lt;&gt;"MULTIPLE")),1,0))</f>
        <v>0</v>
      </c>
      <c r="F254">
        <f>IF('10_Analysis_Ready'!$A$237="",0,IF(AND('10_Analysis_Ready'!$AO$237="NO",COUNTIF('10_Analysis_Ready'!$AP$237:$AU$237,"YES")&gt;0),1,0))</f>
        <v>0</v>
      </c>
      <c r="G254">
        <f>IF('10_Analysis_Ready'!$A$237="",0,IF(OR(AND('10_Analysis_Ready'!$Y$237="GAN",'10_Analysis_Ready'!$AA$237="YES"),AND('10_Analysis_Ready'!$Y$237="DIFFUSION",'10_Analysis_Ready'!$Z$237="YES"),AND('10_Analysis_Ready'!$Y$237="GAN+DIFFUSION",OR('10_Analysis_Ready'!$Z$237&lt;&gt;"YES",'10_Analysis_Ready'!$AA$237&lt;&gt;"YES"))),1,0))</f>
        <v>0</v>
      </c>
      <c r="H254">
        <f>IF('10_Analysis_Ready'!$A$237="",0,IF(OR(AND('10_Analysis_Ready'!$BJ$237="NO",OR('10_Analysis_Ready'!$BK$237="HIGH",'10_Analysis_Ready'!$BK$237="VERY HIGH")),AND(((OR('10_Analysis_Ready'!$AG$237="YES",'10_Analysis_Ready'!$AH$237="YES"))*1+('10_Analysis_Ready'!$AI$237="YES")+('10_Analysis_Ready'!$AJ$237="YES")+('10_Analysis_Ready'!$AK$237="YES")+('10_Analysis_Ready'!$AL$237="YES"))=0,'10_Analysis_Ready'!$BJ$237="YES")),1,0))</f>
        <v>0</v>
      </c>
      <c r="I254">
        <f>IF('10_Analysis_Ready'!$A$237="",0,IF(AND(((OR('10_Analysis_Ready'!$AG$237="YES",'10_Analysis_Ready'!$AH$237="YES"))*1+('10_Analysis_Ready'!$AI$237="YES")+('10_Analysis_Ready'!$AJ$237="YES")+('10_Analysis_Ready'!$AK$237="YES")+('10_Analysis_Ready'!$AL$237="YES"))=0,'10_Analysis_Ready'!$AM$237&lt;&gt;"N/A"),1,0))</f>
        <v>0</v>
      </c>
      <c r="J254">
        <f>IF('10_Analysis_Ready'!$A$237="",0,IF(('28_Taxonomy_Coding'!$G$237="NONE")&lt;&gt;(((OR('10_Analysis_Ready'!$AG$237="YES",'10_Analysis_Ready'!$AH$237="YES"))*1+('10_Analysis_Ready'!$AI$237="YES")+('10_Analysis_Ready'!$AJ$237="YES")+('10_Analysis_Ready'!$AK$237="YES")+('10_Analysis_Ready'!$AL$237="YES"))=0),1,0))</f>
        <v>0</v>
      </c>
    </row>
    <row r="255" spans="1:10">
      <c r="A255">
        <v>238</v>
      </c>
      <c r="B255" t="str">
        <f>IF('10_Analysis_Ready'!$A$238="","",'10_Analysis_Ready'!$A$238)</f>
        <v/>
      </c>
      <c r="C255">
        <f>IF('10_Analysis_Ready'!$A$238="",0,IF(AND('28_Taxonomy_Coding'!$A$238='10_Analysis_Ready'!$A$238,'14_Generalization_Map'!$A$238='10_Analysis_Ready'!$A$238),0,1))</f>
        <v>0</v>
      </c>
      <c r="D255">
        <f>IF('10_Analysis_Ready'!$A$238="",0,IF(COUNTIFS('06_Full_Text_Screening'!$A:$A,'10_Analysis_Ready'!$A$238,'06_Full_Text_Screening'!$J:$J,"INCLUDE")=1,0,1))</f>
        <v>0</v>
      </c>
      <c r="E255">
        <f>IF('10_Analysis_Ready'!$A$238="",0,IF(OR(AND(((OR('10_Analysis_Ready'!$AG$238="YES",'10_Analysis_Ready'!$AH$238="YES"))*1+('10_Analysis_Ready'!$AI$238="YES")+('10_Analysis_Ready'!$AJ$238="YES")+('10_Analysis_Ready'!$AK$238="YES")+('10_Analysis_Ready'!$AL$238="YES"))=0,'10_Analysis_Ready'!$AF$238&lt;&gt;"NONE"),AND(((OR('10_Analysis_Ready'!$AG$238="YES",'10_Analysis_Ready'!$AH$238="YES"))*1+('10_Analysis_Ready'!$AI$238="YES")+('10_Analysis_Ready'!$AJ$238="YES")+('10_Analysis_Ready'!$AK$238="YES")+('10_Analysis_Ready'!$AL$238="YES"))=1,OR('10_Analysis_Ready'!$AF$238="NONE",'10_Analysis_Ready'!$AF$238="MULTIPLE")),AND(((OR('10_Analysis_Ready'!$AG$238="YES",'10_Analysis_Ready'!$AH$238="YES"))*1+('10_Analysis_Ready'!$AI$238="YES")+('10_Analysis_Ready'!$AJ$238="YES")+('10_Analysis_Ready'!$AK$238="YES")+('10_Analysis_Ready'!$AL$238="YES"))&gt;=2,'10_Analysis_Ready'!$AF$238&lt;&gt;"MULTIPLE")),1,0))</f>
        <v>0</v>
      </c>
      <c r="F255">
        <f>IF('10_Analysis_Ready'!$A$238="",0,IF(AND('10_Analysis_Ready'!$AO$238="NO",COUNTIF('10_Analysis_Ready'!$AP$238:$AU$238,"YES")&gt;0),1,0))</f>
        <v>0</v>
      </c>
      <c r="G255">
        <f>IF('10_Analysis_Ready'!$A$238="",0,IF(OR(AND('10_Analysis_Ready'!$Y$238="GAN",'10_Analysis_Ready'!$AA$238="YES"),AND('10_Analysis_Ready'!$Y$238="DIFFUSION",'10_Analysis_Ready'!$Z$238="YES"),AND('10_Analysis_Ready'!$Y$238="GAN+DIFFUSION",OR('10_Analysis_Ready'!$Z$238&lt;&gt;"YES",'10_Analysis_Ready'!$AA$238&lt;&gt;"YES"))),1,0))</f>
        <v>0</v>
      </c>
      <c r="H255">
        <f>IF('10_Analysis_Ready'!$A$238="",0,IF(OR(AND('10_Analysis_Ready'!$BJ$238="NO",OR('10_Analysis_Ready'!$BK$238="HIGH",'10_Analysis_Ready'!$BK$238="VERY HIGH")),AND(((OR('10_Analysis_Ready'!$AG$238="YES",'10_Analysis_Ready'!$AH$238="YES"))*1+('10_Analysis_Ready'!$AI$238="YES")+('10_Analysis_Ready'!$AJ$238="YES")+('10_Analysis_Ready'!$AK$238="YES")+('10_Analysis_Ready'!$AL$238="YES"))=0,'10_Analysis_Ready'!$BJ$238="YES")),1,0))</f>
        <v>0</v>
      </c>
      <c r="I255">
        <f>IF('10_Analysis_Ready'!$A$238="",0,IF(AND(((OR('10_Analysis_Ready'!$AG$238="YES",'10_Analysis_Ready'!$AH$238="YES"))*1+('10_Analysis_Ready'!$AI$238="YES")+('10_Analysis_Ready'!$AJ$238="YES")+('10_Analysis_Ready'!$AK$238="YES")+('10_Analysis_Ready'!$AL$238="YES"))=0,'10_Analysis_Ready'!$AM$238&lt;&gt;"N/A"),1,0))</f>
        <v>0</v>
      </c>
      <c r="J255">
        <f>IF('10_Analysis_Ready'!$A$238="",0,IF(('28_Taxonomy_Coding'!$G$238="NONE")&lt;&gt;(((OR('10_Analysis_Ready'!$AG$238="YES",'10_Analysis_Ready'!$AH$238="YES"))*1+('10_Analysis_Ready'!$AI$238="YES")+('10_Analysis_Ready'!$AJ$238="YES")+('10_Analysis_Ready'!$AK$238="YES")+('10_Analysis_Ready'!$AL$238="YES"))=0),1,0))</f>
        <v>0</v>
      </c>
    </row>
    <row r="256" spans="1:10">
      <c r="A256">
        <v>239</v>
      </c>
      <c r="B256" t="str">
        <f>IF('10_Analysis_Ready'!$A$239="","",'10_Analysis_Ready'!$A$239)</f>
        <v/>
      </c>
      <c r="C256">
        <f>IF('10_Analysis_Ready'!$A$239="",0,IF(AND('28_Taxonomy_Coding'!$A$239='10_Analysis_Ready'!$A$239,'14_Generalization_Map'!$A$239='10_Analysis_Ready'!$A$239),0,1))</f>
        <v>0</v>
      </c>
      <c r="D256">
        <f>IF('10_Analysis_Ready'!$A$239="",0,IF(COUNTIFS('06_Full_Text_Screening'!$A:$A,'10_Analysis_Ready'!$A$239,'06_Full_Text_Screening'!$J:$J,"INCLUDE")=1,0,1))</f>
        <v>0</v>
      </c>
      <c r="E256">
        <f>IF('10_Analysis_Ready'!$A$239="",0,IF(OR(AND(((OR('10_Analysis_Ready'!$AG$239="YES",'10_Analysis_Ready'!$AH$239="YES"))*1+('10_Analysis_Ready'!$AI$239="YES")+('10_Analysis_Ready'!$AJ$239="YES")+('10_Analysis_Ready'!$AK$239="YES")+('10_Analysis_Ready'!$AL$239="YES"))=0,'10_Analysis_Ready'!$AF$239&lt;&gt;"NONE"),AND(((OR('10_Analysis_Ready'!$AG$239="YES",'10_Analysis_Ready'!$AH$239="YES"))*1+('10_Analysis_Ready'!$AI$239="YES")+('10_Analysis_Ready'!$AJ$239="YES")+('10_Analysis_Ready'!$AK$239="YES")+('10_Analysis_Ready'!$AL$239="YES"))=1,OR('10_Analysis_Ready'!$AF$239="NONE",'10_Analysis_Ready'!$AF$239="MULTIPLE")),AND(((OR('10_Analysis_Ready'!$AG$239="YES",'10_Analysis_Ready'!$AH$239="YES"))*1+('10_Analysis_Ready'!$AI$239="YES")+('10_Analysis_Ready'!$AJ$239="YES")+('10_Analysis_Ready'!$AK$239="YES")+('10_Analysis_Ready'!$AL$239="YES"))&gt;=2,'10_Analysis_Ready'!$AF$239&lt;&gt;"MULTIPLE")),1,0))</f>
        <v>0</v>
      </c>
      <c r="F256">
        <f>IF('10_Analysis_Ready'!$A$239="",0,IF(AND('10_Analysis_Ready'!$AO$239="NO",COUNTIF('10_Analysis_Ready'!$AP$239:$AU$239,"YES")&gt;0),1,0))</f>
        <v>0</v>
      </c>
      <c r="G256">
        <f>IF('10_Analysis_Ready'!$A$239="",0,IF(OR(AND('10_Analysis_Ready'!$Y$239="GAN",'10_Analysis_Ready'!$AA$239="YES"),AND('10_Analysis_Ready'!$Y$239="DIFFUSION",'10_Analysis_Ready'!$Z$239="YES"),AND('10_Analysis_Ready'!$Y$239="GAN+DIFFUSION",OR('10_Analysis_Ready'!$Z$239&lt;&gt;"YES",'10_Analysis_Ready'!$AA$239&lt;&gt;"YES"))),1,0))</f>
        <v>0</v>
      </c>
      <c r="H256">
        <f>IF('10_Analysis_Ready'!$A$239="",0,IF(OR(AND('10_Analysis_Ready'!$BJ$239="NO",OR('10_Analysis_Ready'!$BK$239="HIGH",'10_Analysis_Ready'!$BK$239="VERY HIGH")),AND(((OR('10_Analysis_Ready'!$AG$239="YES",'10_Analysis_Ready'!$AH$239="YES"))*1+('10_Analysis_Ready'!$AI$239="YES")+('10_Analysis_Ready'!$AJ$239="YES")+('10_Analysis_Ready'!$AK$239="YES")+('10_Analysis_Ready'!$AL$239="YES"))=0,'10_Analysis_Ready'!$BJ$239="YES")),1,0))</f>
        <v>0</v>
      </c>
      <c r="I256">
        <f>IF('10_Analysis_Ready'!$A$239="",0,IF(AND(((OR('10_Analysis_Ready'!$AG$239="YES",'10_Analysis_Ready'!$AH$239="YES"))*1+('10_Analysis_Ready'!$AI$239="YES")+('10_Analysis_Ready'!$AJ$239="YES")+('10_Analysis_Ready'!$AK$239="YES")+('10_Analysis_Ready'!$AL$239="YES"))=0,'10_Analysis_Ready'!$AM$239&lt;&gt;"N/A"),1,0))</f>
        <v>0</v>
      </c>
      <c r="J256">
        <f>IF('10_Analysis_Ready'!$A$239="",0,IF(('28_Taxonomy_Coding'!$G$239="NONE")&lt;&gt;(((OR('10_Analysis_Ready'!$AG$239="YES",'10_Analysis_Ready'!$AH$239="YES"))*1+('10_Analysis_Ready'!$AI$239="YES")+('10_Analysis_Ready'!$AJ$239="YES")+('10_Analysis_Ready'!$AK$239="YES")+('10_Analysis_Ready'!$AL$239="YES"))=0),1,0))</f>
        <v>0</v>
      </c>
    </row>
    <row r="257" spans="1:10">
      <c r="A257">
        <v>240</v>
      </c>
      <c r="B257" t="str">
        <f>IF('10_Analysis_Ready'!$A$240="","",'10_Analysis_Ready'!$A$240)</f>
        <v/>
      </c>
      <c r="C257">
        <f>IF('10_Analysis_Ready'!$A$240="",0,IF(AND('28_Taxonomy_Coding'!$A$240='10_Analysis_Ready'!$A$240,'14_Generalization_Map'!$A$240='10_Analysis_Ready'!$A$240),0,1))</f>
        <v>0</v>
      </c>
      <c r="D257">
        <f>IF('10_Analysis_Ready'!$A$240="",0,IF(COUNTIFS('06_Full_Text_Screening'!$A:$A,'10_Analysis_Ready'!$A$240,'06_Full_Text_Screening'!$J:$J,"INCLUDE")=1,0,1))</f>
        <v>0</v>
      </c>
      <c r="E257">
        <f>IF('10_Analysis_Ready'!$A$240="",0,IF(OR(AND(((OR('10_Analysis_Ready'!$AG$240="YES",'10_Analysis_Ready'!$AH$240="YES"))*1+('10_Analysis_Ready'!$AI$240="YES")+('10_Analysis_Ready'!$AJ$240="YES")+('10_Analysis_Ready'!$AK$240="YES")+('10_Analysis_Ready'!$AL$240="YES"))=0,'10_Analysis_Ready'!$AF$240&lt;&gt;"NONE"),AND(((OR('10_Analysis_Ready'!$AG$240="YES",'10_Analysis_Ready'!$AH$240="YES"))*1+('10_Analysis_Ready'!$AI$240="YES")+('10_Analysis_Ready'!$AJ$240="YES")+('10_Analysis_Ready'!$AK$240="YES")+('10_Analysis_Ready'!$AL$240="YES"))=1,OR('10_Analysis_Ready'!$AF$240="NONE",'10_Analysis_Ready'!$AF$240="MULTIPLE")),AND(((OR('10_Analysis_Ready'!$AG$240="YES",'10_Analysis_Ready'!$AH$240="YES"))*1+('10_Analysis_Ready'!$AI$240="YES")+('10_Analysis_Ready'!$AJ$240="YES")+('10_Analysis_Ready'!$AK$240="YES")+('10_Analysis_Ready'!$AL$240="YES"))&gt;=2,'10_Analysis_Ready'!$AF$240&lt;&gt;"MULTIPLE")),1,0))</f>
        <v>0</v>
      </c>
      <c r="F257">
        <f>IF('10_Analysis_Ready'!$A$240="",0,IF(AND('10_Analysis_Ready'!$AO$240="NO",COUNTIF('10_Analysis_Ready'!$AP$240:$AU$240,"YES")&gt;0),1,0))</f>
        <v>0</v>
      </c>
      <c r="G257">
        <f>IF('10_Analysis_Ready'!$A$240="",0,IF(OR(AND('10_Analysis_Ready'!$Y$240="GAN",'10_Analysis_Ready'!$AA$240="YES"),AND('10_Analysis_Ready'!$Y$240="DIFFUSION",'10_Analysis_Ready'!$Z$240="YES"),AND('10_Analysis_Ready'!$Y$240="GAN+DIFFUSION",OR('10_Analysis_Ready'!$Z$240&lt;&gt;"YES",'10_Analysis_Ready'!$AA$240&lt;&gt;"YES"))),1,0))</f>
        <v>0</v>
      </c>
      <c r="H257">
        <f>IF('10_Analysis_Ready'!$A$240="",0,IF(OR(AND('10_Analysis_Ready'!$BJ$240="NO",OR('10_Analysis_Ready'!$BK$240="HIGH",'10_Analysis_Ready'!$BK$240="VERY HIGH")),AND(((OR('10_Analysis_Ready'!$AG$240="YES",'10_Analysis_Ready'!$AH$240="YES"))*1+('10_Analysis_Ready'!$AI$240="YES")+('10_Analysis_Ready'!$AJ$240="YES")+('10_Analysis_Ready'!$AK$240="YES")+('10_Analysis_Ready'!$AL$240="YES"))=0,'10_Analysis_Ready'!$BJ$240="YES")),1,0))</f>
        <v>0</v>
      </c>
      <c r="I257">
        <f>IF('10_Analysis_Ready'!$A$240="",0,IF(AND(((OR('10_Analysis_Ready'!$AG$240="YES",'10_Analysis_Ready'!$AH$240="YES"))*1+('10_Analysis_Ready'!$AI$240="YES")+('10_Analysis_Ready'!$AJ$240="YES")+('10_Analysis_Ready'!$AK$240="YES")+('10_Analysis_Ready'!$AL$240="YES"))=0,'10_Analysis_Ready'!$AM$240&lt;&gt;"N/A"),1,0))</f>
        <v>0</v>
      </c>
      <c r="J257">
        <f>IF('10_Analysis_Ready'!$A$240="",0,IF(('28_Taxonomy_Coding'!$G$240="NONE")&lt;&gt;(((OR('10_Analysis_Ready'!$AG$240="YES",'10_Analysis_Ready'!$AH$240="YES"))*1+('10_Analysis_Ready'!$AI$240="YES")+('10_Analysis_Ready'!$AJ$240="YES")+('10_Analysis_Ready'!$AK$240="YES")+('10_Analysis_Ready'!$AL$240="YES"))=0),1,0))</f>
        <v>0</v>
      </c>
    </row>
    <row r="258" spans="1:10">
      <c r="A258">
        <v>241</v>
      </c>
      <c r="B258" t="str">
        <f>IF('10_Analysis_Ready'!$A$241="","",'10_Analysis_Ready'!$A$241)</f>
        <v/>
      </c>
      <c r="C258">
        <f>IF('10_Analysis_Ready'!$A$241="",0,IF(AND('28_Taxonomy_Coding'!$A$241='10_Analysis_Ready'!$A$241,'14_Generalization_Map'!$A$241='10_Analysis_Ready'!$A$241),0,1))</f>
        <v>0</v>
      </c>
      <c r="D258">
        <f>IF('10_Analysis_Ready'!$A$241="",0,IF(COUNTIFS('06_Full_Text_Screening'!$A:$A,'10_Analysis_Ready'!$A$241,'06_Full_Text_Screening'!$J:$J,"INCLUDE")=1,0,1))</f>
        <v>0</v>
      </c>
      <c r="E258">
        <f>IF('10_Analysis_Ready'!$A$241="",0,IF(OR(AND(((OR('10_Analysis_Ready'!$AG$241="YES",'10_Analysis_Ready'!$AH$241="YES"))*1+('10_Analysis_Ready'!$AI$241="YES")+('10_Analysis_Ready'!$AJ$241="YES")+('10_Analysis_Ready'!$AK$241="YES")+('10_Analysis_Ready'!$AL$241="YES"))=0,'10_Analysis_Ready'!$AF$241&lt;&gt;"NONE"),AND(((OR('10_Analysis_Ready'!$AG$241="YES",'10_Analysis_Ready'!$AH$241="YES"))*1+('10_Analysis_Ready'!$AI$241="YES")+('10_Analysis_Ready'!$AJ$241="YES")+('10_Analysis_Ready'!$AK$241="YES")+('10_Analysis_Ready'!$AL$241="YES"))=1,OR('10_Analysis_Ready'!$AF$241="NONE",'10_Analysis_Ready'!$AF$241="MULTIPLE")),AND(((OR('10_Analysis_Ready'!$AG$241="YES",'10_Analysis_Ready'!$AH$241="YES"))*1+('10_Analysis_Ready'!$AI$241="YES")+('10_Analysis_Ready'!$AJ$241="YES")+('10_Analysis_Ready'!$AK$241="YES")+('10_Analysis_Ready'!$AL$241="YES"))&gt;=2,'10_Analysis_Ready'!$AF$241&lt;&gt;"MULTIPLE")),1,0))</f>
        <v>0</v>
      </c>
      <c r="F258">
        <f>IF('10_Analysis_Ready'!$A$241="",0,IF(AND('10_Analysis_Ready'!$AO$241="NO",COUNTIF('10_Analysis_Ready'!$AP$241:$AU$241,"YES")&gt;0),1,0))</f>
        <v>0</v>
      </c>
      <c r="G258">
        <f>IF('10_Analysis_Ready'!$A$241="",0,IF(OR(AND('10_Analysis_Ready'!$Y$241="GAN",'10_Analysis_Ready'!$AA$241="YES"),AND('10_Analysis_Ready'!$Y$241="DIFFUSION",'10_Analysis_Ready'!$Z$241="YES"),AND('10_Analysis_Ready'!$Y$241="GAN+DIFFUSION",OR('10_Analysis_Ready'!$Z$241&lt;&gt;"YES",'10_Analysis_Ready'!$AA$241&lt;&gt;"YES"))),1,0))</f>
        <v>0</v>
      </c>
      <c r="H258">
        <f>IF('10_Analysis_Ready'!$A$241="",0,IF(OR(AND('10_Analysis_Ready'!$BJ$241="NO",OR('10_Analysis_Ready'!$BK$241="HIGH",'10_Analysis_Ready'!$BK$241="VERY HIGH")),AND(((OR('10_Analysis_Ready'!$AG$241="YES",'10_Analysis_Ready'!$AH$241="YES"))*1+('10_Analysis_Ready'!$AI$241="YES")+('10_Analysis_Ready'!$AJ$241="YES")+('10_Analysis_Ready'!$AK$241="YES")+('10_Analysis_Ready'!$AL$241="YES"))=0,'10_Analysis_Ready'!$BJ$241="YES")),1,0))</f>
        <v>0</v>
      </c>
      <c r="I258">
        <f>IF('10_Analysis_Ready'!$A$241="",0,IF(AND(((OR('10_Analysis_Ready'!$AG$241="YES",'10_Analysis_Ready'!$AH$241="YES"))*1+('10_Analysis_Ready'!$AI$241="YES")+('10_Analysis_Ready'!$AJ$241="YES")+('10_Analysis_Ready'!$AK$241="YES")+('10_Analysis_Ready'!$AL$241="YES"))=0,'10_Analysis_Ready'!$AM$241&lt;&gt;"N/A"),1,0))</f>
        <v>0</v>
      </c>
      <c r="J258">
        <f>IF('10_Analysis_Ready'!$A$241="",0,IF(('28_Taxonomy_Coding'!$G$241="NONE")&lt;&gt;(((OR('10_Analysis_Ready'!$AG$241="YES",'10_Analysis_Ready'!$AH$241="YES"))*1+('10_Analysis_Ready'!$AI$241="YES")+('10_Analysis_Ready'!$AJ$241="YES")+('10_Analysis_Ready'!$AK$241="YES")+('10_Analysis_Ready'!$AL$241="YES"))=0),1,0))</f>
        <v>0</v>
      </c>
    </row>
    <row r="259" spans="1:10">
      <c r="A259">
        <v>242</v>
      </c>
      <c r="B259" t="str">
        <f>IF('10_Analysis_Ready'!$A$242="","",'10_Analysis_Ready'!$A$242)</f>
        <v/>
      </c>
      <c r="C259">
        <f>IF('10_Analysis_Ready'!$A$242="",0,IF(AND('28_Taxonomy_Coding'!$A$242='10_Analysis_Ready'!$A$242,'14_Generalization_Map'!$A$242='10_Analysis_Ready'!$A$242),0,1))</f>
        <v>0</v>
      </c>
      <c r="D259">
        <f>IF('10_Analysis_Ready'!$A$242="",0,IF(COUNTIFS('06_Full_Text_Screening'!$A:$A,'10_Analysis_Ready'!$A$242,'06_Full_Text_Screening'!$J:$J,"INCLUDE")=1,0,1))</f>
        <v>0</v>
      </c>
      <c r="E259">
        <f>IF('10_Analysis_Ready'!$A$242="",0,IF(OR(AND(((OR('10_Analysis_Ready'!$AG$242="YES",'10_Analysis_Ready'!$AH$242="YES"))*1+('10_Analysis_Ready'!$AI$242="YES")+('10_Analysis_Ready'!$AJ$242="YES")+('10_Analysis_Ready'!$AK$242="YES")+('10_Analysis_Ready'!$AL$242="YES"))=0,'10_Analysis_Ready'!$AF$242&lt;&gt;"NONE"),AND(((OR('10_Analysis_Ready'!$AG$242="YES",'10_Analysis_Ready'!$AH$242="YES"))*1+('10_Analysis_Ready'!$AI$242="YES")+('10_Analysis_Ready'!$AJ$242="YES")+('10_Analysis_Ready'!$AK$242="YES")+('10_Analysis_Ready'!$AL$242="YES"))=1,OR('10_Analysis_Ready'!$AF$242="NONE",'10_Analysis_Ready'!$AF$242="MULTIPLE")),AND(((OR('10_Analysis_Ready'!$AG$242="YES",'10_Analysis_Ready'!$AH$242="YES"))*1+('10_Analysis_Ready'!$AI$242="YES")+('10_Analysis_Ready'!$AJ$242="YES")+('10_Analysis_Ready'!$AK$242="YES")+('10_Analysis_Ready'!$AL$242="YES"))&gt;=2,'10_Analysis_Ready'!$AF$242&lt;&gt;"MULTIPLE")),1,0))</f>
        <v>0</v>
      </c>
      <c r="F259">
        <f>IF('10_Analysis_Ready'!$A$242="",0,IF(AND('10_Analysis_Ready'!$AO$242="NO",COUNTIF('10_Analysis_Ready'!$AP$242:$AU$242,"YES")&gt;0),1,0))</f>
        <v>0</v>
      </c>
      <c r="G259">
        <f>IF('10_Analysis_Ready'!$A$242="",0,IF(OR(AND('10_Analysis_Ready'!$Y$242="GAN",'10_Analysis_Ready'!$AA$242="YES"),AND('10_Analysis_Ready'!$Y$242="DIFFUSION",'10_Analysis_Ready'!$Z$242="YES"),AND('10_Analysis_Ready'!$Y$242="GAN+DIFFUSION",OR('10_Analysis_Ready'!$Z$242&lt;&gt;"YES",'10_Analysis_Ready'!$AA$242&lt;&gt;"YES"))),1,0))</f>
        <v>0</v>
      </c>
      <c r="H259">
        <f>IF('10_Analysis_Ready'!$A$242="",0,IF(OR(AND('10_Analysis_Ready'!$BJ$242="NO",OR('10_Analysis_Ready'!$BK$242="HIGH",'10_Analysis_Ready'!$BK$242="VERY HIGH")),AND(((OR('10_Analysis_Ready'!$AG$242="YES",'10_Analysis_Ready'!$AH$242="YES"))*1+('10_Analysis_Ready'!$AI$242="YES")+('10_Analysis_Ready'!$AJ$242="YES")+('10_Analysis_Ready'!$AK$242="YES")+('10_Analysis_Ready'!$AL$242="YES"))=0,'10_Analysis_Ready'!$BJ$242="YES")),1,0))</f>
        <v>0</v>
      </c>
      <c r="I259">
        <f>IF('10_Analysis_Ready'!$A$242="",0,IF(AND(((OR('10_Analysis_Ready'!$AG$242="YES",'10_Analysis_Ready'!$AH$242="YES"))*1+('10_Analysis_Ready'!$AI$242="YES")+('10_Analysis_Ready'!$AJ$242="YES")+('10_Analysis_Ready'!$AK$242="YES")+('10_Analysis_Ready'!$AL$242="YES"))=0,'10_Analysis_Ready'!$AM$242&lt;&gt;"N/A"),1,0))</f>
        <v>0</v>
      </c>
      <c r="J259">
        <f>IF('10_Analysis_Ready'!$A$242="",0,IF(('28_Taxonomy_Coding'!$G$242="NONE")&lt;&gt;(((OR('10_Analysis_Ready'!$AG$242="YES",'10_Analysis_Ready'!$AH$242="YES"))*1+('10_Analysis_Ready'!$AI$242="YES")+('10_Analysis_Ready'!$AJ$242="YES")+('10_Analysis_Ready'!$AK$242="YES")+('10_Analysis_Ready'!$AL$242="YES"))=0),1,0))</f>
        <v>0</v>
      </c>
    </row>
    <row r="260" spans="1:10">
      <c r="A260">
        <v>243</v>
      </c>
      <c r="B260" t="str">
        <f>IF('10_Analysis_Ready'!$A$243="","",'10_Analysis_Ready'!$A$243)</f>
        <v/>
      </c>
      <c r="C260">
        <f>IF('10_Analysis_Ready'!$A$243="",0,IF(AND('28_Taxonomy_Coding'!$A$243='10_Analysis_Ready'!$A$243,'14_Generalization_Map'!$A$243='10_Analysis_Ready'!$A$243),0,1))</f>
        <v>0</v>
      </c>
      <c r="D260">
        <f>IF('10_Analysis_Ready'!$A$243="",0,IF(COUNTIFS('06_Full_Text_Screening'!$A:$A,'10_Analysis_Ready'!$A$243,'06_Full_Text_Screening'!$J:$J,"INCLUDE")=1,0,1))</f>
        <v>0</v>
      </c>
      <c r="E260">
        <f>IF('10_Analysis_Ready'!$A$243="",0,IF(OR(AND(((OR('10_Analysis_Ready'!$AG$243="YES",'10_Analysis_Ready'!$AH$243="YES"))*1+('10_Analysis_Ready'!$AI$243="YES")+('10_Analysis_Ready'!$AJ$243="YES")+('10_Analysis_Ready'!$AK$243="YES")+('10_Analysis_Ready'!$AL$243="YES"))=0,'10_Analysis_Ready'!$AF$243&lt;&gt;"NONE"),AND(((OR('10_Analysis_Ready'!$AG$243="YES",'10_Analysis_Ready'!$AH$243="YES"))*1+('10_Analysis_Ready'!$AI$243="YES")+('10_Analysis_Ready'!$AJ$243="YES")+('10_Analysis_Ready'!$AK$243="YES")+('10_Analysis_Ready'!$AL$243="YES"))=1,OR('10_Analysis_Ready'!$AF$243="NONE",'10_Analysis_Ready'!$AF$243="MULTIPLE")),AND(((OR('10_Analysis_Ready'!$AG$243="YES",'10_Analysis_Ready'!$AH$243="YES"))*1+('10_Analysis_Ready'!$AI$243="YES")+('10_Analysis_Ready'!$AJ$243="YES")+('10_Analysis_Ready'!$AK$243="YES")+('10_Analysis_Ready'!$AL$243="YES"))&gt;=2,'10_Analysis_Ready'!$AF$243&lt;&gt;"MULTIPLE")),1,0))</f>
        <v>0</v>
      </c>
      <c r="F260">
        <f>IF('10_Analysis_Ready'!$A$243="",0,IF(AND('10_Analysis_Ready'!$AO$243="NO",COUNTIF('10_Analysis_Ready'!$AP$243:$AU$243,"YES")&gt;0),1,0))</f>
        <v>0</v>
      </c>
      <c r="G260">
        <f>IF('10_Analysis_Ready'!$A$243="",0,IF(OR(AND('10_Analysis_Ready'!$Y$243="GAN",'10_Analysis_Ready'!$AA$243="YES"),AND('10_Analysis_Ready'!$Y$243="DIFFUSION",'10_Analysis_Ready'!$Z$243="YES"),AND('10_Analysis_Ready'!$Y$243="GAN+DIFFUSION",OR('10_Analysis_Ready'!$Z$243&lt;&gt;"YES",'10_Analysis_Ready'!$AA$243&lt;&gt;"YES"))),1,0))</f>
        <v>0</v>
      </c>
      <c r="H260">
        <f>IF('10_Analysis_Ready'!$A$243="",0,IF(OR(AND('10_Analysis_Ready'!$BJ$243="NO",OR('10_Analysis_Ready'!$BK$243="HIGH",'10_Analysis_Ready'!$BK$243="VERY HIGH")),AND(((OR('10_Analysis_Ready'!$AG$243="YES",'10_Analysis_Ready'!$AH$243="YES"))*1+('10_Analysis_Ready'!$AI$243="YES")+('10_Analysis_Ready'!$AJ$243="YES")+('10_Analysis_Ready'!$AK$243="YES")+('10_Analysis_Ready'!$AL$243="YES"))=0,'10_Analysis_Ready'!$BJ$243="YES")),1,0))</f>
        <v>0</v>
      </c>
      <c r="I260">
        <f>IF('10_Analysis_Ready'!$A$243="",0,IF(AND(((OR('10_Analysis_Ready'!$AG$243="YES",'10_Analysis_Ready'!$AH$243="YES"))*1+('10_Analysis_Ready'!$AI$243="YES")+('10_Analysis_Ready'!$AJ$243="YES")+('10_Analysis_Ready'!$AK$243="YES")+('10_Analysis_Ready'!$AL$243="YES"))=0,'10_Analysis_Ready'!$AM$243&lt;&gt;"N/A"),1,0))</f>
        <v>0</v>
      </c>
      <c r="J260">
        <f>IF('10_Analysis_Ready'!$A$243="",0,IF(('28_Taxonomy_Coding'!$G$243="NONE")&lt;&gt;(((OR('10_Analysis_Ready'!$AG$243="YES",'10_Analysis_Ready'!$AH$243="YES"))*1+('10_Analysis_Ready'!$AI$243="YES")+('10_Analysis_Ready'!$AJ$243="YES")+('10_Analysis_Ready'!$AK$243="YES")+('10_Analysis_Ready'!$AL$243="YES"))=0),1,0))</f>
        <v>0</v>
      </c>
    </row>
    <row r="261" spans="1:10">
      <c r="A261">
        <v>244</v>
      </c>
      <c r="B261" t="str">
        <f>IF('10_Analysis_Ready'!$A$244="","",'10_Analysis_Ready'!$A$244)</f>
        <v/>
      </c>
      <c r="C261">
        <f>IF('10_Analysis_Ready'!$A$244="",0,IF(AND('28_Taxonomy_Coding'!$A$244='10_Analysis_Ready'!$A$244,'14_Generalization_Map'!$A$244='10_Analysis_Ready'!$A$244),0,1))</f>
        <v>0</v>
      </c>
      <c r="D261">
        <f>IF('10_Analysis_Ready'!$A$244="",0,IF(COUNTIFS('06_Full_Text_Screening'!$A:$A,'10_Analysis_Ready'!$A$244,'06_Full_Text_Screening'!$J:$J,"INCLUDE")=1,0,1))</f>
        <v>0</v>
      </c>
      <c r="E261">
        <f>IF('10_Analysis_Ready'!$A$244="",0,IF(OR(AND(((OR('10_Analysis_Ready'!$AG$244="YES",'10_Analysis_Ready'!$AH$244="YES"))*1+('10_Analysis_Ready'!$AI$244="YES")+('10_Analysis_Ready'!$AJ$244="YES")+('10_Analysis_Ready'!$AK$244="YES")+('10_Analysis_Ready'!$AL$244="YES"))=0,'10_Analysis_Ready'!$AF$244&lt;&gt;"NONE"),AND(((OR('10_Analysis_Ready'!$AG$244="YES",'10_Analysis_Ready'!$AH$244="YES"))*1+('10_Analysis_Ready'!$AI$244="YES")+('10_Analysis_Ready'!$AJ$244="YES")+('10_Analysis_Ready'!$AK$244="YES")+('10_Analysis_Ready'!$AL$244="YES"))=1,OR('10_Analysis_Ready'!$AF$244="NONE",'10_Analysis_Ready'!$AF$244="MULTIPLE")),AND(((OR('10_Analysis_Ready'!$AG$244="YES",'10_Analysis_Ready'!$AH$244="YES"))*1+('10_Analysis_Ready'!$AI$244="YES")+('10_Analysis_Ready'!$AJ$244="YES")+('10_Analysis_Ready'!$AK$244="YES")+('10_Analysis_Ready'!$AL$244="YES"))&gt;=2,'10_Analysis_Ready'!$AF$244&lt;&gt;"MULTIPLE")),1,0))</f>
        <v>0</v>
      </c>
      <c r="F261">
        <f>IF('10_Analysis_Ready'!$A$244="",0,IF(AND('10_Analysis_Ready'!$AO$244="NO",COUNTIF('10_Analysis_Ready'!$AP$244:$AU$244,"YES")&gt;0),1,0))</f>
        <v>0</v>
      </c>
      <c r="G261">
        <f>IF('10_Analysis_Ready'!$A$244="",0,IF(OR(AND('10_Analysis_Ready'!$Y$244="GAN",'10_Analysis_Ready'!$AA$244="YES"),AND('10_Analysis_Ready'!$Y$244="DIFFUSION",'10_Analysis_Ready'!$Z$244="YES"),AND('10_Analysis_Ready'!$Y$244="GAN+DIFFUSION",OR('10_Analysis_Ready'!$Z$244&lt;&gt;"YES",'10_Analysis_Ready'!$AA$244&lt;&gt;"YES"))),1,0))</f>
        <v>0</v>
      </c>
      <c r="H261">
        <f>IF('10_Analysis_Ready'!$A$244="",0,IF(OR(AND('10_Analysis_Ready'!$BJ$244="NO",OR('10_Analysis_Ready'!$BK$244="HIGH",'10_Analysis_Ready'!$BK$244="VERY HIGH")),AND(((OR('10_Analysis_Ready'!$AG$244="YES",'10_Analysis_Ready'!$AH$244="YES"))*1+('10_Analysis_Ready'!$AI$244="YES")+('10_Analysis_Ready'!$AJ$244="YES")+('10_Analysis_Ready'!$AK$244="YES")+('10_Analysis_Ready'!$AL$244="YES"))=0,'10_Analysis_Ready'!$BJ$244="YES")),1,0))</f>
        <v>0</v>
      </c>
      <c r="I261">
        <f>IF('10_Analysis_Ready'!$A$244="",0,IF(AND(((OR('10_Analysis_Ready'!$AG$244="YES",'10_Analysis_Ready'!$AH$244="YES"))*1+('10_Analysis_Ready'!$AI$244="YES")+('10_Analysis_Ready'!$AJ$244="YES")+('10_Analysis_Ready'!$AK$244="YES")+('10_Analysis_Ready'!$AL$244="YES"))=0,'10_Analysis_Ready'!$AM$244&lt;&gt;"N/A"),1,0))</f>
        <v>0</v>
      </c>
      <c r="J261">
        <f>IF('10_Analysis_Ready'!$A$244="",0,IF(('28_Taxonomy_Coding'!$G$244="NONE")&lt;&gt;(((OR('10_Analysis_Ready'!$AG$244="YES",'10_Analysis_Ready'!$AH$244="YES"))*1+('10_Analysis_Ready'!$AI$244="YES")+('10_Analysis_Ready'!$AJ$244="YES")+('10_Analysis_Ready'!$AK$244="YES")+('10_Analysis_Ready'!$AL$244="YES"))=0),1,0))</f>
        <v>0</v>
      </c>
    </row>
    <row r="262" spans="1:10">
      <c r="A262">
        <v>245</v>
      </c>
      <c r="B262" t="str">
        <f>IF('10_Analysis_Ready'!$A$245="","",'10_Analysis_Ready'!$A$245)</f>
        <v/>
      </c>
      <c r="C262">
        <f>IF('10_Analysis_Ready'!$A$245="",0,IF(AND('28_Taxonomy_Coding'!$A$245='10_Analysis_Ready'!$A$245,'14_Generalization_Map'!$A$245='10_Analysis_Ready'!$A$245),0,1))</f>
        <v>0</v>
      </c>
      <c r="D262">
        <f>IF('10_Analysis_Ready'!$A$245="",0,IF(COUNTIFS('06_Full_Text_Screening'!$A:$A,'10_Analysis_Ready'!$A$245,'06_Full_Text_Screening'!$J:$J,"INCLUDE")=1,0,1))</f>
        <v>0</v>
      </c>
      <c r="E262">
        <f>IF('10_Analysis_Ready'!$A$245="",0,IF(OR(AND(((OR('10_Analysis_Ready'!$AG$245="YES",'10_Analysis_Ready'!$AH$245="YES"))*1+('10_Analysis_Ready'!$AI$245="YES")+('10_Analysis_Ready'!$AJ$245="YES")+('10_Analysis_Ready'!$AK$245="YES")+('10_Analysis_Ready'!$AL$245="YES"))=0,'10_Analysis_Ready'!$AF$245&lt;&gt;"NONE"),AND(((OR('10_Analysis_Ready'!$AG$245="YES",'10_Analysis_Ready'!$AH$245="YES"))*1+('10_Analysis_Ready'!$AI$245="YES")+('10_Analysis_Ready'!$AJ$245="YES")+('10_Analysis_Ready'!$AK$245="YES")+('10_Analysis_Ready'!$AL$245="YES"))=1,OR('10_Analysis_Ready'!$AF$245="NONE",'10_Analysis_Ready'!$AF$245="MULTIPLE")),AND(((OR('10_Analysis_Ready'!$AG$245="YES",'10_Analysis_Ready'!$AH$245="YES"))*1+('10_Analysis_Ready'!$AI$245="YES")+('10_Analysis_Ready'!$AJ$245="YES")+('10_Analysis_Ready'!$AK$245="YES")+('10_Analysis_Ready'!$AL$245="YES"))&gt;=2,'10_Analysis_Ready'!$AF$245&lt;&gt;"MULTIPLE")),1,0))</f>
        <v>0</v>
      </c>
      <c r="F262">
        <f>IF('10_Analysis_Ready'!$A$245="",0,IF(AND('10_Analysis_Ready'!$AO$245="NO",COUNTIF('10_Analysis_Ready'!$AP$245:$AU$245,"YES")&gt;0),1,0))</f>
        <v>0</v>
      </c>
      <c r="G262">
        <f>IF('10_Analysis_Ready'!$A$245="",0,IF(OR(AND('10_Analysis_Ready'!$Y$245="GAN",'10_Analysis_Ready'!$AA$245="YES"),AND('10_Analysis_Ready'!$Y$245="DIFFUSION",'10_Analysis_Ready'!$Z$245="YES"),AND('10_Analysis_Ready'!$Y$245="GAN+DIFFUSION",OR('10_Analysis_Ready'!$Z$245&lt;&gt;"YES",'10_Analysis_Ready'!$AA$245&lt;&gt;"YES"))),1,0))</f>
        <v>0</v>
      </c>
      <c r="H262">
        <f>IF('10_Analysis_Ready'!$A$245="",0,IF(OR(AND('10_Analysis_Ready'!$BJ$245="NO",OR('10_Analysis_Ready'!$BK$245="HIGH",'10_Analysis_Ready'!$BK$245="VERY HIGH")),AND(((OR('10_Analysis_Ready'!$AG$245="YES",'10_Analysis_Ready'!$AH$245="YES"))*1+('10_Analysis_Ready'!$AI$245="YES")+('10_Analysis_Ready'!$AJ$245="YES")+('10_Analysis_Ready'!$AK$245="YES")+('10_Analysis_Ready'!$AL$245="YES"))=0,'10_Analysis_Ready'!$BJ$245="YES")),1,0))</f>
        <v>0</v>
      </c>
      <c r="I262">
        <f>IF('10_Analysis_Ready'!$A$245="",0,IF(AND(((OR('10_Analysis_Ready'!$AG$245="YES",'10_Analysis_Ready'!$AH$245="YES"))*1+('10_Analysis_Ready'!$AI$245="YES")+('10_Analysis_Ready'!$AJ$245="YES")+('10_Analysis_Ready'!$AK$245="YES")+('10_Analysis_Ready'!$AL$245="YES"))=0,'10_Analysis_Ready'!$AM$245&lt;&gt;"N/A"),1,0))</f>
        <v>0</v>
      </c>
      <c r="J262">
        <f>IF('10_Analysis_Ready'!$A$245="",0,IF(('28_Taxonomy_Coding'!$G$245="NONE")&lt;&gt;(((OR('10_Analysis_Ready'!$AG$245="YES",'10_Analysis_Ready'!$AH$245="YES"))*1+('10_Analysis_Ready'!$AI$245="YES")+('10_Analysis_Ready'!$AJ$245="YES")+('10_Analysis_Ready'!$AK$245="YES")+('10_Analysis_Ready'!$AL$245="YES"))=0),1,0))</f>
        <v>0</v>
      </c>
    </row>
    <row r="263" spans="1:10">
      <c r="A263">
        <v>246</v>
      </c>
      <c r="B263" t="str">
        <f>IF('10_Analysis_Ready'!$A$246="","",'10_Analysis_Ready'!$A$246)</f>
        <v/>
      </c>
      <c r="C263">
        <f>IF('10_Analysis_Ready'!$A$246="",0,IF(AND('28_Taxonomy_Coding'!$A$246='10_Analysis_Ready'!$A$246,'14_Generalization_Map'!$A$246='10_Analysis_Ready'!$A$246),0,1))</f>
        <v>0</v>
      </c>
      <c r="D263">
        <f>IF('10_Analysis_Ready'!$A$246="",0,IF(COUNTIFS('06_Full_Text_Screening'!$A:$A,'10_Analysis_Ready'!$A$246,'06_Full_Text_Screening'!$J:$J,"INCLUDE")=1,0,1))</f>
        <v>0</v>
      </c>
      <c r="E263">
        <f>IF('10_Analysis_Ready'!$A$246="",0,IF(OR(AND(((OR('10_Analysis_Ready'!$AG$246="YES",'10_Analysis_Ready'!$AH$246="YES"))*1+('10_Analysis_Ready'!$AI$246="YES")+('10_Analysis_Ready'!$AJ$246="YES")+('10_Analysis_Ready'!$AK$246="YES")+('10_Analysis_Ready'!$AL$246="YES"))=0,'10_Analysis_Ready'!$AF$246&lt;&gt;"NONE"),AND(((OR('10_Analysis_Ready'!$AG$246="YES",'10_Analysis_Ready'!$AH$246="YES"))*1+('10_Analysis_Ready'!$AI$246="YES")+('10_Analysis_Ready'!$AJ$246="YES")+('10_Analysis_Ready'!$AK$246="YES")+('10_Analysis_Ready'!$AL$246="YES"))=1,OR('10_Analysis_Ready'!$AF$246="NONE",'10_Analysis_Ready'!$AF$246="MULTIPLE")),AND(((OR('10_Analysis_Ready'!$AG$246="YES",'10_Analysis_Ready'!$AH$246="YES"))*1+('10_Analysis_Ready'!$AI$246="YES")+('10_Analysis_Ready'!$AJ$246="YES")+('10_Analysis_Ready'!$AK$246="YES")+('10_Analysis_Ready'!$AL$246="YES"))&gt;=2,'10_Analysis_Ready'!$AF$246&lt;&gt;"MULTIPLE")),1,0))</f>
        <v>0</v>
      </c>
      <c r="F263">
        <f>IF('10_Analysis_Ready'!$A$246="",0,IF(AND('10_Analysis_Ready'!$AO$246="NO",COUNTIF('10_Analysis_Ready'!$AP$246:$AU$246,"YES")&gt;0),1,0))</f>
        <v>0</v>
      </c>
      <c r="G263">
        <f>IF('10_Analysis_Ready'!$A$246="",0,IF(OR(AND('10_Analysis_Ready'!$Y$246="GAN",'10_Analysis_Ready'!$AA$246="YES"),AND('10_Analysis_Ready'!$Y$246="DIFFUSION",'10_Analysis_Ready'!$Z$246="YES"),AND('10_Analysis_Ready'!$Y$246="GAN+DIFFUSION",OR('10_Analysis_Ready'!$Z$246&lt;&gt;"YES",'10_Analysis_Ready'!$AA$246&lt;&gt;"YES"))),1,0))</f>
        <v>0</v>
      </c>
      <c r="H263">
        <f>IF('10_Analysis_Ready'!$A$246="",0,IF(OR(AND('10_Analysis_Ready'!$BJ$246="NO",OR('10_Analysis_Ready'!$BK$246="HIGH",'10_Analysis_Ready'!$BK$246="VERY HIGH")),AND(((OR('10_Analysis_Ready'!$AG$246="YES",'10_Analysis_Ready'!$AH$246="YES"))*1+('10_Analysis_Ready'!$AI$246="YES")+('10_Analysis_Ready'!$AJ$246="YES")+('10_Analysis_Ready'!$AK$246="YES")+('10_Analysis_Ready'!$AL$246="YES"))=0,'10_Analysis_Ready'!$BJ$246="YES")),1,0))</f>
        <v>0</v>
      </c>
      <c r="I263">
        <f>IF('10_Analysis_Ready'!$A$246="",0,IF(AND(((OR('10_Analysis_Ready'!$AG$246="YES",'10_Analysis_Ready'!$AH$246="YES"))*1+('10_Analysis_Ready'!$AI$246="YES")+('10_Analysis_Ready'!$AJ$246="YES")+('10_Analysis_Ready'!$AK$246="YES")+('10_Analysis_Ready'!$AL$246="YES"))=0,'10_Analysis_Ready'!$AM$246&lt;&gt;"N/A"),1,0))</f>
        <v>0</v>
      </c>
      <c r="J263">
        <f>IF('10_Analysis_Ready'!$A$246="",0,IF(('28_Taxonomy_Coding'!$G$246="NONE")&lt;&gt;(((OR('10_Analysis_Ready'!$AG$246="YES",'10_Analysis_Ready'!$AH$246="YES"))*1+('10_Analysis_Ready'!$AI$246="YES")+('10_Analysis_Ready'!$AJ$246="YES")+('10_Analysis_Ready'!$AK$246="YES")+('10_Analysis_Ready'!$AL$246="YES"))=0),1,0))</f>
        <v>0</v>
      </c>
    </row>
    <row r="264" spans="1:10">
      <c r="A264">
        <v>247</v>
      </c>
      <c r="B264" t="str">
        <f>IF('10_Analysis_Ready'!$A$247="","",'10_Analysis_Ready'!$A$247)</f>
        <v/>
      </c>
      <c r="C264">
        <f>IF('10_Analysis_Ready'!$A$247="",0,IF(AND('28_Taxonomy_Coding'!$A$247='10_Analysis_Ready'!$A$247,'14_Generalization_Map'!$A$247='10_Analysis_Ready'!$A$247),0,1))</f>
        <v>0</v>
      </c>
      <c r="D264">
        <f>IF('10_Analysis_Ready'!$A$247="",0,IF(COUNTIFS('06_Full_Text_Screening'!$A:$A,'10_Analysis_Ready'!$A$247,'06_Full_Text_Screening'!$J:$J,"INCLUDE")=1,0,1))</f>
        <v>0</v>
      </c>
      <c r="E264">
        <f>IF('10_Analysis_Ready'!$A$247="",0,IF(OR(AND(((OR('10_Analysis_Ready'!$AG$247="YES",'10_Analysis_Ready'!$AH$247="YES"))*1+('10_Analysis_Ready'!$AI$247="YES")+('10_Analysis_Ready'!$AJ$247="YES")+('10_Analysis_Ready'!$AK$247="YES")+('10_Analysis_Ready'!$AL$247="YES"))=0,'10_Analysis_Ready'!$AF$247&lt;&gt;"NONE"),AND(((OR('10_Analysis_Ready'!$AG$247="YES",'10_Analysis_Ready'!$AH$247="YES"))*1+('10_Analysis_Ready'!$AI$247="YES")+('10_Analysis_Ready'!$AJ$247="YES")+('10_Analysis_Ready'!$AK$247="YES")+('10_Analysis_Ready'!$AL$247="YES"))=1,OR('10_Analysis_Ready'!$AF$247="NONE",'10_Analysis_Ready'!$AF$247="MULTIPLE")),AND(((OR('10_Analysis_Ready'!$AG$247="YES",'10_Analysis_Ready'!$AH$247="YES"))*1+('10_Analysis_Ready'!$AI$247="YES")+('10_Analysis_Ready'!$AJ$247="YES")+('10_Analysis_Ready'!$AK$247="YES")+('10_Analysis_Ready'!$AL$247="YES"))&gt;=2,'10_Analysis_Ready'!$AF$247&lt;&gt;"MULTIPLE")),1,0))</f>
        <v>0</v>
      </c>
      <c r="F264">
        <f>IF('10_Analysis_Ready'!$A$247="",0,IF(AND('10_Analysis_Ready'!$AO$247="NO",COUNTIF('10_Analysis_Ready'!$AP$247:$AU$247,"YES")&gt;0),1,0))</f>
        <v>0</v>
      </c>
      <c r="G264">
        <f>IF('10_Analysis_Ready'!$A$247="",0,IF(OR(AND('10_Analysis_Ready'!$Y$247="GAN",'10_Analysis_Ready'!$AA$247="YES"),AND('10_Analysis_Ready'!$Y$247="DIFFUSION",'10_Analysis_Ready'!$Z$247="YES"),AND('10_Analysis_Ready'!$Y$247="GAN+DIFFUSION",OR('10_Analysis_Ready'!$Z$247&lt;&gt;"YES",'10_Analysis_Ready'!$AA$247&lt;&gt;"YES"))),1,0))</f>
        <v>0</v>
      </c>
      <c r="H264">
        <f>IF('10_Analysis_Ready'!$A$247="",0,IF(OR(AND('10_Analysis_Ready'!$BJ$247="NO",OR('10_Analysis_Ready'!$BK$247="HIGH",'10_Analysis_Ready'!$BK$247="VERY HIGH")),AND(((OR('10_Analysis_Ready'!$AG$247="YES",'10_Analysis_Ready'!$AH$247="YES"))*1+('10_Analysis_Ready'!$AI$247="YES")+('10_Analysis_Ready'!$AJ$247="YES")+('10_Analysis_Ready'!$AK$247="YES")+('10_Analysis_Ready'!$AL$247="YES"))=0,'10_Analysis_Ready'!$BJ$247="YES")),1,0))</f>
        <v>0</v>
      </c>
      <c r="I264">
        <f>IF('10_Analysis_Ready'!$A$247="",0,IF(AND(((OR('10_Analysis_Ready'!$AG$247="YES",'10_Analysis_Ready'!$AH$247="YES"))*1+('10_Analysis_Ready'!$AI$247="YES")+('10_Analysis_Ready'!$AJ$247="YES")+('10_Analysis_Ready'!$AK$247="YES")+('10_Analysis_Ready'!$AL$247="YES"))=0,'10_Analysis_Ready'!$AM$247&lt;&gt;"N/A"),1,0))</f>
        <v>0</v>
      </c>
      <c r="J264">
        <f>IF('10_Analysis_Ready'!$A$247="",0,IF(('28_Taxonomy_Coding'!$G$247="NONE")&lt;&gt;(((OR('10_Analysis_Ready'!$AG$247="YES",'10_Analysis_Ready'!$AH$247="YES"))*1+('10_Analysis_Ready'!$AI$247="YES")+('10_Analysis_Ready'!$AJ$247="YES")+('10_Analysis_Ready'!$AK$247="YES")+('10_Analysis_Ready'!$AL$247="YES"))=0),1,0))</f>
        <v>0</v>
      </c>
    </row>
    <row r="265" spans="1:10">
      <c r="A265">
        <v>248</v>
      </c>
      <c r="B265" t="str">
        <f>IF('10_Analysis_Ready'!$A$248="","",'10_Analysis_Ready'!$A$248)</f>
        <v/>
      </c>
      <c r="C265">
        <f>IF('10_Analysis_Ready'!$A$248="",0,IF(AND('28_Taxonomy_Coding'!$A$248='10_Analysis_Ready'!$A$248,'14_Generalization_Map'!$A$248='10_Analysis_Ready'!$A$248),0,1))</f>
        <v>0</v>
      </c>
      <c r="D265">
        <f>IF('10_Analysis_Ready'!$A$248="",0,IF(COUNTIFS('06_Full_Text_Screening'!$A:$A,'10_Analysis_Ready'!$A$248,'06_Full_Text_Screening'!$J:$J,"INCLUDE")=1,0,1))</f>
        <v>0</v>
      </c>
      <c r="E265">
        <f>IF('10_Analysis_Ready'!$A$248="",0,IF(OR(AND(((OR('10_Analysis_Ready'!$AG$248="YES",'10_Analysis_Ready'!$AH$248="YES"))*1+('10_Analysis_Ready'!$AI$248="YES")+('10_Analysis_Ready'!$AJ$248="YES")+('10_Analysis_Ready'!$AK$248="YES")+('10_Analysis_Ready'!$AL$248="YES"))=0,'10_Analysis_Ready'!$AF$248&lt;&gt;"NONE"),AND(((OR('10_Analysis_Ready'!$AG$248="YES",'10_Analysis_Ready'!$AH$248="YES"))*1+('10_Analysis_Ready'!$AI$248="YES")+('10_Analysis_Ready'!$AJ$248="YES")+('10_Analysis_Ready'!$AK$248="YES")+('10_Analysis_Ready'!$AL$248="YES"))=1,OR('10_Analysis_Ready'!$AF$248="NONE",'10_Analysis_Ready'!$AF$248="MULTIPLE")),AND(((OR('10_Analysis_Ready'!$AG$248="YES",'10_Analysis_Ready'!$AH$248="YES"))*1+('10_Analysis_Ready'!$AI$248="YES")+('10_Analysis_Ready'!$AJ$248="YES")+('10_Analysis_Ready'!$AK$248="YES")+('10_Analysis_Ready'!$AL$248="YES"))&gt;=2,'10_Analysis_Ready'!$AF$248&lt;&gt;"MULTIPLE")),1,0))</f>
        <v>0</v>
      </c>
      <c r="F265">
        <f>IF('10_Analysis_Ready'!$A$248="",0,IF(AND('10_Analysis_Ready'!$AO$248="NO",COUNTIF('10_Analysis_Ready'!$AP$248:$AU$248,"YES")&gt;0),1,0))</f>
        <v>0</v>
      </c>
      <c r="G265">
        <f>IF('10_Analysis_Ready'!$A$248="",0,IF(OR(AND('10_Analysis_Ready'!$Y$248="GAN",'10_Analysis_Ready'!$AA$248="YES"),AND('10_Analysis_Ready'!$Y$248="DIFFUSION",'10_Analysis_Ready'!$Z$248="YES"),AND('10_Analysis_Ready'!$Y$248="GAN+DIFFUSION",OR('10_Analysis_Ready'!$Z$248&lt;&gt;"YES",'10_Analysis_Ready'!$AA$248&lt;&gt;"YES"))),1,0))</f>
        <v>0</v>
      </c>
      <c r="H265">
        <f>IF('10_Analysis_Ready'!$A$248="",0,IF(OR(AND('10_Analysis_Ready'!$BJ$248="NO",OR('10_Analysis_Ready'!$BK$248="HIGH",'10_Analysis_Ready'!$BK$248="VERY HIGH")),AND(((OR('10_Analysis_Ready'!$AG$248="YES",'10_Analysis_Ready'!$AH$248="YES"))*1+('10_Analysis_Ready'!$AI$248="YES")+('10_Analysis_Ready'!$AJ$248="YES")+('10_Analysis_Ready'!$AK$248="YES")+('10_Analysis_Ready'!$AL$248="YES"))=0,'10_Analysis_Ready'!$BJ$248="YES")),1,0))</f>
        <v>0</v>
      </c>
      <c r="I265">
        <f>IF('10_Analysis_Ready'!$A$248="",0,IF(AND(((OR('10_Analysis_Ready'!$AG$248="YES",'10_Analysis_Ready'!$AH$248="YES"))*1+('10_Analysis_Ready'!$AI$248="YES")+('10_Analysis_Ready'!$AJ$248="YES")+('10_Analysis_Ready'!$AK$248="YES")+('10_Analysis_Ready'!$AL$248="YES"))=0,'10_Analysis_Ready'!$AM$248&lt;&gt;"N/A"),1,0))</f>
        <v>0</v>
      </c>
      <c r="J265">
        <f>IF('10_Analysis_Ready'!$A$248="",0,IF(('28_Taxonomy_Coding'!$G$248="NONE")&lt;&gt;(((OR('10_Analysis_Ready'!$AG$248="YES",'10_Analysis_Ready'!$AH$248="YES"))*1+('10_Analysis_Ready'!$AI$248="YES")+('10_Analysis_Ready'!$AJ$248="YES")+('10_Analysis_Ready'!$AK$248="YES")+('10_Analysis_Ready'!$AL$248="YES"))=0),1,0))</f>
        <v>0</v>
      </c>
    </row>
    <row r="266" spans="1:10">
      <c r="A266">
        <v>249</v>
      </c>
      <c r="B266" t="str">
        <f>IF('10_Analysis_Ready'!$A$249="","",'10_Analysis_Ready'!$A$249)</f>
        <v/>
      </c>
      <c r="C266">
        <f>IF('10_Analysis_Ready'!$A$249="",0,IF(AND('28_Taxonomy_Coding'!$A$249='10_Analysis_Ready'!$A$249,'14_Generalization_Map'!$A$249='10_Analysis_Ready'!$A$249),0,1))</f>
        <v>0</v>
      </c>
      <c r="D266">
        <f>IF('10_Analysis_Ready'!$A$249="",0,IF(COUNTIFS('06_Full_Text_Screening'!$A:$A,'10_Analysis_Ready'!$A$249,'06_Full_Text_Screening'!$J:$J,"INCLUDE")=1,0,1))</f>
        <v>0</v>
      </c>
      <c r="E266">
        <f>IF('10_Analysis_Ready'!$A$249="",0,IF(OR(AND(((OR('10_Analysis_Ready'!$AG$249="YES",'10_Analysis_Ready'!$AH$249="YES"))*1+('10_Analysis_Ready'!$AI$249="YES")+('10_Analysis_Ready'!$AJ$249="YES")+('10_Analysis_Ready'!$AK$249="YES")+('10_Analysis_Ready'!$AL$249="YES"))=0,'10_Analysis_Ready'!$AF$249&lt;&gt;"NONE"),AND(((OR('10_Analysis_Ready'!$AG$249="YES",'10_Analysis_Ready'!$AH$249="YES"))*1+('10_Analysis_Ready'!$AI$249="YES")+('10_Analysis_Ready'!$AJ$249="YES")+('10_Analysis_Ready'!$AK$249="YES")+('10_Analysis_Ready'!$AL$249="YES"))=1,OR('10_Analysis_Ready'!$AF$249="NONE",'10_Analysis_Ready'!$AF$249="MULTIPLE")),AND(((OR('10_Analysis_Ready'!$AG$249="YES",'10_Analysis_Ready'!$AH$249="YES"))*1+('10_Analysis_Ready'!$AI$249="YES")+('10_Analysis_Ready'!$AJ$249="YES")+('10_Analysis_Ready'!$AK$249="YES")+('10_Analysis_Ready'!$AL$249="YES"))&gt;=2,'10_Analysis_Ready'!$AF$249&lt;&gt;"MULTIPLE")),1,0))</f>
        <v>0</v>
      </c>
      <c r="F266">
        <f>IF('10_Analysis_Ready'!$A$249="",0,IF(AND('10_Analysis_Ready'!$AO$249="NO",COUNTIF('10_Analysis_Ready'!$AP$249:$AU$249,"YES")&gt;0),1,0))</f>
        <v>0</v>
      </c>
      <c r="G266">
        <f>IF('10_Analysis_Ready'!$A$249="",0,IF(OR(AND('10_Analysis_Ready'!$Y$249="GAN",'10_Analysis_Ready'!$AA$249="YES"),AND('10_Analysis_Ready'!$Y$249="DIFFUSION",'10_Analysis_Ready'!$Z$249="YES"),AND('10_Analysis_Ready'!$Y$249="GAN+DIFFUSION",OR('10_Analysis_Ready'!$Z$249&lt;&gt;"YES",'10_Analysis_Ready'!$AA$249&lt;&gt;"YES"))),1,0))</f>
        <v>0</v>
      </c>
      <c r="H266">
        <f>IF('10_Analysis_Ready'!$A$249="",0,IF(OR(AND('10_Analysis_Ready'!$BJ$249="NO",OR('10_Analysis_Ready'!$BK$249="HIGH",'10_Analysis_Ready'!$BK$249="VERY HIGH")),AND(((OR('10_Analysis_Ready'!$AG$249="YES",'10_Analysis_Ready'!$AH$249="YES"))*1+('10_Analysis_Ready'!$AI$249="YES")+('10_Analysis_Ready'!$AJ$249="YES")+('10_Analysis_Ready'!$AK$249="YES")+('10_Analysis_Ready'!$AL$249="YES"))=0,'10_Analysis_Ready'!$BJ$249="YES")),1,0))</f>
        <v>0</v>
      </c>
      <c r="I266">
        <f>IF('10_Analysis_Ready'!$A$249="",0,IF(AND(((OR('10_Analysis_Ready'!$AG$249="YES",'10_Analysis_Ready'!$AH$249="YES"))*1+('10_Analysis_Ready'!$AI$249="YES")+('10_Analysis_Ready'!$AJ$249="YES")+('10_Analysis_Ready'!$AK$249="YES")+('10_Analysis_Ready'!$AL$249="YES"))=0,'10_Analysis_Ready'!$AM$249&lt;&gt;"N/A"),1,0))</f>
        <v>0</v>
      </c>
      <c r="J266">
        <f>IF('10_Analysis_Ready'!$A$249="",0,IF(('28_Taxonomy_Coding'!$G$249="NONE")&lt;&gt;(((OR('10_Analysis_Ready'!$AG$249="YES",'10_Analysis_Ready'!$AH$249="YES"))*1+('10_Analysis_Ready'!$AI$249="YES")+('10_Analysis_Ready'!$AJ$249="YES")+('10_Analysis_Ready'!$AK$249="YES")+('10_Analysis_Ready'!$AL$249="YES"))=0),1,0))</f>
        <v>0</v>
      </c>
    </row>
    <row r="267" spans="1:10">
      <c r="A267">
        <v>250</v>
      </c>
      <c r="B267" t="str">
        <f>IF('10_Analysis_Ready'!$A$250="","",'10_Analysis_Ready'!$A$250)</f>
        <v/>
      </c>
      <c r="C267">
        <f>IF('10_Analysis_Ready'!$A$250="",0,IF(AND('28_Taxonomy_Coding'!$A$250='10_Analysis_Ready'!$A$250,'14_Generalization_Map'!$A$250='10_Analysis_Ready'!$A$250),0,1))</f>
        <v>0</v>
      </c>
      <c r="D267">
        <f>IF('10_Analysis_Ready'!$A$250="",0,IF(COUNTIFS('06_Full_Text_Screening'!$A:$A,'10_Analysis_Ready'!$A$250,'06_Full_Text_Screening'!$J:$J,"INCLUDE")=1,0,1))</f>
        <v>0</v>
      </c>
      <c r="E267">
        <f>IF('10_Analysis_Ready'!$A$250="",0,IF(OR(AND(((OR('10_Analysis_Ready'!$AG$250="YES",'10_Analysis_Ready'!$AH$250="YES"))*1+('10_Analysis_Ready'!$AI$250="YES")+('10_Analysis_Ready'!$AJ$250="YES")+('10_Analysis_Ready'!$AK$250="YES")+('10_Analysis_Ready'!$AL$250="YES"))=0,'10_Analysis_Ready'!$AF$250&lt;&gt;"NONE"),AND(((OR('10_Analysis_Ready'!$AG$250="YES",'10_Analysis_Ready'!$AH$250="YES"))*1+('10_Analysis_Ready'!$AI$250="YES")+('10_Analysis_Ready'!$AJ$250="YES")+('10_Analysis_Ready'!$AK$250="YES")+('10_Analysis_Ready'!$AL$250="YES"))=1,OR('10_Analysis_Ready'!$AF$250="NONE",'10_Analysis_Ready'!$AF$250="MULTIPLE")),AND(((OR('10_Analysis_Ready'!$AG$250="YES",'10_Analysis_Ready'!$AH$250="YES"))*1+('10_Analysis_Ready'!$AI$250="YES")+('10_Analysis_Ready'!$AJ$250="YES")+('10_Analysis_Ready'!$AK$250="YES")+('10_Analysis_Ready'!$AL$250="YES"))&gt;=2,'10_Analysis_Ready'!$AF$250&lt;&gt;"MULTIPLE")),1,0))</f>
        <v>0</v>
      </c>
      <c r="F267">
        <f>IF('10_Analysis_Ready'!$A$250="",0,IF(AND('10_Analysis_Ready'!$AO$250="NO",COUNTIF('10_Analysis_Ready'!$AP$250:$AU$250,"YES")&gt;0),1,0))</f>
        <v>0</v>
      </c>
      <c r="G267">
        <f>IF('10_Analysis_Ready'!$A$250="",0,IF(OR(AND('10_Analysis_Ready'!$Y$250="GAN",'10_Analysis_Ready'!$AA$250="YES"),AND('10_Analysis_Ready'!$Y$250="DIFFUSION",'10_Analysis_Ready'!$Z$250="YES"),AND('10_Analysis_Ready'!$Y$250="GAN+DIFFUSION",OR('10_Analysis_Ready'!$Z$250&lt;&gt;"YES",'10_Analysis_Ready'!$AA$250&lt;&gt;"YES"))),1,0))</f>
        <v>0</v>
      </c>
      <c r="H267">
        <f>IF('10_Analysis_Ready'!$A$250="",0,IF(OR(AND('10_Analysis_Ready'!$BJ$250="NO",OR('10_Analysis_Ready'!$BK$250="HIGH",'10_Analysis_Ready'!$BK$250="VERY HIGH")),AND(((OR('10_Analysis_Ready'!$AG$250="YES",'10_Analysis_Ready'!$AH$250="YES"))*1+('10_Analysis_Ready'!$AI$250="YES")+('10_Analysis_Ready'!$AJ$250="YES")+('10_Analysis_Ready'!$AK$250="YES")+('10_Analysis_Ready'!$AL$250="YES"))=0,'10_Analysis_Ready'!$BJ$250="YES")),1,0))</f>
        <v>0</v>
      </c>
      <c r="I267">
        <f>IF('10_Analysis_Ready'!$A$250="",0,IF(AND(((OR('10_Analysis_Ready'!$AG$250="YES",'10_Analysis_Ready'!$AH$250="YES"))*1+('10_Analysis_Ready'!$AI$250="YES")+('10_Analysis_Ready'!$AJ$250="YES")+('10_Analysis_Ready'!$AK$250="YES")+('10_Analysis_Ready'!$AL$250="YES"))=0,'10_Analysis_Ready'!$AM$250&lt;&gt;"N/A"),1,0))</f>
        <v>0</v>
      </c>
      <c r="J267">
        <f>IF('10_Analysis_Ready'!$A$250="",0,IF(('28_Taxonomy_Coding'!$G$250="NONE")&lt;&gt;(((OR('10_Analysis_Ready'!$AG$250="YES",'10_Analysis_Ready'!$AH$250="YES"))*1+('10_Analysis_Ready'!$AI$250="YES")+('10_Analysis_Ready'!$AJ$250="YES")+('10_Analysis_Ready'!$AK$250="YES")+('10_Analysis_Ready'!$AL$250="YES"))=0),1,0))</f>
        <v>0</v>
      </c>
    </row>
    <row r="268" spans="1:10">
      <c r="A268">
        <v>251</v>
      </c>
      <c r="B268" t="str">
        <f>IF('10_Analysis_Ready'!$A$251="","",'10_Analysis_Ready'!$A$251)</f>
        <v/>
      </c>
      <c r="C268">
        <f>IF('10_Analysis_Ready'!$A$251="",0,IF(AND('28_Taxonomy_Coding'!$A$251='10_Analysis_Ready'!$A$251,'14_Generalization_Map'!$A$251='10_Analysis_Ready'!$A$251),0,1))</f>
        <v>0</v>
      </c>
      <c r="D268">
        <f>IF('10_Analysis_Ready'!$A$251="",0,IF(COUNTIFS('06_Full_Text_Screening'!$A:$A,'10_Analysis_Ready'!$A$251,'06_Full_Text_Screening'!$J:$J,"INCLUDE")=1,0,1))</f>
        <v>0</v>
      </c>
      <c r="E268">
        <f>IF('10_Analysis_Ready'!$A$251="",0,IF(OR(AND(((OR('10_Analysis_Ready'!$AG$251="YES",'10_Analysis_Ready'!$AH$251="YES"))*1+('10_Analysis_Ready'!$AI$251="YES")+('10_Analysis_Ready'!$AJ$251="YES")+('10_Analysis_Ready'!$AK$251="YES")+('10_Analysis_Ready'!$AL$251="YES"))=0,'10_Analysis_Ready'!$AF$251&lt;&gt;"NONE"),AND(((OR('10_Analysis_Ready'!$AG$251="YES",'10_Analysis_Ready'!$AH$251="YES"))*1+('10_Analysis_Ready'!$AI$251="YES")+('10_Analysis_Ready'!$AJ$251="YES")+('10_Analysis_Ready'!$AK$251="YES")+('10_Analysis_Ready'!$AL$251="YES"))=1,OR('10_Analysis_Ready'!$AF$251="NONE",'10_Analysis_Ready'!$AF$251="MULTIPLE")),AND(((OR('10_Analysis_Ready'!$AG$251="YES",'10_Analysis_Ready'!$AH$251="YES"))*1+('10_Analysis_Ready'!$AI$251="YES")+('10_Analysis_Ready'!$AJ$251="YES")+('10_Analysis_Ready'!$AK$251="YES")+('10_Analysis_Ready'!$AL$251="YES"))&gt;=2,'10_Analysis_Ready'!$AF$251&lt;&gt;"MULTIPLE")),1,0))</f>
        <v>0</v>
      </c>
      <c r="F268">
        <f>IF('10_Analysis_Ready'!$A$251="",0,IF(AND('10_Analysis_Ready'!$AO$251="NO",COUNTIF('10_Analysis_Ready'!$AP$251:$AU$251,"YES")&gt;0),1,0))</f>
        <v>0</v>
      </c>
      <c r="G268">
        <f>IF('10_Analysis_Ready'!$A$251="",0,IF(OR(AND('10_Analysis_Ready'!$Y$251="GAN",'10_Analysis_Ready'!$AA$251="YES"),AND('10_Analysis_Ready'!$Y$251="DIFFUSION",'10_Analysis_Ready'!$Z$251="YES"),AND('10_Analysis_Ready'!$Y$251="GAN+DIFFUSION",OR('10_Analysis_Ready'!$Z$251&lt;&gt;"YES",'10_Analysis_Ready'!$AA$251&lt;&gt;"YES"))),1,0))</f>
        <v>0</v>
      </c>
      <c r="H268">
        <f>IF('10_Analysis_Ready'!$A$251="",0,IF(OR(AND('10_Analysis_Ready'!$BJ$251="NO",OR('10_Analysis_Ready'!$BK$251="HIGH",'10_Analysis_Ready'!$BK$251="VERY HIGH")),AND(((OR('10_Analysis_Ready'!$AG$251="YES",'10_Analysis_Ready'!$AH$251="YES"))*1+('10_Analysis_Ready'!$AI$251="YES")+('10_Analysis_Ready'!$AJ$251="YES")+('10_Analysis_Ready'!$AK$251="YES")+('10_Analysis_Ready'!$AL$251="YES"))=0,'10_Analysis_Ready'!$BJ$251="YES")),1,0))</f>
        <v>0</v>
      </c>
      <c r="I268">
        <f>IF('10_Analysis_Ready'!$A$251="",0,IF(AND(((OR('10_Analysis_Ready'!$AG$251="YES",'10_Analysis_Ready'!$AH$251="YES"))*1+('10_Analysis_Ready'!$AI$251="YES")+('10_Analysis_Ready'!$AJ$251="YES")+('10_Analysis_Ready'!$AK$251="YES")+('10_Analysis_Ready'!$AL$251="YES"))=0,'10_Analysis_Ready'!$AM$251&lt;&gt;"N/A"),1,0))</f>
        <v>0</v>
      </c>
      <c r="J268">
        <f>IF('10_Analysis_Ready'!$A$251="",0,IF(('28_Taxonomy_Coding'!$G$251="NONE")&lt;&gt;(((OR('10_Analysis_Ready'!$AG$251="YES",'10_Analysis_Ready'!$AH$251="YES"))*1+('10_Analysis_Ready'!$AI$251="YES")+('10_Analysis_Ready'!$AJ$251="YES")+('10_Analysis_Ready'!$AK$251="YES")+('10_Analysis_Ready'!$AL$251="YES"))=0),1,0))</f>
        <v>0</v>
      </c>
    </row>
    <row r="269" spans="1:10">
      <c r="A269">
        <v>252</v>
      </c>
      <c r="B269" t="str">
        <f>IF('10_Analysis_Ready'!$A$252="","",'10_Analysis_Ready'!$A$252)</f>
        <v/>
      </c>
      <c r="C269">
        <f>IF('10_Analysis_Ready'!$A$252="",0,IF(AND('28_Taxonomy_Coding'!$A$252='10_Analysis_Ready'!$A$252,'14_Generalization_Map'!$A$252='10_Analysis_Ready'!$A$252),0,1))</f>
        <v>0</v>
      </c>
      <c r="D269">
        <f>IF('10_Analysis_Ready'!$A$252="",0,IF(COUNTIFS('06_Full_Text_Screening'!$A:$A,'10_Analysis_Ready'!$A$252,'06_Full_Text_Screening'!$J:$J,"INCLUDE")=1,0,1))</f>
        <v>0</v>
      </c>
      <c r="E269">
        <f>IF('10_Analysis_Ready'!$A$252="",0,IF(OR(AND(((OR('10_Analysis_Ready'!$AG$252="YES",'10_Analysis_Ready'!$AH$252="YES"))*1+('10_Analysis_Ready'!$AI$252="YES")+('10_Analysis_Ready'!$AJ$252="YES")+('10_Analysis_Ready'!$AK$252="YES")+('10_Analysis_Ready'!$AL$252="YES"))=0,'10_Analysis_Ready'!$AF$252&lt;&gt;"NONE"),AND(((OR('10_Analysis_Ready'!$AG$252="YES",'10_Analysis_Ready'!$AH$252="YES"))*1+('10_Analysis_Ready'!$AI$252="YES")+('10_Analysis_Ready'!$AJ$252="YES")+('10_Analysis_Ready'!$AK$252="YES")+('10_Analysis_Ready'!$AL$252="YES"))=1,OR('10_Analysis_Ready'!$AF$252="NONE",'10_Analysis_Ready'!$AF$252="MULTIPLE")),AND(((OR('10_Analysis_Ready'!$AG$252="YES",'10_Analysis_Ready'!$AH$252="YES"))*1+('10_Analysis_Ready'!$AI$252="YES")+('10_Analysis_Ready'!$AJ$252="YES")+('10_Analysis_Ready'!$AK$252="YES")+('10_Analysis_Ready'!$AL$252="YES"))&gt;=2,'10_Analysis_Ready'!$AF$252&lt;&gt;"MULTIPLE")),1,0))</f>
        <v>0</v>
      </c>
      <c r="F269">
        <f>IF('10_Analysis_Ready'!$A$252="",0,IF(AND('10_Analysis_Ready'!$AO$252="NO",COUNTIF('10_Analysis_Ready'!$AP$252:$AU$252,"YES")&gt;0),1,0))</f>
        <v>0</v>
      </c>
      <c r="G269">
        <f>IF('10_Analysis_Ready'!$A$252="",0,IF(OR(AND('10_Analysis_Ready'!$Y$252="GAN",'10_Analysis_Ready'!$AA$252="YES"),AND('10_Analysis_Ready'!$Y$252="DIFFUSION",'10_Analysis_Ready'!$Z$252="YES"),AND('10_Analysis_Ready'!$Y$252="GAN+DIFFUSION",OR('10_Analysis_Ready'!$Z$252&lt;&gt;"YES",'10_Analysis_Ready'!$AA$252&lt;&gt;"YES"))),1,0))</f>
        <v>0</v>
      </c>
      <c r="H269">
        <f>IF('10_Analysis_Ready'!$A$252="",0,IF(OR(AND('10_Analysis_Ready'!$BJ$252="NO",OR('10_Analysis_Ready'!$BK$252="HIGH",'10_Analysis_Ready'!$BK$252="VERY HIGH")),AND(((OR('10_Analysis_Ready'!$AG$252="YES",'10_Analysis_Ready'!$AH$252="YES"))*1+('10_Analysis_Ready'!$AI$252="YES")+('10_Analysis_Ready'!$AJ$252="YES")+('10_Analysis_Ready'!$AK$252="YES")+('10_Analysis_Ready'!$AL$252="YES"))=0,'10_Analysis_Ready'!$BJ$252="YES")),1,0))</f>
        <v>0</v>
      </c>
      <c r="I269">
        <f>IF('10_Analysis_Ready'!$A$252="",0,IF(AND(((OR('10_Analysis_Ready'!$AG$252="YES",'10_Analysis_Ready'!$AH$252="YES"))*1+('10_Analysis_Ready'!$AI$252="YES")+('10_Analysis_Ready'!$AJ$252="YES")+('10_Analysis_Ready'!$AK$252="YES")+('10_Analysis_Ready'!$AL$252="YES"))=0,'10_Analysis_Ready'!$AM$252&lt;&gt;"N/A"),1,0))</f>
        <v>0</v>
      </c>
      <c r="J269">
        <f>IF('10_Analysis_Ready'!$A$252="",0,IF(('28_Taxonomy_Coding'!$G$252="NONE")&lt;&gt;(((OR('10_Analysis_Ready'!$AG$252="YES",'10_Analysis_Ready'!$AH$252="YES"))*1+('10_Analysis_Ready'!$AI$252="YES")+('10_Analysis_Ready'!$AJ$252="YES")+('10_Analysis_Ready'!$AK$252="YES")+('10_Analysis_Ready'!$AL$252="YES"))=0),1,0))</f>
        <v>0</v>
      </c>
    </row>
    <row r="270" spans="1:10">
      <c r="A270">
        <v>253</v>
      </c>
      <c r="B270" t="str">
        <f>IF('10_Analysis_Ready'!$A$253="","",'10_Analysis_Ready'!$A$253)</f>
        <v/>
      </c>
      <c r="C270">
        <f>IF('10_Analysis_Ready'!$A$253="",0,IF(AND('28_Taxonomy_Coding'!$A$253='10_Analysis_Ready'!$A$253,'14_Generalization_Map'!$A$253='10_Analysis_Ready'!$A$253),0,1))</f>
        <v>0</v>
      </c>
      <c r="D270">
        <f>IF('10_Analysis_Ready'!$A$253="",0,IF(COUNTIFS('06_Full_Text_Screening'!$A:$A,'10_Analysis_Ready'!$A$253,'06_Full_Text_Screening'!$J:$J,"INCLUDE")=1,0,1))</f>
        <v>0</v>
      </c>
      <c r="E270">
        <f>IF('10_Analysis_Ready'!$A$253="",0,IF(OR(AND(((OR('10_Analysis_Ready'!$AG$253="YES",'10_Analysis_Ready'!$AH$253="YES"))*1+('10_Analysis_Ready'!$AI$253="YES")+('10_Analysis_Ready'!$AJ$253="YES")+('10_Analysis_Ready'!$AK$253="YES")+('10_Analysis_Ready'!$AL$253="YES"))=0,'10_Analysis_Ready'!$AF$253&lt;&gt;"NONE"),AND(((OR('10_Analysis_Ready'!$AG$253="YES",'10_Analysis_Ready'!$AH$253="YES"))*1+('10_Analysis_Ready'!$AI$253="YES")+('10_Analysis_Ready'!$AJ$253="YES")+('10_Analysis_Ready'!$AK$253="YES")+('10_Analysis_Ready'!$AL$253="YES"))=1,OR('10_Analysis_Ready'!$AF$253="NONE",'10_Analysis_Ready'!$AF$253="MULTIPLE")),AND(((OR('10_Analysis_Ready'!$AG$253="YES",'10_Analysis_Ready'!$AH$253="YES"))*1+('10_Analysis_Ready'!$AI$253="YES")+('10_Analysis_Ready'!$AJ$253="YES")+('10_Analysis_Ready'!$AK$253="YES")+('10_Analysis_Ready'!$AL$253="YES"))&gt;=2,'10_Analysis_Ready'!$AF$253&lt;&gt;"MULTIPLE")),1,0))</f>
        <v>0</v>
      </c>
      <c r="F270">
        <f>IF('10_Analysis_Ready'!$A$253="",0,IF(AND('10_Analysis_Ready'!$AO$253="NO",COUNTIF('10_Analysis_Ready'!$AP$253:$AU$253,"YES")&gt;0),1,0))</f>
        <v>0</v>
      </c>
      <c r="G270">
        <f>IF('10_Analysis_Ready'!$A$253="",0,IF(OR(AND('10_Analysis_Ready'!$Y$253="GAN",'10_Analysis_Ready'!$AA$253="YES"),AND('10_Analysis_Ready'!$Y$253="DIFFUSION",'10_Analysis_Ready'!$Z$253="YES"),AND('10_Analysis_Ready'!$Y$253="GAN+DIFFUSION",OR('10_Analysis_Ready'!$Z$253&lt;&gt;"YES",'10_Analysis_Ready'!$AA$253&lt;&gt;"YES"))),1,0))</f>
        <v>0</v>
      </c>
      <c r="H270">
        <f>IF('10_Analysis_Ready'!$A$253="",0,IF(OR(AND('10_Analysis_Ready'!$BJ$253="NO",OR('10_Analysis_Ready'!$BK$253="HIGH",'10_Analysis_Ready'!$BK$253="VERY HIGH")),AND(((OR('10_Analysis_Ready'!$AG$253="YES",'10_Analysis_Ready'!$AH$253="YES"))*1+('10_Analysis_Ready'!$AI$253="YES")+('10_Analysis_Ready'!$AJ$253="YES")+('10_Analysis_Ready'!$AK$253="YES")+('10_Analysis_Ready'!$AL$253="YES"))=0,'10_Analysis_Ready'!$BJ$253="YES")),1,0))</f>
        <v>0</v>
      </c>
      <c r="I270">
        <f>IF('10_Analysis_Ready'!$A$253="",0,IF(AND(((OR('10_Analysis_Ready'!$AG$253="YES",'10_Analysis_Ready'!$AH$253="YES"))*1+('10_Analysis_Ready'!$AI$253="YES")+('10_Analysis_Ready'!$AJ$253="YES")+('10_Analysis_Ready'!$AK$253="YES")+('10_Analysis_Ready'!$AL$253="YES"))=0,'10_Analysis_Ready'!$AM$253&lt;&gt;"N/A"),1,0))</f>
        <v>0</v>
      </c>
      <c r="J270">
        <f>IF('10_Analysis_Ready'!$A$253="",0,IF(('28_Taxonomy_Coding'!$G$253="NONE")&lt;&gt;(((OR('10_Analysis_Ready'!$AG$253="YES",'10_Analysis_Ready'!$AH$253="YES"))*1+('10_Analysis_Ready'!$AI$253="YES")+('10_Analysis_Ready'!$AJ$253="YES")+('10_Analysis_Ready'!$AK$253="YES")+('10_Analysis_Ready'!$AL$253="YES"))=0),1,0))</f>
        <v>0</v>
      </c>
    </row>
    <row r="271" spans="1:10">
      <c r="A271">
        <v>254</v>
      </c>
      <c r="B271" t="str">
        <f>IF('10_Analysis_Ready'!$A$254="","",'10_Analysis_Ready'!$A$254)</f>
        <v/>
      </c>
      <c r="C271">
        <f>IF('10_Analysis_Ready'!$A$254="",0,IF(AND('28_Taxonomy_Coding'!$A$254='10_Analysis_Ready'!$A$254,'14_Generalization_Map'!$A$254='10_Analysis_Ready'!$A$254),0,1))</f>
        <v>0</v>
      </c>
      <c r="D271">
        <f>IF('10_Analysis_Ready'!$A$254="",0,IF(COUNTIFS('06_Full_Text_Screening'!$A:$A,'10_Analysis_Ready'!$A$254,'06_Full_Text_Screening'!$J:$J,"INCLUDE")=1,0,1))</f>
        <v>0</v>
      </c>
      <c r="E271">
        <f>IF('10_Analysis_Ready'!$A$254="",0,IF(OR(AND(((OR('10_Analysis_Ready'!$AG$254="YES",'10_Analysis_Ready'!$AH$254="YES"))*1+('10_Analysis_Ready'!$AI$254="YES")+('10_Analysis_Ready'!$AJ$254="YES")+('10_Analysis_Ready'!$AK$254="YES")+('10_Analysis_Ready'!$AL$254="YES"))=0,'10_Analysis_Ready'!$AF$254&lt;&gt;"NONE"),AND(((OR('10_Analysis_Ready'!$AG$254="YES",'10_Analysis_Ready'!$AH$254="YES"))*1+('10_Analysis_Ready'!$AI$254="YES")+('10_Analysis_Ready'!$AJ$254="YES")+('10_Analysis_Ready'!$AK$254="YES")+('10_Analysis_Ready'!$AL$254="YES"))=1,OR('10_Analysis_Ready'!$AF$254="NONE",'10_Analysis_Ready'!$AF$254="MULTIPLE")),AND(((OR('10_Analysis_Ready'!$AG$254="YES",'10_Analysis_Ready'!$AH$254="YES"))*1+('10_Analysis_Ready'!$AI$254="YES")+('10_Analysis_Ready'!$AJ$254="YES")+('10_Analysis_Ready'!$AK$254="YES")+('10_Analysis_Ready'!$AL$254="YES"))&gt;=2,'10_Analysis_Ready'!$AF$254&lt;&gt;"MULTIPLE")),1,0))</f>
        <v>0</v>
      </c>
      <c r="F271">
        <f>IF('10_Analysis_Ready'!$A$254="",0,IF(AND('10_Analysis_Ready'!$AO$254="NO",COUNTIF('10_Analysis_Ready'!$AP$254:$AU$254,"YES")&gt;0),1,0))</f>
        <v>0</v>
      </c>
      <c r="G271">
        <f>IF('10_Analysis_Ready'!$A$254="",0,IF(OR(AND('10_Analysis_Ready'!$Y$254="GAN",'10_Analysis_Ready'!$AA$254="YES"),AND('10_Analysis_Ready'!$Y$254="DIFFUSION",'10_Analysis_Ready'!$Z$254="YES"),AND('10_Analysis_Ready'!$Y$254="GAN+DIFFUSION",OR('10_Analysis_Ready'!$Z$254&lt;&gt;"YES",'10_Analysis_Ready'!$AA$254&lt;&gt;"YES"))),1,0))</f>
        <v>0</v>
      </c>
      <c r="H271">
        <f>IF('10_Analysis_Ready'!$A$254="",0,IF(OR(AND('10_Analysis_Ready'!$BJ$254="NO",OR('10_Analysis_Ready'!$BK$254="HIGH",'10_Analysis_Ready'!$BK$254="VERY HIGH")),AND(((OR('10_Analysis_Ready'!$AG$254="YES",'10_Analysis_Ready'!$AH$254="YES"))*1+('10_Analysis_Ready'!$AI$254="YES")+('10_Analysis_Ready'!$AJ$254="YES")+('10_Analysis_Ready'!$AK$254="YES")+('10_Analysis_Ready'!$AL$254="YES"))=0,'10_Analysis_Ready'!$BJ$254="YES")),1,0))</f>
        <v>0</v>
      </c>
      <c r="I271">
        <f>IF('10_Analysis_Ready'!$A$254="",0,IF(AND(((OR('10_Analysis_Ready'!$AG$254="YES",'10_Analysis_Ready'!$AH$254="YES"))*1+('10_Analysis_Ready'!$AI$254="YES")+('10_Analysis_Ready'!$AJ$254="YES")+('10_Analysis_Ready'!$AK$254="YES")+('10_Analysis_Ready'!$AL$254="YES"))=0,'10_Analysis_Ready'!$AM$254&lt;&gt;"N/A"),1,0))</f>
        <v>0</v>
      </c>
      <c r="J271">
        <f>IF('10_Analysis_Ready'!$A$254="",0,IF(('28_Taxonomy_Coding'!$G$254="NONE")&lt;&gt;(((OR('10_Analysis_Ready'!$AG$254="YES",'10_Analysis_Ready'!$AH$254="YES"))*1+('10_Analysis_Ready'!$AI$254="YES")+('10_Analysis_Ready'!$AJ$254="YES")+('10_Analysis_Ready'!$AK$254="YES")+('10_Analysis_Ready'!$AL$254="YES"))=0),1,0))</f>
        <v>0</v>
      </c>
    </row>
    <row r="272" spans="1:10">
      <c r="A272">
        <v>255</v>
      </c>
      <c r="B272" t="str">
        <f>IF('10_Analysis_Ready'!$A$255="","",'10_Analysis_Ready'!$A$255)</f>
        <v/>
      </c>
      <c r="C272">
        <f>IF('10_Analysis_Ready'!$A$255="",0,IF(AND('28_Taxonomy_Coding'!$A$255='10_Analysis_Ready'!$A$255,'14_Generalization_Map'!$A$255='10_Analysis_Ready'!$A$255),0,1))</f>
        <v>0</v>
      </c>
      <c r="D272">
        <f>IF('10_Analysis_Ready'!$A$255="",0,IF(COUNTIFS('06_Full_Text_Screening'!$A:$A,'10_Analysis_Ready'!$A$255,'06_Full_Text_Screening'!$J:$J,"INCLUDE")=1,0,1))</f>
        <v>0</v>
      </c>
      <c r="E272">
        <f>IF('10_Analysis_Ready'!$A$255="",0,IF(OR(AND(((OR('10_Analysis_Ready'!$AG$255="YES",'10_Analysis_Ready'!$AH$255="YES"))*1+('10_Analysis_Ready'!$AI$255="YES")+('10_Analysis_Ready'!$AJ$255="YES")+('10_Analysis_Ready'!$AK$255="YES")+('10_Analysis_Ready'!$AL$255="YES"))=0,'10_Analysis_Ready'!$AF$255&lt;&gt;"NONE"),AND(((OR('10_Analysis_Ready'!$AG$255="YES",'10_Analysis_Ready'!$AH$255="YES"))*1+('10_Analysis_Ready'!$AI$255="YES")+('10_Analysis_Ready'!$AJ$255="YES")+('10_Analysis_Ready'!$AK$255="YES")+('10_Analysis_Ready'!$AL$255="YES"))=1,OR('10_Analysis_Ready'!$AF$255="NONE",'10_Analysis_Ready'!$AF$255="MULTIPLE")),AND(((OR('10_Analysis_Ready'!$AG$255="YES",'10_Analysis_Ready'!$AH$255="YES"))*1+('10_Analysis_Ready'!$AI$255="YES")+('10_Analysis_Ready'!$AJ$255="YES")+('10_Analysis_Ready'!$AK$255="YES")+('10_Analysis_Ready'!$AL$255="YES"))&gt;=2,'10_Analysis_Ready'!$AF$255&lt;&gt;"MULTIPLE")),1,0))</f>
        <v>0</v>
      </c>
      <c r="F272">
        <f>IF('10_Analysis_Ready'!$A$255="",0,IF(AND('10_Analysis_Ready'!$AO$255="NO",COUNTIF('10_Analysis_Ready'!$AP$255:$AU$255,"YES")&gt;0),1,0))</f>
        <v>0</v>
      </c>
      <c r="G272">
        <f>IF('10_Analysis_Ready'!$A$255="",0,IF(OR(AND('10_Analysis_Ready'!$Y$255="GAN",'10_Analysis_Ready'!$AA$255="YES"),AND('10_Analysis_Ready'!$Y$255="DIFFUSION",'10_Analysis_Ready'!$Z$255="YES"),AND('10_Analysis_Ready'!$Y$255="GAN+DIFFUSION",OR('10_Analysis_Ready'!$Z$255&lt;&gt;"YES",'10_Analysis_Ready'!$AA$255&lt;&gt;"YES"))),1,0))</f>
        <v>0</v>
      </c>
      <c r="H272">
        <f>IF('10_Analysis_Ready'!$A$255="",0,IF(OR(AND('10_Analysis_Ready'!$BJ$255="NO",OR('10_Analysis_Ready'!$BK$255="HIGH",'10_Analysis_Ready'!$BK$255="VERY HIGH")),AND(((OR('10_Analysis_Ready'!$AG$255="YES",'10_Analysis_Ready'!$AH$255="YES"))*1+('10_Analysis_Ready'!$AI$255="YES")+('10_Analysis_Ready'!$AJ$255="YES")+('10_Analysis_Ready'!$AK$255="YES")+('10_Analysis_Ready'!$AL$255="YES"))=0,'10_Analysis_Ready'!$BJ$255="YES")),1,0))</f>
        <v>0</v>
      </c>
      <c r="I272">
        <f>IF('10_Analysis_Ready'!$A$255="",0,IF(AND(((OR('10_Analysis_Ready'!$AG$255="YES",'10_Analysis_Ready'!$AH$255="YES"))*1+('10_Analysis_Ready'!$AI$255="YES")+('10_Analysis_Ready'!$AJ$255="YES")+('10_Analysis_Ready'!$AK$255="YES")+('10_Analysis_Ready'!$AL$255="YES"))=0,'10_Analysis_Ready'!$AM$255&lt;&gt;"N/A"),1,0))</f>
        <v>0</v>
      </c>
      <c r="J272">
        <f>IF('10_Analysis_Ready'!$A$255="",0,IF(('28_Taxonomy_Coding'!$G$255="NONE")&lt;&gt;(((OR('10_Analysis_Ready'!$AG$255="YES",'10_Analysis_Ready'!$AH$255="YES"))*1+('10_Analysis_Ready'!$AI$255="YES")+('10_Analysis_Ready'!$AJ$255="YES")+('10_Analysis_Ready'!$AK$255="YES")+('10_Analysis_Ready'!$AL$255="YES"))=0),1,0))</f>
        <v>0</v>
      </c>
    </row>
    <row r="273" spans="1:10">
      <c r="A273">
        <v>256</v>
      </c>
      <c r="B273" t="str">
        <f>IF('10_Analysis_Ready'!$A$256="","",'10_Analysis_Ready'!$A$256)</f>
        <v/>
      </c>
      <c r="C273">
        <f>IF('10_Analysis_Ready'!$A$256="",0,IF(AND('28_Taxonomy_Coding'!$A$256='10_Analysis_Ready'!$A$256,'14_Generalization_Map'!$A$256='10_Analysis_Ready'!$A$256),0,1))</f>
        <v>0</v>
      </c>
      <c r="D273">
        <f>IF('10_Analysis_Ready'!$A$256="",0,IF(COUNTIFS('06_Full_Text_Screening'!$A:$A,'10_Analysis_Ready'!$A$256,'06_Full_Text_Screening'!$J:$J,"INCLUDE")=1,0,1))</f>
        <v>0</v>
      </c>
      <c r="E273">
        <f>IF('10_Analysis_Ready'!$A$256="",0,IF(OR(AND(((OR('10_Analysis_Ready'!$AG$256="YES",'10_Analysis_Ready'!$AH$256="YES"))*1+('10_Analysis_Ready'!$AI$256="YES")+('10_Analysis_Ready'!$AJ$256="YES")+('10_Analysis_Ready'!$AK$256="YES")+('10_Analysis_Ready'!$AL$256="YES"))=0,'10_Analysis_Ready'!$AF$256&lt;&gt;"NONE"),AND(((OR('10_Analysis_Ready'!$AG$256="YES",'10_Analysis_Ready'!$AH$256="YES"))*1+('10_Analysis_Ready'!$AI$256="YES")+('10_Analysis_Ready'!$AJ$256="YES")+('10_Analysis_Ready'!$AK$256="YES")+('10_Analysis_Ready'!$AL$256="YES"))=1,OR('10_Analysis_Ready'!$AF$256="NONE",'10_Analysis_Ready'!$AF$256="MULTIPLE")),AND(((OR('10_Analysis_Ready'!$AG$256="YES",'10_Analysis_Ready'!$AH$256="YES"))*1+('10_Analysis_Ready'!$AI$256="YES")+('10_Analysis_Ready'!$AJ$256="YES")+('10_Analysis_Ready'!$AK$256="YES")+('10_Analysis_Ready'!$AL$256="YES"))&gt;=2,'10_Analysis_Ready'!$AF$256&lt;&gt;"MULTIPLE")),1,0))</f>
        <v>0</v>
      </c>
      <c r="F273">
        <f>IF('10_Analysis_Ready'!$A$256="",0,IF(AND('10_Analysis_Ready'!$AO$256="NO",COUNTIF('10_Analysis_Ready'!$AP$256:$AU$256,"YES")&gt;0),1,0))</f>
        <v>0</v>
      </c>
      <c r="G273">
        <f>IF('10_Analysis_Ready'!$A$256="",0,IF(OR(AND('10_Analysis_Ready'!$Y$256="GAN",'10_Analysis_Ready'!$AA$256="YES"),AND('10_Analysis_Ready'!$Y$256="DIFFUSION",'10_Analysis_Ready'!$Z$256="YES"),AND('10_Analysis_Ready'!$Y$256="GAN+DIFFUSION",OR('10_Analysis_Ready'!$Z$256&lt;&gt;"YES",'10_Analysis_Ready'!$AA$256&lt;&gt;"YES"))),1,0))</f>
        <v>0</v>
      </c>
      <c r="H273">
        <f>IF('10_Analysis_Ready'!$A$256="",0,IF(OR(AND('10_Analysis_Ready'!$BJ$256="NO",OR('10_Analysis_Ready'!$BK$256="HIGH",'10_Analysis_Ready'!$BK$256="VERY HIGH")),AND(((OR('10_Analysis_Ready'!$AG$256="YES",'10_Analysis_Ready'!$AH$256="YES"))*1+('10_Analysis_Ready'!$AI$256="YES")+('10_Analysis_Ready'!$AJ$256="YES")+('10_Analysis_Ready'!$AK$256="YES")+('10_Analysis_Ready'!$AL$256="YES"))=0,'10_Analysis_Ready'!$BJ$256="YES")),1,0))</f>
        <v>0</v>
      </c>
      <c r="I273">
        <f>IF('10_Analysis_Ready'!$A$256="",0,IF(AND(((OR('10_Analysis_Ready'!$AG$256="YES",'10_Analysis_Ready'!$AH$256="YES"))*1+('10_Analysis_Ready'!$AI$256="YES")+('10_Analysis_Ready'!$AJ$256="YES")+('10_Analysis_Ready'!$AK$256="YES")+('10_Analysis_Ready'!$AL$256="YES"))=0,'10_Analysis_Ready'!$AM$256&lt;&gt;"N/A"),1,0))</f>
        <v>0</v>
      </c>
      <c r="J273">
        <f>IF('10_Analysis_Ready'!$A$256="",0,IF(('28_Taxonomy_Coding'!$G$256="NONE")&lt;&gt;(((OR('10_Analysis_Ready'!$AG$256="YES",'10_Analysis_Ready'!$AH$256="YES"))*1+('10_Analysis_Ready'!$AI$256="YES")+('10_Analysis_Ready'!$AJ$256="YES")+('10_Analysis_Ready'!$AK$256="YES")+('10_Analysis_Ready'!$AL$256="YES"))=0),1,0))</f>
        <v>0</v>
      </c>
    </row>
    <row r="274" spans="1:10">
      <c r="A274">
        <v>257</v>
      </c>
      <c r="B274" t="str">
        <f>IF('10_Analysis_Ready'!$A$257="","",'10_Analysis_Ready'!$A$257)</f>
        <v/>
      </c>
      <c r="C274">
        <f>IF('10_Analysis_Ready'!$A$257="",0,IF(AND('28_Taxonomy_Coding'!$A$257='10_Analysis_Ready'!$A$257,'14_Generalization_Map'!$A$257='10_Analysis_Ready'!$A$257),0,1))</f>
        <v>0</v>
      </c>
      <c r="D274">
        <f>IF('10_Analysis_Ready'!$A$257="",0,IF(COUNTIFS('06_Full_Text_Screening'!$A:$A,'10_Analysis_Ready'!$A$257,'06_Full_Text_Screening'!$J:$J,"INCLUDE")=1,0,1))</f>
        <v>0</v>
      </c>
      <c r="E274">
        <f>IF('10_Analysis_Ready'!$A$257="",0,IF(OR(AND(((OR('10_Analysis_Ready'!$AG$257="YES",'10_Analysis_Ready'!$AH$257="YES"))*1+('10_Analysis_Ready'!$AI$257="YES")+('10_Analysis_Ready'!$AJ$257="YES")+('10_Analysis_Ready'!$AK$257="YES")+('10_Analysis_Ready'!$AL$257="YES"))=0,'10_Analysis_Ready'!$AF$257&lt;&gt;"NONE"),AND(((OR('10_Analysis_Ready'!$AG$257="YES",'10_Analysis_Ready'!$AH$257="YES"))*1+('10_Analysis_Ready'!$AI$257="YES")+('10_Analysis_Ready'!$AJ$257="YES")+('10_Analysis_Ready'!$AK$257="YES")+('10_Analysis_Ready'!$AL$257="YES"))=1,OR('10_Analysis_Ready'!$AF$257="NONE",'10_Analysis_Ready'!$AF$257="MULTIPLE")),AND(((OR('10_Analysis_Ready'!$AG$257="YES",'10_Analysis_Ready'!$AH$257="YES"))*1+('10_Analysis_Ready'!$AI$257="YES")+('10_Analysis_Ready'!$AJ$257="YES")+('10_Analysis_Ready'!$AK$257="YES")+('10_Analysis_Ready'!$AL$257="YES"))&gt;=2,'10_Analysis_Ready'!$AF$257&lt;&gt;"MULTIPLE")),1,0))</f>
        <v>0</v>
      </c>
      <c r="F274">
        <f>IF('10_Analysis_Ready'!$A$257="",0,IF(AND('10_Analysis_Ready'!$AO$257="NO",COUNTIF('10_Analysis_Ready'!$AP$257:$AU$257,"YES")&gt;0),1,0))</f>
        <v>0</v>
      </c>
      <c r="G274">
        <f>IF('10_Analysis_Ready'!$A$257="",0,IF(OR(AND('10_Analysis_Ready'!$Y$257="GAN",'10_Analysis_Ready'!$AA$257="YES"),AND('10_Analysis_Ready'!$Y$257="DIFFUSION",'10_Analysis_Ready'!$Z$257="YES"),AND('10_Analysis_Ready'!$Y$257="GAN+DIFFUSION",OR('10_Analysis_Ready'!$Z$257&lt;&gt;"YES",'10_Analysis_Ready'!$AA$257&lt;&gt;"YES"))),1,0))</f>
        <v>0</v>
      </c>
      <c r="H274">
        <f>IF('10_Analysis_Ready'!$A$257="",0,IF(OR(AND('10_Analysis_Ready'!$BJ$257="NO",OR('10_Analysis_Ready'!$BK$257="HIGH",'10_Analysis_Ready'!$BK$257="VERY HIGH")),AND(((OR('10_Analysis_Ready'!$AG$257="YES",'10_Analysis_Ready'!$AH$257="YES"))*1+('10_Analysis_Ready'!$AI$257="YES")+('10_Analysis_Ready'!$AJ$257="YES")+('10_Analysis_Ready'!$AK$257="YES")+('10_Analysis_Ready'!$AL$257="YES"))=0,'10_Analysis_Ready'!$BJ$257="YES")),1,0))</f>
        <v>0</v>
      </c>
      <c r="I274">
        <f>IF('10_Analysis_Ready'!$A$257="",0,IF(AND(((OR('10_Analysis_Ready'!$AG$257="YES",'10_Analysis_Ready'!$AH$257="YES"))*1+('10_Analysis_Ready'!$AI$257="YES")+('10_Analysis_Ready'!$AJ$257="YES")+('10_Analysis_Ready'!$AK$257="YES")+('10_Analysis_Ready'!$AL$257="YES"))=0,'10_Analysis_Ready'!$AM$257&lt;&gt;"N/A"),1,0))</f>
        <v>0</v>
      </c>
      <c r="J274">
        <f>IF('10_Analysis_Ready'!$A$257="",0,IF(('28_Taxonomy_Coding'!$G$257="NONE")&lt;&gt;(((OR('10_Analysis_Ready'!$AG$257="YES",'10_Analysis_Ready'!$AH$257="YES"))*1+('10_Analysis_Ready'!$AI$257="YES")+('10_Analysis_Ready'!$AJ$257="YES")+('10_Analysis_Ready'!$AK$257="YES")+('10_Analysis_Ready'!$AL$257="YES"))=0),1,0))</f>
        <v>0</v>
      </c>
    </row>
    <row r="275" spans="1:10">
      <c r="A275">
        <v>258</v>
      </c>
      <c r="B275" t="str">
        <f>IF('10_Analysis_Ready'!$A$258="","",'10_Analysis_Ready'!$A$258)</f>
        <v/>
      </c>
      <c r="C275">
        <f>IF('10_Analysis_Ready'!$A$258="",0,IF(AND('28_Taxonomy_Coding'!$A$258='10_Analysis_Ready'!$A$258,'14_Generalization_Map'!$A$258='10_Analysis_Ready'!$A$258),0,1))</f>
        <v>0</v>
      </c>
      <c r="D275">
        <f>IF('10_Analysis_Ready'!$A$258="",0,IF(COUNTIFS('06_Full_Text_Screening'!$A:$A,'10_Analysis_Ready'!$A$258,'06_Full_Text_Screening'!$J:$J,"INCLUDE")=1,0,1))</f>
        <v>0</v>
      </c>
      <c r="E275">
        <f>IF('10_Analysis_Ready'!$A$258="",0,IF(OR(AND(((OR('10_Analysis_Ready'!$AG$258="YES",'10_Analysis_Ready'!$AH$258="YES"))*1+('10_Analysis_Ready'!$AI$258="YES")+('10_Analysis_Ready'!$AJ$258="YES")+('10_Analysis_Ready'!$AK$258="YES")+('10_Analysis_Ready'!$AL$258="YES"))=0,'10_Analysis_Ready'!$AF$258&lt;&gt;"NONE"),AND(((OR('10_Analysis_Ready'!$AG$258="YES",'10_Analysis_Ready'!$AH$258="YES"))*1+('10_Analysis_Ready'!$AI$258="YES")+('10_Analysis_Ready'!$AJ$258="YES")+('10_Analysis_Ready'!$AK$258="YES")+('10_Analysis_Ready'!$AL$258="YES"))=1,OR('10_Analysis_Ready'!$AF$258="NONE",'10_Analysis_Ready'!$AF$258="MULTIPLE")),AND(((OR('10_Analysis_Ready'!$AG$258="YES",'10_Analysis_Ready'!$AH$258="YES"))*1+('10_Analysis_Ready'!$AI$258="YES")+('10_Analysis_Ready'!$AJ$258="YES")+('10_Analysis_Ready'!$AK$258="YES")+('10_Analysis_Ready'!$AL$258="YES"))&gt;=2,'10_Analysis_Ready'!$AF$258&lt;&gt;"MULTIPLE")),1,0))</f>
        <v>0</v>
      </c>
      <c r="F275">
        <f>IF('10_Analysis_Ready'!$A$258="",0,IF(AND('10_Analysis_Ready'!$AO$258="NO",COUNTIF('10_Analysis_Ready'!$AP$258:$AU$258,"YES")&gt;0),1,0))</f>
        <v>0</v>
      </c>
      <c r="G275">
        <f>IF('10_Analysis_Ready'!$A$258="",0,IF(OR(AND('10_Analysis_Ready'!$Y$258="GAN",'10_Analysis_Ready'!$AA$258="YES"),AND('10_Analysis_Ready'!$Y$258="DIFFUSION",'10_Analysis_Ready'!$Z$258="YES"),AND('10_Analysis_Ready'!$Y$258="GAN+DIFFUSION",OR('10_Analysis_Ready'!$Z$258&lt;&gt;"YES",'10_Analysis_Ready'!$AA$258&lt;&gt;"YES"))),1,0))</f>
        <v>0</v>
      </c>
      <c r="H275">
        <f>IF('10_Analysis_Ready'!$A$258="",0,IF(OR(AND('10_Analysis_Ready'!$BJ$258="NO",OR('10_Analysis_Ready'!$BK$258="HIGH",'10_Analysis_Ready'!$BK$258="VERY HIGH")),AND(((OR('10_Analysis_Ready'!$AG$258="YES",'10_Analysis_Ready'!$AH$258="YES"))*1+('10_Analysis_Ready'!$AI$258="YES")+('10_Analysis_Ready'!$AJ$258="YES")+('10_Analysis_Ready'!$AK$258="YES")+('10_Analysis_Ready'!$AL$258="YES"))=0,'10_Analysis_Ready'!$BJ$258="YES")),1,0))</f>
        <v>0</v>
      </c>
      <c r="I275">
        <f>IF('10_Analysis_Ready'!$A$258="",0,IF(AND(((OR('10_Analysis_Ready'!$AG$258="YES",'10_Analysis_Ready'!$AH$258="YES"))*1+('10_Analysis_Ready'!$AI$258="YES")+('10_Analysis_Ready'!$AJ$258="YES")+('10_Analysis_Ready'!$AK$258="YES")+('10_Analysis_Ready'!$AL$258="YES"))=0,'10_Analysis_Ready'!$AM$258&lt;&gt;"N/A"),1,0))</f>
        <v>0</v>
      </c>
      <c r="J275">
        <f>IF('10_Analysis_Ready'!$A$258="",0,IF(('28_Taxonomy_Coding'!$G$258="NONE")&lt;&gt;(((OR('10_Analysis_Ready'!$AG$258="YES",'10_Analysis_Ready'!$AH$258="YES"))*1+('10_Analysis_Ready'!$AI$258="YES")+('10_Analysis_Ready'!$AJ$258="YES")+('10_Analysis_Ready'!$AK$258="YES")+('10_Analysis_Ready'!$AL$258="YES"))=0),1,0))</f>
        <v>0</v>
      </c>
    </row>
    <row r="276" spans="1:10">
      <c r="A276">
        <v>259</v>
      </c>
      <c r="B276" t="str">
        <f>IF('10_Analysis_Ready'!$A$259="","",'10_Analysis_Ready'!$A$259)</f>
        <v/>
      </c>
      <c r="C276">
        <f>IF('10_Analysis_Ready'!$A$259="",0,IF(AND('28_Taxonomy_Coding'!$A$259='10_Analysis_Ready'!$A$259,'14_Generalization_Map'!$A$259='10_Analysis_Ready'!$A$259),0,1))</f>
        <v>0</v>
      </c>
      <c r="D276">
        <f>IF('10_Analysis_Ready'!$A$259="",0,IF(COUNTIFS('06_Full_Text_Screening'!$A:$A,'10_Analysis_Ready'!$A$259,'06_Full_Text_Screening'!$J:$J,"INCLUDE")=1,0,1))</f>
        <v>0</v>
      </c>
      <c r="E276">
        <f>IF('10_Analysis_Ready'!$A$259="",0,IF(OR(AND(((OR('10_Analysis_Ready'!$AG$259="YES",'10_Analysis_Ready'!$AH$259="YES"))*1+('10_Analysis_Ready'!$AI$259="YES")+('10_Analysis_Ready'!$AJ$259="YES")+('10_Analysis_Ready'!$AK$259="YES")+('10_Analysis_Ready'!$AL$259="YES"))=0,'10_Analysis_Ready'!$AF$259&lt;&gt;"NONE"),AND(((OR('10_Analysis_Ready'!$AG$259="YES",'10_Analysis_Ready'!$AH$259="YES"))*1+('10_Analysis_Ready'!$AI$259="YES")+('10_Analysis_Ready'!$AJ$259="YES")+('10_Analysis_Ready'!$AK$259="YES")+('10_Analysis_Ready'!$AL$259="YES"))=1,OR('10_Analysis_Ready'!$AF$259="NONE",'10_Analysis_Ready'!$AF$259="MULTIPLE")),AND(((OR('10_Analysis_Ready'!$AG$259="YES",'10_Analysis_Ready'!$AH$259="YES"))*1+('10_Analysis_Ready'!$AI$259="YES")+('10_Analysis_Ready'!$AJ$259="YES")+('10_Analysis_Ready'!$AK$259="YES")+('10_Analysis_Ready'!$AL$259="YES"))&gt;=2,'10_Analysis_Ready'!$AF$259&lt;&gt;"MULTIPLE")),1,0))</f>
        <v>0</v>
      </c>
      <c r="F276">
        <f>IF('10_Analysis_Ready'!$A$259="",0,IF(AND('10_Analysis_Ready'!$AO$259="NO",COUNTIF('10_Analysis_Ready'!$AP$259:$AU$259,"YES")&gt;0),1,0))</f>
        <v>0</v>
      </c>
      <c r="G276">
        <f>IF('10_Analysis_Ready'!$A$259="",0,IF(OR(AND('10_Analysis_Ready'!$Y$259="GAN",'10_Analysis_Ready'!$AA$259="YES"),AND('10_Analysis_Ready'!$Y$259="DIFFUSION",'10_Analysis_Ready'!$Z$259="YES"),AND('10_Analysis_Ready'!$Y$259="GAN+DIFFUSION",OR('10_Analysis_Ready'!$Z$259&lt;&gt;"YES",'10_Analysis_Ready'!$AA$259&lt;&gt;"YES"))),1,0))</f>
        <v>0</v>
      </c>
      <c r="H276">
        <f>IF('10_Analysis_Ready'!$A$259="",0,IF(OR(AND('10_Analysis_Ready'!$BJ$259="NO",OR('10_Analysis_Ready'!$BK$259="HIGH",'10_Analysis_Ready'!$BK$259="VERY HIGH")),AND(((OR('10_Analysis_Ready'!$AG$259="YES",'10_Analysis_Ready'!$AH$259="YES"))*1+('10_Analysis_Ready'!$AI$259="YES")+('10_Analysis_Ready'!$AJ$259="YES")+('10_Analysis_Ready'!$AK$259="YES")+('10_Analysis_Ready'!$AL$259="YES"))=0,'10_Analysis_Ready'!$BJ$259="YES")),1,0))</f>
        <v>0</v>
      </c>
      <c r="I276">
        <f>IF('10_Analysis_Ready'!$A$259="",0,IF(AND(((OR('10_Analysis_Ready'!$AG$259="YES",'10_Analysis_Ready'!$AH$259="YES"))*1+('10_Analysis_Ready'!$AI$259="YES")+('10_Analysis_Ready'!$AJ$259="YES")+('10_Analysis_Ready'!$AK$259="YES")+('10_Analysis_Ready'!$AL$259="YES"))=0,'10_Analysis_Ready'!$AM$259&lt;&gt;"N/A"),1,0))</f>
        <v>0</v>
      </c>
      <c r="J276">
        <f>IF('10_Analysis_Ready'!$A$259="",0,IF(('28_Taxonomy_Coding'!$G$259="NONE")&lt;&gt;(((OR('10_Analysis_Ready'!$AG$259="YES",'10_Analysis_Ready'!$AH$259="YES"))*1+('10_Analysis_Ready'!$AI$259="YES")+('10_Analysis_Ready'!$AJ$259="YES")+('10_Analysis_Ready'!$AK$259="YES")+('10_Analysis_Ready'!$AL$259="YES"))=0),1,0))</f>
        <v>0</v>
      </c>
    </row>
    <row r="277" spans="1:10">
      <c r="A277">
        <v>260</v>
      </c>
      <c r="B277" t="str">
        <f>IF('10_Analysis_Ready'!$A$260="","",'10_Analysis_Ready'!$A$260)</f>
        <v/>
      </c>
      <c r="C277">
        <f>IF('10_Analysis_Ready'!$A$260="",0,IF(AND('28_Taxonomy_Coding'!$A$260='10_Analysis_Ready'!$A$260,'14_Generalization_Map'!$A$260='10_Analysis_Ready'!$A$260),0,1))</f>
        <v>0</v>
      </c>
      <c r="D277">
        <f>IF('10_Analysis_Ready'!$A$260="",0,IF(COUNTIFS('06_Full_Text_Screening'!$A:$A,'10_Analysis_Ready'!$A$260,'06_Full_Text_Screening'!$J:$J,"INCLUDE")=1,0,1))</f>
        <v>0</v>
      </c>
      <c r="E277">
        <f>IF('10_Analysis_Ready'!$A$260="",0,IF(OR(AND(((OR('10_Analysis_Ready'!$AG$260="YES",'10_Analysis_Ready'!$AH$260="YES"))*1+('10_Analysis_Ready'!$AI$260="YES")+('10_Analysis_Ready'!$AJ$260="YES")+('10_Analysis_Ready'!$AK$260="YES")+('10_Analysis_Ready'!$AL$260="YES"))=0,'10_Analysis_Ready'!$AF$260&lt;&gt;"NONE"),AND(((OR('10_Analysis_Ready'!$AG$260="YES",'10_Analysis_Ready'!$AH$260="YES"))*1+('10_Analysis_Ready'!$AI$260="YES")+('10_Analysis_Ready'!$AJ$260="YES")+('10_Analysis_Ready'!$AK$260="YES")+('10_Analysis_Ready'!$AL$260="YES"))=1,OR('10_Analysis_Ready'!$AF$260="NONE",'10_Analysis_Ready'!$AF$260="MULTIPLE")),AND(((OR('10_Analysis_Ready'!$AG$260="YES",'10_Analysis_Ready'!$AH$260="YES"))*1+('10_Analysis_Ready'!$AI$260="YES")+('10_Analysis_Ready'!$AJ$260="YES")+('10_Analysis_Ready'!$AK$260="YES")+('10_Analysis_Ready'!$AL$260="YES"))&gt;=2,'10_Analysis_Ready'!$AF$260&lt;&gt;"MULTIPLE")),1,0))</f>
        <v>0</v>
      </c>
      <c r="F277">
        <f>IF('10_Analysis_Ready'!$A$260="",0,IF(AND('10_Analysis_Ready'!$AO$260="NO",COUNTIF('10_Analysis_Ready'!$AP$260:$AU$260,"YES")&gt;0),1,0))</f>
        <v>0</v>
      </c>
      <c r="G277">
        <f>IF('10_Analysis_Ready'!$A$260="",0,IF(OR(AND('10_Analysis_Ready'!$Y$260="GAN",'10_Analysis_Ready'!$AA$260="YES"),AND('10_Analysis_Ready'!$Y$260="DIFFUSION",'10_Analysis_Ready'!$Z$260="YES"),AND('10_Analysis_Ready'!$Y$260="GAN+DIFFUSION",OR('10_Analysis_Ready'!$Z$260&lt;&gt;"YES",'10_Analysis_Ready'!$AA$260&lt;&gt;"YES"))),1,0))</f>
        <v>0</v>
      </c>
      <c r="H277">
        <f>IF('10_Analysis_Ready'!$A$260="",0,IF(OR(AND('10_Analysis_Ready'!$BJ$260="NO",OR('10_Analysis_Ready'!$BK$260="HIGH",'10_Analysis_Ready'!$BK$260="VERY HIGH")),AND(((OR('10_Analysis_Ready'!$AG$260="YES",'10_Analysis_Ready'!$AH$260="YES"))*1+('10_Analysis_Ready'!$AI$260="YES")+('10_Analysis_Ready'!$AJ$260="YES")+('10_Analysis_Ready'!$AK$260="YES")+('10_Analysis_Ready'!$AL$260="YES"))=0,'10_Analysis_Ready'!$BJ$260="YES")),1,0))</f>
        <v>0</v>
      </c>
      <c r="I277">
        <f>IF('10_Analysis_Ready'!$A$260="",0,IF(AND(((OR('10_Analysis_Ready'!$AG$260="YES",'10_Analysis_Ready'!$AH$260="YES"))*1+('10_Analysis_Ready'!$AI$260="YES")+('10_Analysis_Ready'!$AJ$260="YES")+('10_Analysis_Ready'!$AK$260="YES")+('10_Analysis_Ready'!$AL$260="YES"))=0,'10_Analysis_Ready'!$AM$260&lt;&gt;"N/A"),1,0))</f>
        <v>0</v>
      </c>
      <c r="J277">
        <f>IF('10_Analysis_Ready'!$A$260="",0,IF(('28_Taxonomy_Coding'!$G$260="NONE")&lt;&gt;(((OR('10_Analysis_Ready'!$AG$260="YES",'10_Analysis_Ready'!$AH$260="YES"))*1+('10_Analysis_Ready'!$AI$260="YES")+('10_Analysis_Ready'!$AJ$260="YES")+('10_Analysis_Ready'!$AK$260="YES")+('10_Analysis_Ready'!$AL$260="YES"))=0),1,0))</f>
        <v>0</v>
      </c>
    </row>
    <row r="278" spans="1:10">
      <c r="A278">
        <v>261</v>
      </c>
      <c r="B278" t="str">
        <f>IF('10_Analysis_Ready'!$A$261="","",'10_Analysis_Ready'!$A$261)</f>
        <v/>
      </c>
      <c r="C278">
        <f>IF('10_Analysis_Ready'!$A$261="",0,IF(AND('28_Taxonomy_Coding'!$A$261='10_Analysis_Ready'!$A$261,'14_Generalization_Map'!$A$261='10_Analysis_Ready'!$A$261),0,1))</f>
        <v>0</v>
      </c>
      <c r="D278">
        <f>IF('10_Analysis_Ready'!$A$261="",0,IF(COUNTIFS('06_Full_Text_Screening'!$A:$A,'10_Analysis_Ready'!$A$261,'06_Full_Text_Screening'!$J:$J,"INCLUDE")=1,0,1))</f>
        <v>0</v>
      </c>
      <c r="E278">
        <f>IF('10_Analysis_Ready'!$A$261="",0,IF(OR(AND(((OR('10_Analysis_Ready'!$AG$261="YES",'10_Analysis_Ready'!$AH$261="YES"))*1+('10_Analysis_Ready'!$AI$261="YES")+('10_Analysis_Ready'!$AJ$261="YES")+('10_Analysis_Ready'!$AK$261="YES")+('10_Analysis_Ready'!$AL$261="YES"))=0,'10_Analysis_Ready'!$AF$261&lt;&gt;"NONE"),AND(((OR('10_Analysis_Ready'!$AG$261="YES",'10_Analysis_Ready'!$AH$261="YES"))*1+('10_Analysis_Ready'!$AI$261="YES")+('10_Analysis_Ready'!$AJ$261="YES")+('10_Analysis_Ready'!$AK$261="YES")+('10_Analysis_Ready'!$AL$261="YES"))=1,OR('10_Analysis_Ready'!$AF$261="NONE",'10_Analysis_Ready'!$AF$261="MULTIPLE")),AND(((OR('10_Analysis_Ready'!$AG$261="YES",'10_Analysis_Ready'!$AH$261="YES"))*1+('10_Analysis_Ready'!$AI$261="YES")+('10_Analysis_Ready'!$AJ$261="YES")+('10_Analysis_Ready'!$AK$261="YES")+('10_Analysis_Ready'!$AL$261="YES"))&gt;=2,'10_Analysis_Ready'!$AF$261&lt;&gt;"MULTIPLE")),1,0))</f>
        <v>0</v>
      </c>
      <c r="F278">
        <f>IF('10_Analysis_Ready'!$A$261="",0,IF(AND('10_Analysis_Ready'!$AO$261="NO",COUNTIF('10_Analysis_Ready'!$AP$261:$AU$261,"YES")&gt;0),1,0))</f>
        <v>0</v>
      </c>
      <c r="G278">
        <f>IF('10_Analysis_Ready'!$A$261="",0,IF(OR(AND('10_Analysis_Ready'!$Y$261="GAN",'10_Analysis_Ready'!$AA$261="YES"),AND('10_Analysis_Ready'!$Y$261="DIFFUSION",'10_Analysis_Ready'!$Z$261="YES"),AND('10_Analysis_Ready'!$Y$261="GAN+DIFFUSION",OR('10_Analysis_Ready'!$Z$261&lt;&gt;"YES",'10_Analysis_Ready'!$AA$261&lt;&gt;"YES"))),1,0))</f>
        <v>0</v>
      </c>
      <c r="H278">
        <f>IF('10_Analysis_Ready'!$A$261="",0,IF(OR(AND('10_Analysis_Ready'!$BJ$261="NO",OR('10_Analysis_Ready'!$BK$261="HIGH",'10_Analysis_Ready'!$BK$261="VERY HIGH")),AND(((OR('10_Analysis_Ready'!$AG$261="YES",'10_Analysis_Ready'!$AH$261="YES"))*1+('10_Analysis_Ready'!$AI$261="YES")+('10_Analysis_Ready'!$AJ$261="YES")+('10_Analysis_Ready'!$AK$261="YES")+('10_Analysis_Ready'!$AL$261="YES"))=0,'10_Analysis_Ready'!$BJ$261="YES")),1,0))</f>
        <v>0</v>
      </c>
      <c r="I278">
        <f>IF('10_Analysis_Ready'!$A$261="",0,IF(AND(((OR('10_Analysis_Ready'!$AG$261="YES",'10_Analysis_Ready'!$AH$261="YES"))*1+('10_Analysis_Ready'!$AI$261="YES")+('10_Analysis_Ready'!$AJ$261="YES")+('10_Analysis_Ready'!$AK$261="YES")+('10_Analysis_Ready'!$AL$261="YES"))=0,'10_Analysis_Ready'!$AM$261&lt;&gt;"N/A"),1,0))</f>
        <v>0</v>
      </c>
      <c r="J278">
        <f>IF('10_Analysis_Ready'!$A$261="",0,IF(('28_Taxonomy_Coding'!$G$261="NONE")&lt;&gt;(((OR('10_Analysis_Ready'!$AG$261="YES",'10_Analysis_Ready'!$AH$261="YES"))*1+('10_Analysis_Ready'!$AI$261="YES")+('10_Analysis_Ready'!$AJ$261="YES")+('10_Analysis_Ready'!$AK$261="YES")+('10_Analysis_Ready'!$AL$261="YES"))=0),1,0))</f>
        <v>0</v>
      </c>
    </row>
    <row r="279" spans="1:10">
      <c r="A279">
        <v>262</v>
      </c>
      <c r="B279" t="str">
        <f>IF('10_Analysis_Ready'!$A$262="","",'10_Analysis_Ready'!$A$262)</f>
        <v/>
      </c>
      <c r="C279">
        <f>IF('10_Analysis_Ready'!$A$262="",0,IF(AND('28_Taxonomy_Coding'!$A$262='10_Analysis_Ready'!$A$262,'14_Generalization_Map'!$A$262='10_Analysis_Ready'!$A$262),0,1))</f>
        <v>0</v>
      </c>
      <c r="D279">
        <f>IF('10_Analysis_Ready'!$A$262="",0,IF(COUNTIFS('06_Full_Text_Screening'!$A:$A,'10_Analysis_Ready'!$A$262,'06_Full_Text_Screening'!$J:$J,"INCLUDE")=1,0,1))</f>
        <v>0</v>
      </c>
      <c r="E279">
        <f>IF('10_Analysis_Ready'!$A$262="",0,IF(OR(AND(((OR('10_Analysis_Ready'!$AG$262="YES",'10_Analysis_Ready'!$AH$262="YES"))*1+('10_Analysis_Ready'!$AI$262="YES")+('10_Analysis_Ready'!$AJ$262="YES")+('10_Analysis_Ready'!$AK$262="YES")+('10_Analysis_Ready'!$AL$262="YES"))=0,'10_Analysis_Ready'!$AF$262&lt;&gt;"NONE"),AND(((OR('10_Analysis_Ready'!$AG$262="YES",'10_Analysis_Ready'!$AH$262="YES"))*1+('10_Analysis_Ready'!$AI$262="YES")+('10_Analysis_Ready'!$AJ$262="YES")+('10_Analysis_Ready'!$AK$262="YES")+('10_Analysis_Ready'!$AL$262="YES"))=1,OR('10_Analysis_Ready'!$AF$262="NONE",'10_Analysis_Ready'!$AF$262="MULTIPLE")),AND(((OR('10_Analysis_Ready'!$AG$262="YES",'10_Analysis_Ready'!$AH$262="YES"))*1+('10_Analysis_Ready'!$AI$262="YES")+('10_Analysis_Ready'!$AJ$262="YES")+('10_Analysis_Ready'!$AK$262="YES")+('10_Analysis_Ready'!$AL$262="YES"))&gt;=2,'10_Analysis_Ready'!$AF$262&lt;&gt;"MULTIPLE")),1,0))</f>
        <v>0</v>
      </c>
      <c r="F279">
        <f>IF('10_Analysis_Ready'!$A$262="",0,IF(AND('10_Analysis_Ready'!$AO$262="NO",COUNTIF('10_Analysis_Ready'!$AP$262:$AU$262,"YES")&gt;0),1,0))</f>
        <v>0</v>
      </c>
      <c r="G279">
        <f>IF('10_Analysis_Ready'!$A$262="",0,IF(OR(AND('10_Analysis_Ready'!$Y$262="GAN",'10_Analysis_Ready'!$AA$262="YES"),AND('10_Analysis_Ready'!$Y$262="DIFFUSION",'10_Analysis_Ready'!$Z$262="YES"),AND('10_Analysis_Ready'!$Y$262="GAN+DIFFUSION",OR('10_Analysis_Ready'!$Z$262&lt;&gt;"YES",'10_Analysis_Ready'!$AA$262&lt;&gt;"YES"))),1,0))</f>
        <v>0</v>
      </c>
      <c r="H279">
        <f>IF('10_Analysis_Ready'!$A$262="",0,IF(OR(AND('10_Analysis_Ready'!$BJ$262="NO",OR('10_Analysis_Ready'!$BK$262="HIGH",'10_Analysis_Ready'!$BK$262="VERY HIGH")),AND(((OR('10_Analysis_Ready'!$AG$262="YES",'10_Analysis_Ready'!$AH$262="YES"))*1+('10_Analysis_Ready'!$AI$262="YES")+('10_Analysis_Ready'!$AJ$262="YES")+('10_Analysis_Ready'!$AK$262="YES")+('10_Analysis_Ready'!$AL$262="YES"))=0,'10_Analysis_Ready'!$BJ$262="YES")),1,0))</f>
        <v>0</v>
      </c>
      <c r="I279">
        <f>IF('10_Analysis_Ready'!$A$262="",0,IF(AND(((OR('10_Analysis_Ready'!$AG$262="YES",'10_Analysis_Ready'!$AH$262="YES"))*1+('10_Analysis_Ready'!$AI$262="YES")+('10_Analysis_Ready'!$AJ$262="YES")+('10_Analysis_Ready'!$AK$262="YES")+('10_Analysis_Ready'!$AL$262="YES"))=0,'10_Analysis_Ready'!$AM$262&lt;&gt;"N/A"),1,0))</f>
        <v>0</v>
      </c>
      <c r="J279">
        <f>IF('10_Analysis_Ready'!$A$262="",0,IF(('28_Taxonomy_Coding'!$G$262="NONE")&lt;&gt;(((OR('10_Analysis_Ready'!$AG$262="YES",'10_Analysis_Ready'!$AH$262="YES"))*1+('10_Analysis_Ready'!$AI$262="YES")+('10_Analysis_Ready'!$AJ$262="YES")+('10_Analysis_Ready'!$AK$262="YES")+('10_Analysis_Ready'!$AL$262="YES"))=0),1,0))</f>
        <v>0</v>
      </c>
    </row>
    <row r="280" spans="1:10">
      <c r="A280">
        <v>263</v>
      </c>
      <c r="B280" t="str">
        <f>IF('10_Analysis_Ready'!$A$263="","",'10_Analysis_Ready'!$A$263)</f>
        <v/>
      </c>
      <c r="C280">
        <f>IF('10_Analysis_Ready'!$A$263="",0,IF(AND('28_Taxonomy_Coding'!$A$263='10_Analysis_Ready'!$A$263,'14_Generalization_Map'!$A$263='10_Analysis_Ready'!$A$263),0,1))</f>
        <v>0</v>
      </c>
      <c r="D280">
        <f>IF('10_Analysis_Ready'!$A$263="",0,IF(COUNTIFS('06_Full_Text_Screening'!$A:$A,'10_Analysis_Ready'!$A$263,'06_Full_Text_Screening'!$J:$J,"INCLUDE")=1,0,1))</f>
        <v>0</v>
      </c>
      <c r="E280">
        <f>IF('10_Analysis_Ready'!$A$263="",0,IF(OR(AND(((OR('10_Analysis_Ready'!$AG$263="YES",'10_Analysis_Ready'!$AH$263="YES"))*1+('10_Analysis_Ready'!$AI$263="YES")+('10_Analysis_Ready'!$AJ$263="YES")+('10_Analysis_Ready'!$AK$263="YES")+('10_Analysis_Ready'!$AL$263="YES"))=0,'10_Analysis_Ready'!$AF$263&lt;&gt;"NONE"),AND(((OR('10_Analysis_Ready'!$AG$263="YES",'10_Analysis_Ready'!$AH$263="YES"))*1+('10_Analysis_Ready'!$AI$263="YES")+('10_Analysis_Ready'!$AJ$263="YES")+('10_Analysis_Ready'!$AK$263="YES")+('10_Analysis_Ready'!$AL$263="YES"))=1,OR('10_Analysis_Ready'!$AF$263="NONE",'10_Analysis_Ready'!$AF$263="MULTIPLE")),AND(((OR('10_Analysis_Ready'!$AG$263="YES",'10_Analysis_Ready'!$AH$263="YES"))*1+('10_Analysis_Ready'!$AI$263="YES")+('10_Analysis_Ready'!$AJ$263="YES")+('10_Analysis_Ready'!$AK$263="YES")+('10_Analysis_Ready'!$AL$263="YES"))&gt;=2,'10_Analysis_Ready'!$AF$263&lt;&gt;"MULTIPLE")),1,0))</f>
        <v>0</v>
      </c>
      <c r="F280">
        <f>IF('10_Analysis_Ready'!$A$263="",0,IF(AND('10_Analysis_Ready'!$AO$263="NO",COUNTIF('10_Analysis_Ready'!$AP$263:$AU$263,"YES")&gt;0),1,0))</f>
        <v>0</v>
      </c>
      <c r="G280">
        <f>IF('10_Analysis_Ready'!$A$263="",0,IF(OR(AND('10_Analysis_Ready'!$Y$263="GAN",'10_Analysis_Ready'!$AA$263="YES"),AND('10_Analysis_Ready'!$Y$263="DIFFUSION",'10_Analysis_Ready'!$Z$263="YES"),AND('10_Analysis_Ready'!$Y$263="GAN+DIFFUSION",OR('10_Analysis_Ready'!$Z$263&lt;&gt;"YES",'10_Analysis_Ready'!$AA$263&lt;&gt;"YES"))),1,0))</f>
        <v>0</v>
      </c>
      <c r="H280">
        <f>IF('10_Analysis_Ready'!$A$263="",0,IF(OR(AND('10_Analysis_Ready'!$BJ$263="NO",OR('10_Analysis_Ready'!$BK$263="HIGH",'10_Analysis_Ready'!$BK$263="VERY HIGH")),AND(((OR('10_Analysis_Ready'!$AG$263="YES",'10_Analysis_Ready'!$AH$263="YES"))*1+('10_Analysis_Ready'!$AI$263="YES")+('10_Analysis_Ready'!$AJ$263="YES")+('10_Analysis_Ready'!$AK$263="YES")+('10_Analysis_Ready'!$AL$263="YES"))=0,'10_Analysis_Ready'!$BJ$263="YES")),1,0))</f>
        <v>0</v>
      </c>
      <c r="I280">
        <f>IF('10_Analysis_Ready'!$A$263="",0,IF(AND(((OR('10_Analysis_Ready'!$AG$263="YES",'10_Analysis_Ready'!$AH$263="YES"))*1+('10_Analysis_Ready'!$AI$263="YES")+('10_Analysis_Ready'!$AJ$263="YES")+('10_Analysis_Ready'!$AK$263="YES")+('10_Analysis_Ready'!$AL$263="YES"))=0,'10_Analysis_Ready'!$AM$263&lt;&gt;"N/A"),1,0))</f>
        <v>0</v>
      </c>
      <c r="J280">
        <f>IF('10_Analysis_Ready'!$A$263="",0,IF(('28_Taxonomy_Coding'!$G$263="NONE")&lt;&gt;(((OR('10_Analysis_Ready'!$AG$263="YES",'10_Analysis_Ready'!$AH$263="YES"))*1+('10_Analysis_Ready'!$AI$263="YES")+('10_Analysis_Ready'!$AJ$263="YES")+('10_Analysis_Ready'!$AK$263="YES")+('10_Analysis_Ready'!$AL$263="YES"))=0),1,0))</f>
        <v>0</v>
      </c>
    </row>
    <row r="281" spans="1:10">
      <c r="A281">
        <v>264</v>
      </c>
      <c r="B281" t="str">
        <f>IF('10_Analysis_Ready'!$A$264="","",'10_Analysis_Ready'!$A$264)</f>
        <v/>
      </c>
      <c r="C281">
        <f>IF('10_Analysis_Ready'!$A$264="",0,IF(AND('28_Taxonomy_Coding'!$A$264='10_Analysis_Ready'!$A$264,'14_Generalization_Map'!$A$264='10_Analysis_Ready'!$A$264),0,1))</f>
        <v>0</v>
      </c>
      <c r="D281">
        <f>IF('10_Analysis_Ready'!$A$264="",0,IF(COUNTIFS('06_Full_Text_Screening'!$A:$A,'10_Analysis_Ready'!$A$264,'06_Full_Text_Screening'!$J:$J,"INCLUDE")=1,0,1))</f>
        <v>0</v>
      </c>
      <c r="E281">
        <f>IF('10_Analysis_Ready'!$A$264="",0,IF(OR(AND(((OR('10_Analysis_Ready'!$AG$264="YES",'10_Analysis_Ready'!$AH$264="YES"))*1+('10_Analysis_Ready'!$AI$264="YES")+('10_Analysis_Ready'!$AJ$264="YES")+('10_Analysis_Ready'!$AK$264="YES")+('10_Analysis_Ready'!$AL$264="YES"))=0,'10_Analysis_Ready'!$AF$264&lt;&gt;"NONE"),AND(((OR('10_Analysis_Ready'!$AG$264="YES",'10_Analysis_Ready'!$AH$264="YES"))*1+('10_Analysis_Ready'!$AI$264="YES")+('10_Analysis_Ready'!$AJ$264="YES")+('10_Analysis_Ready'!$AK$264="YES")+('10_Analysis_Ready'!$AL$264="YES"))=1,OR('10_Analysis_Ready'!$AF$264="NONE",'10_Analysis_Ready'!$AF$264="MULTIPLE")),AND(((OR('10_Analysis_Ready'!$AG$264="YES",'10_Analysis_Ready'!$AH$264="YES"))*1+('10_Analysis_Ready'!$AI$264="YES")+('10_Analysis_Ready'!$AJ$264="YES")+('10_Analysis_Ready'!$AK$264="YES")+('10_Analysis_Ready'!$AL$264="YES"))&gt;=2,'10_Analysis_Ready'!$AF$264&lt;&gt;"MULTIPLE")),1,0))</f>
        <v>0</v>
      </c>
      <c r="F281">
        <f>IF('10_Analysis_Ready'!$A$264="",0,IF(AND('10_Analysis_Ready'!$AO$264="NO",COUNTIF('10_Analysis_Ready'!$AP$264:$AU$264,"YES")&gt;0),1,0))</f>
        <v>0</v>
      </c>
      <c r="G281">
        <f>IF('10_Analysis_Ready'!$A$264="",0,IF(OR(AND('10_Analysis_Ready'!$Y$264="GAN",'10_Analysis_Ready'!$AA$264="YES"),AND('10_Analysis_Ready'!$Y$264="DIFFUSION",'10_Analysis_Ready'!$Z$264="YES"),AND('10_Analysis_Ready'!$Y$264="GAN+DIFFUSION",OR('10_Analysis_Ready'!$Z$264&lt;&gt;"YES",'10_Analysis_Ready'!$AA$264&lt;&gt;"YES"))),1,0))</f>
        <v>0</v>
      </c>
      <c r="H281">
        <f>IF('10_Analysis_Ready'!$A$264="",0,IF(OR(AND('10_Analysis_Ready'!$BJ$264="NO",OR('10_Analysis_Ready'!$BK$264="HIGH",'10_Analysis_Ready'!$BK$264="VERY HIGH")),AND(((OR('10_Analysis_Ready'!$AG$264="YES",'10_Analysis_Ready'!$AH$264="YES"))*1+('10_Analysis_Ready'!$AI$264="YES")+('10_Analysis_Ready'!$AJ$264="YES")+('10_Analysis_Ready'!$AK$264="YES")+('10_Analysis_Ready'!$AL$264="YES"))=0,'10_Analysis_Ready'!$BJ$264="YES")),1,0))</f>
        <v>0</v>
      </c>
      <c r="I281">
        <f>IF('10_Analysis_Ready'!$A$264="",0,IF(AND(((OR('10_Analysis_Ready'!$AG$264="YES",'10_Analysis_Ready'!$AH$264="YES"))*1+('10_Analysis_Ready'!$AI$264="YES")+('10_Analysis_Ready'!$AJ$264="YES")+('10_Analysis_Ready'!$AK$264="YES")+('10_Analysis_Ready'!$AL$264="YES"))=0,'10_Analysis_Ready'!$AM$264&lt;&gt;"N/A"),1,0))</f>
        <v>0</v>
      </c>
      <c r="J281">
        <f>IF('10_Analysis_Ready'!$A$264="",0,IF(('28_Taxonomy_Coding'!$G$264="NONE")&lt;&gt;(((OR('10_Analysis_Ready'!$AG$264="YES",'10_Analysis_Ready'!$AH$264="YES"))*1+('10_Analysis_Ready'!$AI$264="YES")+('10_Analysis_Ready'!$AJ$264="YES")+('10_Analysis_Ready'!$AK$264="YES")+('10_Analysis_Ready'!$AL$264="YES"))=0),1,0))</f>
        <v>0</v>
      </c>
    </row>
    <row r="282" spans="1:10">
      <c r="A282">
        <v>265</v>
      </c>
      <c r="B282" t="str">
        <f>IF('10_Analysis_Ready'!$A$265="","",'10_Analysis_Ready'!$A$265)</f>
        <v/>
      </c>
      <c r="C282">
        <f>IF('10_Analysis_Ready'!$A$265="",0,IF(AND('28_Taxonomy_Coding'!$A$265='10_Analysis_Ready'!$A$265,'14_Generalization_Map'!$A$265='10_Analysis_Ready'!$A$265),0,1))</f>
        <v>0</v>
      </c>
      <c r="D282">
        <f>IF('10_Analysis_Ready'!$A$265="",0,IF(COUNTIFS('06_Full_Text_Screening'!$A:$A,'10_Analysis_Ready'!$A$265,'06_Full_Text_Screening'!$J:$J,"INCLUDE")=1,0,1))</f>
        <v>0</v>
      </c>
      <c r="E282">
        <f>IF('10_Analysis_Ready'!$A$265="",0,IF(OR(AND(((OR('10_Analysis_Ready'!$AG$265="YES",'10_Analysis_Ready'!$AH$265="YES"))*1+('10_Analysis_Ready'!$AI$265="YES")+('10_Analysis_Ready'!$AJ$265="YES")+('10_Analysis_Ready'!$AK$265="YES")+('10_Analysis_Ready'!$AL$265="YES"))=0,'10_Analysis_Ready'!$AF$265&lt;&gt;"NONE"),AND(((OR('10_Analysis_Ready'!$AG$265="YES",'10_Analysis_Ready'!$AH$265="YES"))*1+('10_Analysis_Ready'!$AI$265="YES")+('10_Analysis_Ready'!$AJ$265="YES")+('10_Analysis_Ready'!$AK$265="YES")+('10_Analysis_Ready'!$AL$265="YES"))=1,OR('10_Analysis_Ready'!$AF$265="NONE",'10_Analysis_Ready'!$AF$265="MULTIPLE")),AND(((OR('10_Analysis_Ready'!$AG$265="YES",'10_Analysis_Ready'!$AH$265="YES"))*1+('10_Analysis_Ready'!$AI$265="YES")+('10_Analysis_Ready'!$AJ$265="YES")+('10_Analysis_Ready'!$AK$265="YES")+('10_Analysis_Ready'!$AL$265="YES"))&gt;=2,'10_Analysis_Ready'!$AF$265&lt;&gt;"MULTIPLE")),1,0))</f>
        <v>0</v>
      </c>
      <c r="F282">
        <f>IF('10_Analysis_Ready'!$A$265="",0,IF(AND('10_Analysis_Ready'!$AO$265="NO",COUNTIF('10_Analysis_Ready'!$AP$265:$AU$265,"YES")&gt;0),1,0))</f>
        <v>0</v>
      </c>
      <c r="G282">
        <f>IF('10_Analysis_Ready'!$A$265="",0,IF(OR(AND('10_Analysis_Ready'!$Y$265="GAN",'10_Analysis_Ready'!$AA$265="YES"),AND('10_Analysis_Ready'!$Y$265="DIFFUSION",'10_Analysis_Ready'!$Z$265="YES"),AND('10_Analysis_Ready'!$Y$265="GAN+DIFFUSION",OR('10_Analysis_Ready'!$Z$265&lt;&gt;"YES",'10_Analysis_Ready'!$AA$265&lt;&gt;"YES"))),1,0))</f>
        <v>0</v>
      </c>
      <c r="H282">
        <f>IF('10_Analysis_Ready'!$A$265="",0,IF(OR(AND('10_Analysis_Ready'!$BJ$265="NO",OR('10_Analysis_Ready'!$BK$265="HIGH",'10_Analysis_Ready'!$BK$265="VERY HIGH")),AND(((OR('10_Analysis_Ready'!$AG$265="YES",'10_Analysis_Ready'!$AH$265="YES"))*1+('10_Analysis_Ready'!$AI$265="YES")+('10_Analysis_Ready'!$AJ$265="YES")+('10_Analysis_Ready'!$AK$265="YES")+('10_Analysis_Ready'!$AL$265="YES"))=0,'10_Analysis_Ready'!$BJ$265="YES")),1,0))</f>
        <v>0</v>
      </c>
      <c r="I282">
        <f>IF('10_Analysis_Ready'!$A$265="",0,IF(AND(((OR('10_Analysis_Ready'!$AG$265="YES",'10_Analysis_Ready'!$AH$265="YES"))*1+('10_Analysis_Ready'!$AI$265="YES")+('10_Analysis_Ready'!$AJ$265="YES")+('10_Analysis_Ready'!$AK$265="YES")+('10_Analysis_Ready'!$AL$265="YES"))=0,'10_Analysis_Ready'!$AM$265&lt;&gt;"N/A"),1,0))</f>
        <v>0</v>
      </c>
      <c r="J282">
        <f>IF('10_Analysis_Ready'!$A$265="",0,IF(('28_Taxonomy_Coding'!$G$265="NONE")&lt;&gt;(((OR('10_Analysis_Ready'!$AG$265="YES",'10_Analysis_Ready'!$AH$265="YES"))*1+('10_Analysis_Ready'!$AI$265="YES")+('10_Analysis_Ready'!$AJ$265="YES")+('10_Analysis_Ready'!$AK$265="YES")+('10_Analysis_Ready'!$AL$265="YES"))=0),1,0))</f>
        <v>0</v>
      </c>
    </row>
    <row r="283" spans="1:10">
      <c r="A283">
        <v>266</v>
      </c>
      <c r="B283" t="str">
        <f>IF('10_Analysis_Ready'!$A$266="","",'10_Analysis_Ready'!$A$266)</f>
        <v/>
      </c>
      <c r="C283">
        <f>IF('10_Analysis_Ready'!$A$266="",0,IF(AND('28_Taxonomy_Coding'!$A$266='10_Analysis_Ready'!$A$266,'14_Generalization_Map'!$A$266='10_Analysis_Ready'!$A$266),0,1))</f>
        <v>0</v>
      </c>
      <c r="D283">
        <f>IF('10_Analysis_Ready'!$A$266="",0,IF(COUNTIFS('06_Full_Text_Screening'!$A:$A,'10_Analysis_Ready'!$A$266,'06_Full_Text_Screening'!$J:$J,"INCLUDE")=1,0,1))</f>
        <v>0</v>
      </c>
      <c r="E283">
        <f>IF('10_Analysis_Ready'!$A$266="",0,IF(OR(AND(((OR('10_Analysis_Ready'!$AG$266="YES",'10_Analysis_Ready'!$AH$266="YES"))*1+('10_Analysis_Ready'!$AI$266="YES")+('10_Analysis_Ready'!$AJ$266="YES")+('10_Analysis_Ready'!$AK$266="YES")+('10_Analysis_Ready'!$AL$266="YES"))=0,'10_Analysis_Ready'!$AF$266&lt;&gt;"NONE"),AND(((OR('10_Analysis_Ready'!$AG$266="YES",'10_Analysis_Ready'!$AH$266="YES"))*1+('10_Analysis_Ready'!$AI$266="YES")+('10_Analysis_Ready'!$AJ$266="YES")+('10_Analysis_Ready'!$AK$266="YES")+('10_Analysis_Ready'!$AL$266="YES"))=1,OR('10_Analysis_Ready'!$AF$266="NONE",'10_Analysis_Ready'!$AF$266="MULTIPLE")),AND(((OR('10_Analysis_Ready'!$AG$266="YES",'10_Analysis_Ready'!$AH$266="YES"))*1+('10_Analysis_Ready'!$AI$266="YES")+('10_Analysis_Ready'!$AJ$266="YES")+('10_Analysis_Ready'!$AK$266="YES")+('10_Analysis_Ready'!$AL$266="YES"))&gt;=2,'10_Analysis_Ready'!$AF$266&lt;&gt;"MULTIPLE")),1,0))</f>
        <v>0</v>
      </c>
      <c r="F283">
        <f>IF('10_Analysis_Ready'!$A$266="",0,IF(AND('10_Analysis_Ready'!$AO$266="NO",COUNTIF('10_Analysis_Ready'!$AP$266:$AU$266,"YES")&gt;0),1,0))</f>
        <v>0</v>
      </c>
      <c r="G283">
        <f>IF('10_Analysis_Ready'!$A$266="",0,IF(OR(AND('10_Analysis_Ready'!$Y$266="GAN",'10_Analysis_Ready'!$AA$266="YES"),AND('10_Analysis_Ready'!$Y$266="DIFFUSION",'10_Analysis_Ready'!$Z$266="YES"),AND('10_Analysis_Ready'!$Y$266="GAN+DIFFUSION",OR('10_Analysis_Ready'!$Z$266&lt;&gt;"YES",'10_Analysis_Ready'!$AA$266&lt;&gt;"YES"))),1,0))</f>
        <v>0</v>
      </c>
      <c r="H283">
        <f>IF('10_Analysis_Ready'!$A$266="",0,IF(OR(AND('10_Analysis_Ready'!$BJ$266="NO",OR('10_Analysis_Ready'!$BK$266="HIGH",'10_Analysis_Ready'!$BK$266="VERY HIGH")),AND(((OR('10_Analysis_Ready'!$AG$266="YES",'10_Analysis_Ready'!$AH$266="YES"))*1+('10_Analysis_Ready'!$AI$266="YES")+('10_Analysis_Ready'!$AJ$266="YES")+('10_Analysis_Ready'!$AK$266="YES")+('10_Analysis_Ready'!$AL$266="YES"))=0,'10_Analysis_Ready'!$BJ$266="YES")),1,0))</f>
        <v>0</v>
      </c>
      <c r="I283">
        <f>IF('10_Analysis_Ready'!$A$266="",0,IF(AND(((OR('10_Analysis_Ready'!$AG$266="YES",'10_Analysis_Ready'!$AH$266="YES"))*1+('10_Analysis_Ready'!$AI$266="YES")+('10_Analysis_Ready'!$AJ$266="YES")+('10_Analysis_Ready'!$AK$266="YES")+('10_Analysis_Ready'!$AL$266="YES"))=0,'10_Analysis_Ready'!$AM$266&lt;&gt;"N/A"),1,0))</f>
        <v>0</v>
      </c>
      <c r="J283">
        <f>IF('10_Analysis_Ready'!$A$266="",0,IF(('28_Taxonomy_Coding'!$G$266="NONE")&lt;&gt;(((OR('10_Analysis_Ready'!$AG$266="YES",'10_Analysis_Ready'!$AH$266="YES"))*1+('10_Analysis_Ready'!$AI$266="YES")+('10_Analysis_Ready'!$AJ$266="YES")+('10_Analysis_Ready'!$AK$266="YES")+('10_Analysis_Ready'!$AL$266="YES"))=0),1,0))</f>
        <v>0</v>
      </c>
    </row>
    <row r="284" spans="1:10">
      <c r="A284">
        <v>267</v>
      </c>
      <c r="B284" t="str">
        <f>IF('10_Analysis_Ready'!$A$267="","",'10_Analysis_Ready'!$A$267)</f>
        <v/>
      </c>
      <c r="C284">
        <f>IF('10_Analysis_Ready'!$A$267="",0,IF(AND('28_Taxonomy_Coding'!$A$267='10_Analysis_Ready'!$A$267,'14_Generalization_Map'!$A$267='10_Analysis_Ready'!$A$267),0,1))</f>
        <v>0</v>
      </c>
      <c r="D284">
        <f>IF('10_Analysis_Ready'!$A$267="",0,IF(COUNTIFS('06_Full_Text_Screening'!$A:$A,'10_Analysis_Ready'!$A$267,'06_Full_Text_Screening'!$J:$J,"INCLUDE")=1,0,1))</f>
        <v>0</v>
      </c>
      <c r="E284">
        <f>IF('10_Analysis_Ready'!$A$267="",0,IF(OR(AND(((OR('10_Analysis_Ready'!$AG$267="YES",'10_Analysis_Ready'!$AH$267="YES"))*1+('10_Analysis_Ready'!$AI$267="YES")+('10_Analysis_Ready'!$AJ$267="YES")+('10_Analysis_Ready'!$AK$267="YES")+('10_Analysis_Ready'!$AL$267="YES"))=0,'10_Analysis_Ready'!$AF$267&lt;&gt;"NONE"),AND(((OR('10_Analysis_Ready'!$AG$267="YES",'10_Analysis_Ready'!$AH$267="YES"))*1+('10_Analysis_Ready'!$AI$267="YES")+('10_Analysis_Ready'!$AJ$267="YES")+('10_Analysis_Ready'!$AK$267="YES")+('10_Analysis_Ready'!$AL$267="YES"))=1,OR('10_Analysis_Ready'!$AF$267="NONE",'10_Analysis_Ready'!$AF$267="MULTIPLE")),AND(((OR('10_Analysis_Ready'!$AG$267="YES",'10_Analysis_Ready'!$AH$267="YES"))*1+('10_Analysis_Ready'!$AI$267="YES")+('10_Analysis_Ready'!$AJ$267="YES")+('10_Analysis_Ready'!$AK$267="YES")+('10_Analysis_Ready'!$AL$267="YES"))&gt;=2,'10_Analysis_Ready'!$AF$267&lt;&gt;"MULTIPLE")),1,0))</f>
        <v>0</v>
      </c>
      <c r="F284">
        <f>IF('10_Analysis_Ready'!$A$267="",0,IF(AND('10_Analysis_Ready'!$AO$267="NO",COUNTIF('10_Analysis_Ready'!$AP$267:$AU$267,"YES")&gt;0),1,0))</f>
        <v>0</v>
      </c>
      <c r="G284">
        <f>IF('10_Analysis_Ready'!$A$267="",0,IF(OR(AND('10_Analysis_Ready'!$Y$267="GAN",'10_Analysis_Ready'!$AA$267="YES"),AND('10_Analysis_Ready'!$Y$267="DIFFUSION",'10_Analysis_Ready'!$Z$267="YES"),AND('10_Analysis_Ready'!$Y$267="GAN+DIFFUSION",OR('10_Analysis_Ready'!$Z$267&lt;&gt;"YES",'10_Analysis_Ready'!$AA$267&lt;&gt;"YES"))),1,0))</f>
        <v>0</v>
      </c>
      <c r="H284">
        <f>IF('10_Analysis_Ready'!$A$267="",0,IF(OR(AND('10_Analysis_Ready'!$BJ$267="NO",OR('10_Analysis_Ready'!$BK$267="HIGH",'10_Analysis_Ready'!$BK$267="VERY HIGH")),AND(((OR('10_Analysis_Ready'!$AG$267="YES",'10_Analysis_Ready'!$AH$267="YES"))*1+('10_Analysis_Ready'!$AI$267="YES")+('10_Analysis_Ready'!$AJ$267="YES")+('10_Analysis_Ready'!$AK$267="YES")+('10_Analysis_Ready'!$AL$267="YES"))=0,'10_Analysis_Ready'!$BJ$267="YES")),1,0))</f>
        <v>0</v>
      </c>
      <c r="I284">
        <f>IF('10_Analysis_Ready'!$A$267="",0,IF(AND(((OR('10_Analysis_Ready'!$AG$267="YES",'10_Analysis_Ready'!$AH$267="YES"))*1+('10_Analysis_Ready'!$AI$267="YES")+('10_Analysis_Ready'!$AJ$267="YES")+('10_Analysis_Ready'!$AK$267="YES")+('10_Analysis_Ready'!$AL$267="YES"))=0,'10_Analysis_Ready'!$AM$267&lt;&gt;"N/A"),1,0))</f>
        <v>0</v>
      </c>
      <c r="J284">
        <f>IF('10_Analysis_Ready'!$A$267="",0,IF(('28_Taxonomy_Coding'!$G$267="NONE")&lt;&gt;(((OR('10_Analysis_Ready'!$AG$267="YES",'10_Analysis_Ready'!$AH$267="YES"))*1+('10_Analysis_Ready'!$AI$267="YES")+('10_Analysis_Ready'!$AJ$267="YES")+('10_Analysis_Ready'!$AK$267="YES")+('10_Analysis_Ready'!$AL$267="YES"))=0),1,0))</f>
        <v>0</v>
      </c>
    </row>
    <row r="285" spans="1:10">
      <c r="A285">
        <v>268</v>
      </c>
      <c r="B285" t="str">
        <f>IF('10_Analysis_Ready'!$A$268="","",'10_Analysis_Ready'!$A$268)</f>
        <v/>
      </c>
      <c r="C285">
        <f>IF('10_Analysis_Ready'!$A$268="",0,IF(AND('28_Taxonomy_Coding'!$A$268='10_Analysis_Ready'!$A$268,'14_Generalization_Map'!$A$268='10_Analysis_Ready'!$A$268),0,1))</f>
        <v>0</v>
      </c>
      <c r="D285">
        <f>IF('10_Analysis_Ready'!$A$268="",0,IF(COUNTIFS('06_Full_Text_Screening'!$A:$A,'10_Analysis_Ready'!$A$268,'06_Full_Text_Screening'!$J:$J,"INCLUDE")=1,0,1))</f>
        <v>0</v>
      </c>
      <c r="E285">
        <f>IF('10_Analysis_Ready'!$A$268="",0,IF(OR(AND(((OR('10_Analysis_Ready'!$AG$268="YES",'10_Analysis_Ready'!$AH$268="YES"))*1+('10_Analysis_Ready'!$AI$268="YES")+('10_Analysis_Ready'!$AJ$268="YES")+('10_Analysis_Ready'!$AK$268="YES")+('10_Analysis_Ready'!$AL$268="YES"))=0,'10_Analysis_Ready'!$AF$268&lt;&gt;"NONE"),AND(((OR('10_Analysis_Ready'!$AG$268="YES",'10_Analysis_Ready'!$AH$268="YES"))*1+('10_Analysis_Ready'!$AI$268="YES")+('10_Analysis_Ready'!$AJ$268="YES")+('10_Analysis_Ready'!$AK$268="YES")+('10_Analysis_Ready'!$AL$268="YES"))=1,OR('10_Analysis_Ready'!$AF$268="NONE",'10_Analysis_Ready'!$AF$268="MULTIPLE")),AND(((OR('10_Analysis_Ready'!$AG$268="YES",'10_Analysis_Ready'!$AH$268="YES"))*1+('10_Analysis_Ready'!$AI$268="YES")+('10_Analysis_Ready'!$AJ$268="YES")+('10_Analysis_Ready'!$AK$268="YES")+('10_Analysis_Ready'!$AL$268="YES"))&gt;=2,'10_Analysis_Ready'!$AF$268&lt;&gt;"MULTIPLE")),1,0))</f>
        <v>0</v>
      </c>
      <c r="F285">
        <f>IF('10_Analysis_Ready'!$A$268="",0,IF(AND('10_Analysis_Ready'!$AO$268="NO",COUNTIF('10_Analysis_Ready'!$AP$268:$AU$268,"YES")&gt;0),1,0))</f>
        <v>0</v>
      </c>
      <c r="G285">
        <f>IF('10_Analysis_Ready'!$A$268="",0,IF(OR(AND('10_Analysis_Ready'!$Y$268="GAN",'10_Analysis_Ready'!$AA$268="YES"),AND('10_Analysis_Ready'!$Y$268="DIFFUSION",'10_Analysis_Ready'!$Z$268="YES"),AND('10_Analysis_Ready'!$Y$268="GAN+DIFFUSION",OR('10_Analysis_Ready'!$Z$268&lt;&gt;"YES",'10_Analysis_Ready'!$AA$268&lt;&gt;"YES"))),1,0))</f>
        <v>0</v>
      </c>
      <c r="H285">
        <f>IF('10_Analysis_Ready'!$A$268="",0,IF(OR(AND('10_Analysis_Ready'!$BJ$268="NO",OR('10_Analysis_Ready'!$BK$268="HIGH",'10_Analysis_Ready'!$BK$268="VERY HIGH")),AND(((OR('10_Analysis_Ready'!$AG$268="YES",'10_Analysis_Ready'!$AH$268="YES"))*1+('10_Analysis_Ready'!$AI$268="YES")+('10_Analysis_Ready'!$AJ$268="YES")+('10_Analysis_Ready'!$AK$268="YES")+('10_Analysis_Ready'!$AL$268="YES"))=0,'10_Analysis_Ready'!$BJ$268="YES")),1,0))</f>
        <v>0</v>
      </c>
      <c r="I285">
        <f>IF('10_Analysis_Ready'!$A$268="",0,IF(AND(((OR('10_Analysis_Ready'!$AG$268="YES",'10_Analysis_Ready'!$AH$268="YES"))*1+('10_Analysis_Ready'!$AI$268="YES")+('10_Analysis_Ready'!$AJ$268="YES")+('10_Analysis_Ready'!$AK$268="YES")+('10_Analysis_Ready'!$AL$268="YES"))=0,'10_Analysis_Ready'!$AM$268&lt;&gt;"N/A"),1,0))</f>
        <v>0</v>
      </c>
      <c r="J285">
        <f>IF('10_Analysis_Ready'!$A$268="",0,IF(('28_Taxonomy_Coding'!$G$268="NONE")&lt;&gt;(((OR('10_Analysis_Ready'!$AG$268="YES",'10_Analysis_Ready'!$AH$268="YES"))*1+('10_Analysis_Ready'!$AI$268="YES")+('10_Analysis_Ready'!$AJ$268="YES")+('10_Analysis_Ready'!$AK$268="YES")+('10_Analysis_Ready'!$AL$268="YES"))=0),1,0))</f>
        <v>0</v>
      </c>
    </row>
    <row r="286" spans="1:10">
      <c r="A286">
        <v>269</v>
      </c>
      <c r="B286" t="str">
        <f>IF('10_Analysis_Ready'!$A$269="","",'10_Analysis_Ready'!$A$269)</f>
        <v/>
      </c>
      <c r="C286">
        <f>IF('10_Analysis_Ready'!$A$269="",0,IF(AND('28_Taxonomy_Coding'!$A$269='10_Analysis_Ready'!$A$269,'14_Generalization_Map'!$A$269='10_Analysis_Ready'!$A$269),0,1))</f>
        <v>0</v>
      </c>
      <c r="D286">
        <f>IF('10_Analysis_Ready'!$A$269="",0,IF(COUNTIFS('06_Full_Text_Screening'!$A:$A,'10_Analysis_Ready'!$A$269,'06_Full_Text_Screening'!$J:$J,"INCLUDE")=1,0,1))</f>
        <v>0</v>
      </c>
      <c r="E286">
        <f>IF('10_Analysis_Ready'!$A$269="",0,IF(OR(AND(((OR('10_Analysis_Ready'!$AG$269="YES",'10_Analysis_Ready'!$AH$269="YES"))*1+('10_Analysis_Ready'!$AI$269="YES")+('10_Analysis_Ready'!$AJ$269="YES")+('10_Analysis_Ready'!$AK$269="YES")+('10_Analysis_Ready'!$AL$269="YES"))=0,'10_Analysis_Ready'!$AF$269&lt;&gt;"NONE"),AND(((OR('10_Analysis_Ready'!$AG$269="YES",'10_Analysis_Ready'!$AH$269="YES"))*1+('10_Analysis_Ready'!$AI$269="YES")+('10_Analysis_Ready'!$AJ$269="YES")+('10_Analysis_Ready'!$AK$269="YES")+('10_Analysis_Ready'!$AL$269="YES"))=1,OR('10_Analysis_Ready'!$AF$269="NONE",'10_Analysis_Ready'!$AF$269="MULTIPLE")),AND(((OR('10_Analysis_Ready'!$AG$269="YES",'10_Analysis_Ready'!$AH$269="YES"))*1+('10_Analysis_Ready'!$AI$269="YES")+('10_Analysis_Ready'!$AJ$269="YES")+('10_Analysis_Ready'!$AK$269="YES")+('10_Analysis_Ready'!$AL$269="YES"))&gt;=2,'10_Analysis_Ready'!$AF$269&lt;&gt;"MULTIPLE")),1,0))</f>
        <v>0</v>
      </c>
      <c r="F286">
        <f>IF('10_Analysis_Ready'!$A$269="",0,IF(AND('10_Analysis_Ready'!$AO$269="NO",COUNTIF('10_Analysis_Ready'!$AP$269:$AU$269,"YES")&gt;0),1,0))</f>
        <v>0</v>
      </c>
      <c r="G286">
        <f>IF('10_Analysis_Ready'!$A$269="",0,IF(OR(AND('10_Analysis_Ready'!$Y$269="GAN",'10_Analysis_Ready'!$AA$269="YES"),AND('10_Analysis_Ready'!$Y$269="DIFFUSION",'10_Analysis_Ready'!$Z$269="YES"),AND('10_Analysis_Ready'!$Y$269="GAN+DIFFUSION",OR('10_Analysis_Ready'!$Z$269&lt;&gt;"YES",'10_Analysis_Ready'!$AA$269&lt;&gt;"YES"))),1,0))</f>
        <v>0</v>
      </c>
      <c r="H286">
        <f>IF('10_Analysis_Ready'!$A$269="",0,IF(OR(AND('10_Analysis_Ready'!$BJ$269="NO",OR('10_Analysis_Ready'!$BK$269="HIGH",'10_Analysis_Ready'!$BK$269="VERY HIGH")),AND(((OR('10_Analysis_Ready'!$AG$269="YES",'10_Analysis_Ready'!$AH$269="YES"))*1+('10_Analysis_Ready'!$AI$269="YES")+('10_Analysis_Ready'!$AJ$269="YES")+('10_Analysis_Ready'!$AK$269="YES")+('10_Analysis_Ready'!$AL$269="YES"))=0,'10_Analysis_Ready'!$BJ$269="YES")),1,0))</f>
        <v>0</v>
      </c>
      <c r="I286">
        <f>IF('10_Analysis_Ready'!$A$269="",0,IF(AND(((OR('10_Analysis_Ready'!$AG$269="YES",'10_Analysis_Ready'!$AH$269="YES"))*1+('10_Analysis_Ready'!$AI$269="YES")+('10_Analysis_Ready'!$AJ$269="YES")+('10_Analysis_Ready'!$AK$269="YES")+('10_Analysis_Ready'!$AL$269="YES"))=0,'10_Analysis_Ready'!$AM$269&lt;&gt;"N/A"),1,0))</f>
        <v>0</v>
      </c>
      <c r="J286">
        <f>IF('10_Analysis_Ready'!$A$269="",0,IF(('28_Taxonomy_Coding'!$G$269="NONE")&lt;&gt;(((OR('10_Analysis_Ready'!$AG$269="YES",'10_Analysis_Ready'!$AH$269="YES"))*1+('10_Analysis_Ready'!$AI$269="YES")+('10_Analysis_Ready'!$AJ$269="YES")+('10_Analysis_Ready'!$AK$269="YES")+('10_Analysis_Ready'!$AL$269="YES"))=0),1,0))</f>
        <v>0</v>
      </c>
    </row>
    <row r="287" spans="1:10">
      <c r="A287">
        <v>270</v>
      </c>
      <c r="B287" t="str">
        <f>IF('10_Analysis_Ready'!$A$270="","",'10_Analysis_Ready'!$A$270)</f>
        <v/>
      </c>
      <c r="C287">
        <f>IF('10_Analysis_Ready'!$A$270="",0,IF(AND('28_Taxonomy_Coding'!$A$270='10_Analysis_Ready'!$A$270,'14_Generalization_Map'!$A$270='10_Analysis_Ready'!$A$270),0,1))</f>
        <v>0</v>
      </c>
      <c r="D287">
        <f>IF('10_Analysis_Ready'!$A$270="",0,IF(COUNTIFS('06_Full_Text_Screening'!$A:$A,'10_Analysis_Ready'!$A$270,'06_Full_Text_Screening'!$J:$J,"INCLUDE")=1,0,1))</f>
        <v>0</v>
      </c>
      <c r="E287">
        <f>IF('10_Analysis_Ready'!$A$270="",0,IF(OR(AND(((OR('10_Analysis_Ready'!$AG$270="YES",'10_Analysis_Ready'!$AH$270="YES"))*1+('10_Analysis_Ready'!$AI$270="YES")+('10_Analysis_Ready'!$AJ$270="YES")+('10_Analysis_Ready'!$AK$270="YES")+('10_Analysis_Ready'!$AL$270="YES"))=0,'10_Analysis_Ready'!$AF$270&lt;&gt;"NONE"),AND(((OR('10_Analysis_Ready'!$AG$270="YES",'10_Analysis_Ready'!$AH$270="YES"))*1+('10_Analysis_Ready'!$AI$270="YES")+('10_Analysis_Ready'!$AJ$270="YES")+('10_Analysis_Ready'!$AK$270="YES")+('10_Analysis_Ready'!$AL$270="YES"))=1,OR('10_Analysis_Ready'!$AF$270="NONE",'10_Analysis_Ready'!$AF$270="MULTIPLE")),AND(((OR('10_Analysis_Ready'!$AG$270="YES",'10_Analysis_Ready'!$AH$270="YES"))*1+('10_Analysis_Ready'!$AI$270="YES")+('10_Analysis_Ready'!$AJ$270="YES")+('10_Analysis_Ready'!$AK$270="YES")+('10_Analysis_Ready'!$AL$270="YES"))&gt;=2,'10_Analysis_Ready'!$AF$270&lt;&gt;"MULTIPLE")),1,0))</f>
        <v>0</v>
      </c>
      <c r="F287">
        <f>IF('10_Analysis_Ready'!$A$270="",0,IF(AND('10_Analysis_Ready'!$AO$270="NO",COUNTIF('10_Analysis_Ready'!$AP$270:$AU$270,"YES")&gt;0),1,0))</f>
        <v>0</v>
      </c>
      <c r="G287">
        <f>IF('10_Analysis_Ready'!$A$270="",0,IF(OR(AND('10_Analysis_Ready'!$Y$270="GAN",'10_Analysis_Ready'!$AA$270="YES"),AND('10_Analysis_Ready'!$Y$270="DIFFUSION",'10_Analysis_Ready'!$Z$270="YES"),AND('10_Analysis_Ready'!$Y$270="GAN+DIFFUSION",OR('10_Analysis_Ready'!$Z$270&lt;&gt;"YES",'10_Analysis_Ready'!$AA$270&lt;&gt;"YES"))),1,0))</f>
        <v>0</v>
      </c>
      <c r="H287">
        <f>IF('10_Analysis_Ready'!$A$270="",0,IF(OR(AND('10_Analysis_Ready'!$BJ$270="NO",OR('10_Analysis_Ready'!$BK$270="HIGH",'10_Analysis_Ready'!$BK$270="VERY HIGH")),AND(((OR('10_Analysis_Ready'!$AG$270="YES",'10_Analysis_Ready'!$AH$270="YES"))*1+('10_Analysis_Ready'!$AI$270="YES")+('10_Analysis_Ready'!$AJ$270="YES")+('10_Analysis_Ready'!$AK$270="YES")+('10_Analysis_Ready'!$AL$270="YES"))=0,'10_Analysis_Ready'!$BJ$270="YES")),1,0))</f>
        <v>0</v>
      </c>
      <c r="I287">
        <f>IF('10_Analysis_Ready'!$A$270="",0,IF(AND(((OR('10_Analysis_Ready'!$AG$270="YES",'10_Analysis_Ready'!$AH$270="YES"))*1+('10_Analysis_Ready'!$AI$270="YES")+('10_Analysis_Ready'!$AJ$270="YES")+('10_Analysis_Ready'!$AK$270="YES")+('10_Analysis_Ready'!$AL$270="YES"))=0,'10_Analysis_Ready'!$AM$270&lt;&gt;"N/A"),1,0))</f>
        <v>0</v>
      </c>
      <c r="J287">
        <f>IF('10_Analysis_Ready'!$A$270="",0,IF(('28_Taxonomy_Coding'!$G$270="NONE")&lt;&gt;(((OR('10_Analysis_Ready'!$AG$270="YES",'10_Analysis_Ready'!$AH$270="YES"))*1+('10_Analysis_Ready'!$AI$270="YES")+('10_Analysis_Ready'!$AJ$270="YES")+('10_Analysis_Ready'!$AK$270="YES")+('10_Analysis_Ready'!$AL$270="YES"))=0),1,0))</f>
        <v>0</v>
      </c>
    </row>
    <row r="288" spans="1:10">
      <c r="A288">
        <v>271</v>
      </c>
      <c r="B288" t="str">
        <f>IF('10_Analysis_Ready'!$A$271="","",'10_Analysis_Ready'!$A$271)</f>
        <v/>
      </c>
      <c r="C288">
        <f>IF('10_Analysis_Ready'!$A$271="",0,IF(AND('28_Taxonomy_Coding'!$A$271='10_Analysis_Ready'!$A$271,'14_Generalization_Map'!$A$271='10_Analysis_Ready'!$A$271),0,1))</f>
        <v>0</v>
      </c>
      <c r="D288">
        <f>IF('10_Analysis_Ready'!$A$271="",0,IF(COUNTIFS('06_Full_Text_Screening'!$A:$A,'10_Analysis_Ready'!$A$271,'06_Full_Text_Screening'!$J:$J,"INCLUDE")=1,0,1))</f>
        <v>0</v>
      </c>
      <c r="E288">
        <f>IF('10_Analysis_Ready'!$A$271="",0,IF(OR(AND(((OR('10_Analysis_Ready'!$AG$271="YES",'10_Analysis_Ready'!$AH$271="YES"))*1+('10_Analysis_Ready'!$AI$271="YES")+('10_Analysis_Ready'!$AJ$271="YES")+('10_Analysis_Ready'!$AK$271="YES")+('10_Analysis_Ready'!$AL$271="YES"))=0,'10_Analysis_Ready'!$AF$271&lt;&gt;"NONE"),AND(((OR('10_Analysis_Ready'!$AG$271="YES",'10_Analysis_Ready'!$AH$271="YES"))*1+('10_Analysis_Ready'!$AI$271="YES")+('10_Analysis_Ready'!$AJ$271="YES")+('10_Analysis_Ready'!$AK$271="YES")+('10_Analysis_Ready'!$AL$271="YES"))=1,OR('10_Analysis_Ready'!$AF$271="NONE",'10_Analysis_Ready'!$AF$271="MULTIPLE")),AND(((OR('10_Analysis_Ready'!$AG$271="YES",'10_Analysis_Ready'!$AH$271="YES"))*1+('10_Analysis_Ready'!$AI$271="YES")+('10_Analysis_Ready'!$AJ$271="YES")+('10_Analysis_Ready'!$AK$271="YES")+('10_Analysis_Ready'!$AL$271="YES"))&gt;=2,'10_Analysis_Ready'!$AF$271&lt;&gt;"MULTIPLE")),1,0))</f>
        <v>0</v>
      </c>
      <c r="F288">
        <f>IF('10_Analysis_Ready'!$A$271="",0,IF(AND('10_Analysis_Ready'!$AO$271="NO",COUNTIF('10_Analysis_Ready'!$AP$271:$AU$271,"YES")&gt;0),1,0))</f>
        <v>0</v>
      </c>
      <c r="G288">
        <f>IF('10_Analysis_Ready'!$A$271="",0,IF(OR(AND('10_Analysis_Ready'!$Y$271="GAN",'10_Analysis_Ready'!$AA$271="YES"),AND('10_Analysis_Ready'!$Y$271="DIFFUSION",'10_Analysis_Ready'!$Z$271="YES"),AND('10_Analysis_Ready'!$Y$271="GAN+DIFFUSION",OR('10_Analysis_Ready'!$Z$271&lt;&gt;"YES",'10_Analysis_Ready'!$AA$271&lt;&gt;"YES"))),1,0))</f>
        <v>0</v>
      </c>
      <c r="H288">
        <f>IF('10_Analysis_Ready'!$A$271="",0,IF(OR(AND('10_Analysis_Ready'!$BJ$271="NO",OR('10_Analysis_Ready'!$BK$271="HIGH",'10_Analysis_Ready'!$BK$271="VERY HIGH")),AND(((OR('10_Analysis_Ready'!$AG$271="YES",'10_Analysis_Ready'!$AH$271="YES"))*1+('10_Analysis_Ready'!$AI$271="YES")+('10_Analysis_Ready'!$AJ$271="YES")+('10_Analysis_Ready'!$AK$271="YES")+('10_Analysis_Ready'!$AL$271="YES"))=0,'10_Analysis_Ready'!$BJ$271="YES")),1,0))</f>
        <v>0</v>
      </c>
      <c r="I288">
        <f>IF('10_Analysis_Ready'!$A$271="",0,IF(AND(((OR('10_Analysis_Ready'!$AG$271="YES",'10_Analysis_Ready'!$AH$271="YES"))*1+('10_Analysis_Ready'!$AI$271="YES")+('10_Analysis_Ready'!$AJ$271="YES")+('10_Analysis_Ready'!$AK$271="YES")+('10_Analysis_Ready'!$AL$271="YES"))=0,'10_Analysis_Ready'!$AM$271&lt;&gt;"N/A"),1,0))</f>
        <v>0</v>
      </c>
      <c r="J288">
        <f>IF('10_Analysis_Ready'!$A$271="",0,IF(('28_Taxonomy_Coding'!$G$271="NONE")&lt;&gt;(((OR('10_Analysis_Ready'!$AG$271="YES",'10_Analysis_Ready'!$AH$271="YES"))*1+('10_Analysis_Ready'!$AI$271="YES")+('10_Analysis_Ready'!$AJ$271="YES")+('10_Analysis_Ready'!$AK$271="YES")+('10_Analysis_Ready'!$AL$271="YES"))=0),1,0))</f>
        <v>0</v>
      </c>
    </row>
    <row r="289" spans="1:10">
      <c r="A289">
        <v>272</v>
      </c>
      <c r="B289" t="str">
        <f>IF('10_Analysis_Ready'!$A$272="","",'10_Analysis_Ready'!$A$272)</f>
        <v/>
      </c>
      <c r="C289">
        <f>IF('10_Analysis_Ready'!$A$272="",0,IF(AND('28_Taxonomy_Coding'!$A$272='10_Analysis_Ready'!$A$272,'14_Generalization_Map'!$A$272='10_Analysis_Ready'!$A$272),0,1))</f>
        <v>0</v>
      </c>
      <c r="D289">
        <f>IF('10_Analysis_Ready'!$A$272="",0,IF(COUNTIFS('06_Full_Text_Screening'!$A:$A,'10_Analysis_Ready'!$A$272,'06_Full_Text_Screening'!$J:$J,"INCLUDE")=1,0,1))</f>
        <v>0</v>
      </c>
      <c r="E289">
        <f>IF('10_Analysis_Ready'!$A$272="",0,IF(OR(AND(((OR('10_Analysis_Ready'!$AG$272="YES",'10_Analysis_Ready'!$AH$272="YES"))*1+('10_Analysis_Ready'!$AI$272="YES")+('10_Analysis_Ready'!$AJ$272="YES")+('10_Analysis_Ready'!$AK$272="YES")+('10_Analysis_Ready'!$AL$272="YES"))=0,'10_Analysis_Ready'!$AF$272&lt;&gt;"NONE"),AND(((OR('10_Analysis_Ready'!$AG$272="YES",'10_Analysis_Ready'!$AH$272="YES"))*1+('10_Analysis_Ready'!$AI$272="YES")+('10_Analysis_Ready'!$AJ$272="YES")+('10_Analysis_Ready'!$AK$272="YES")+('10_Analysis_Ready'!$AL$272="YES"))=1,OR('10_Analysis_Ready'!$AF$272="NONE",'10_Analysis_Ready'!$AF$272="MULTIPLE")),AND(((OR('10_Analysis_Ready'!$AG$272="YES",'10_Analysis_Ready'!$AH$272="YES"))*1+('10_Analysis_Ready'!$AI$272="YES")+('10_Analysis_Ready'!$AJ$272="YES")+('10_Analysis_Ready'!$AK$272="YES")+('10_Analysis_Ready'!$AL$272="YES"))&gt;=2,'10_Analysis_Ready'!$AF$272&lt;&gt;"MULTIPLE")),1,0))</f>
        <v>0</v>
      </c>
      <c r="F289">
        <f>IF('10_Analysis_Ready'!$A$272="",0,IF(AND('10_Analysis_Ready'!$AO$272="NO",COUNTIF('10_Analysis_Ready'!$AP$272:$AU$272,"YES")&gt;0),1,0))</f>
        <v>0</v>
      </c>
      <c r="G289">
        <f>IF('10_Analysis_Ready'!$A$272="",0,IF(OR(AND('10_Analysis_Ready'!$Y$272="GAN",'10_Analysis_Ready'!$AA$272="YES"),AND('10_Analysis_Ready'!$Y$272="DIFFUSION",'10_Analysis_Ready'!$Z$272="YES"),AND('10_Analysis_Ready'!$Y$272="GAN+DIFFUSION",OR('10_Analysis_Ready'!$Z$272&lt;&gt;"YES",'10_Analysis_Ready'!$AA$272&lt;&gt;"YES"))),1,0))</f>
        <v>0</v>
      </c>
      <c r="H289">
        <f>IF('10_Analysis_Ready'!$A$272="",0,IF(OR(AND('10_Analysis_Ready'!$BJ$272="NO",OR('10_Analysis_Ready'!$BK$272="HIGH",'10_Analysis_Ready'!$BK$272="VERY HIGH")),AND(((OR('10_Analysis_Ready'!$AG$272="YES",'10_Analysis_Ready'!$AH$272="YES"))*1+('10_Analysis_Ready'!$AI$272="YES")+('10_Analysis_Ready'!$AJ$272="YES")+('10_Analysis_Ready'!$AK$272="YES")+('10_Analysis_Ready'!$AL$272="YES"))=0,'10_Analysis_Ready'!$BJ$272="YES")),1,0))</f>
        <v>0</v>
      </c>
      <c r="I289">
        <f>IF('10_Analysis_Ready'!$A$272="",0,IF(AND(((OR('10_Analysis_Ready'!$AG$272="YES",'10_Analysis_Ready'!$AH$272="YES"))*1+('10_Analysis_Ready'!$AI$272="YES")+('10_Analysis_Ready'!$AJ$272="YES")+('10_Analysis_Ready'!$AK$272="YES")+('10_Analysis_Ready'!$AL$272="YES"))=0,'10_Analysis_Ready'!$AM$272&lt;&gt;"N/A"),1,0))</f>
        <v>0</v>
      </c>
      <c r="J289">
        <f>IF('10_Analysis_Ready'!$A$272="",0,IF(('28_Taxonomy_Coding'!$G$272="NONE")&lt;&gt;(((OR('10_Analysis_Ready'!$AG$272="YES",'10_Analysis_Ready'!$AH$272="YES"))*1+('10_Analysis_Ready'!$AI$272="YES")+('10_Analysis_Ready'!$AJ$272="YES")+('10_Analysis_Ready'!$AK$272="YES")+('10_Analysis_Ready'!$AL$272="YES"))=0),1,0))</f>
        <v>0</v>
      </c>
    </row>
    <row r="290" spans="1:10">
      <c r="A290">
        <v>273</v>
      </c>
      <c r="B290" t="str">
        <f>IF('10_Analysis_Ready'!$A$273="","",'10_Analysis_Ready'!$A$273)</f>
        <v/>
      </c>
      <c r="C290">
        <f>IF('10_Analysis_Ready'!$A$273="",0,IF(AND('28_Taxonomy_Coding'!$A$273='10_Analysis_Ready'!$A$273,'14_Generalization_Map'!$A$273='10_Analysis_Ready'!$A$273),0,1))</f>
        <v>0</v>
      </c>
      <c r="D290">
        <f>IF('10_Analysis_Ready'!$A$273="",0,IF(COUNTIFS('06_Full_Text_Screening'!$A:$A,'10_Analysis_Ready'!$A$273,'06_Full_Text_Screening'!$J:$J,"INCLUDE")=1,0,1))</f>
        <v>0</v>
      </c>
      <c r="E290">
        <f>IF('10_Analysis_Ready'!$A$273="",0,IF(OR(AND(((OR('10_Analysis_Ready'!$AG$273="YES",'10_Analysis_Ready'!$AH$273="YES"))*1+('10_Analysis_Ready'!$AI$273="YES")+('10_Analysis_Ready'!$AJ$273="YES")+('10_Analysis_Ready'!$AK$273="YES")+('10_Analysis_Ready'!$AL$273="YES"))=0,'10_Analysis_Ready'!$AF$273&lt;&gt;"NONE"),AND(((OR('10_Analysis_Ready'!$AG$273="YES",'10_Analysis_Ready'!$AH$273="YES"))*1+('10_Analysis_Ready'!$AI$273="YES")+('10_Analysis_Ready'!$AJ$273="YES")+('10_Analysis_Ready'!$AK$273="YES")+('10_Analysis_Ready'!$AL$273="YES"))=1,OR('10_Analysis_Ready'!$AF$273="NONE",'10_Analysis_Ready'!$AF$273="MULTIPLE")),AND(((OR('10_Analysis_Ready'!$AG$273="YES",'10_Analysis_Ready'!$AH$273="YES"))*1+('10_Analysis_Ready'!$AI$273="YES")+('10_Analysis_Ready'!$AJ$273="YES")+('10_Analysis_Ready'!$AK$273="YES")+('10_Analysis_Ready'!$AL$273="YES"))&gt;=2,'10_Analysis_Ready'!$AF$273&lt;&gt;"MULTIPLE")),1,0))</f>
        <v>0</v>
      </c>
      <c r="F290">
        <f>IF('10_Analysis_Ready'!$A$273="",0,IF(AND('10_Analysis_Ready'!$AO$273="NO",COUNTIF('10_Analysis_Ready'!$AP$273:$AU$273,"YES")&gt;0),1,0))</f>
        <v>0</v>
      </c>
      <c r="G290">
        <f>IF('10_Analysis_Ready'!$A$273="",0,IF(OR(AND('10_Analysis_Ready'!$Y$273="GAN",'10_Analysis_Ready'!$AA$273="YES"),AND('10_Analysis_Ready'!$Y$273="DIFFUSION",'10_Analysis_Ready'!$Z$273="YES"),AND('10_Analysis_Ready'!$Y$273="GAN+DIFFUSION",OR('10_Analysis_Ready'!$Z$273&lt;&gt;"YES",'10_Analysis_Ready'!$AA$273&lt;&gt;"YES"))),1,0))</f>
        <v>0</v>
      </c>
      <c r="H290">
        <f>IF('10_Analysis_Ready'!$A$273="",0,IF(OR(AND('10_Analysis_Ready'!$BJ$273="NO",OR('10_Analysis_Ready'!$BK$273="HIGH",'10_Analysis_Ready'!$BK$273="VERY HIGH")),AND(((OR('10_Analysis_Ready'!$AG$273="YES",'10_Analysis_Ready'!$AH$273="YES"))*1+('10_Analysis_Ready'!$AI$273="YES")+('10_Analysis_Ready'!$AJ$273="YES")+('10_Analysis_Ready'!$AK$273="YES")+('10_Analysis_Ready'!$AL$273="YES"))=0,'10_Analysis_Ready'!$BJ$273="YES")),1,0))</f>
        <v>0</v>
      </c>
      <c r="I290">
        <f>IF('10_Analysis_Ready'!$A$273="",0,IF(AND(((OR('10_Analysis_Ready'!$AG$273="YES",'10_Analysis_Ready'!$AH$273="YES"))*1+('10_Analysis_Ready'!$AI$273="YES")+('10_Analysis_Ready'!$AJ$273="YES")+('10_Analysis_Ready'!$AK$273="YES")+('10_Analysis_Ready'!$AL$273="YES"))=0,'10_Analysis_Ready'!$AM$273&lt;&gt;"N/A"),1,0))</f>
        <v>0</v>
      </c>
      <c r="J290">
        <f>IF('10_Analysis_Ready'!$A$273="",0,IF(('28_Taxonomy_Coding'!$G$273="NONE")&lt;&gt;(((OR('10_Analysis_Ready'!$AG$273="YES",'10_Analysis_Ready'!$AH$273="YES"))*1+('10_Analysis_Ready'!$AI$273="YES")+('10_Analysis_Ready'!$AJ$273="YES")+('10_Analysis_Ready'!$AK$273="YES")+('10_Analysis_Ready'!$AL$273="YES"))=0),1,0))</f>
        <v>0</v>
      </c>
    </row>
    <row r="291" spans="1:10">
      <c r="A291">
        <v>274</v>
      </c>
      <c r="B291" t="str">
        <f>IF('10_Analysis_Ready'!$A$274="","",'10_Analysis_Ready'!$A$274)</f>
        <v/>
      </c>
      <c r="C291">
        <f>IF('10_Analysis_Ready'!$A$274="",0,IF(AND('28_Taxonomy_Coding'!$A$274='10_Analysis_Ready'!$A$274,'14_Generalization_Map'!$A$274='10_Analysis_Ready'!$A$274),0,1))</f>
        <v>0</v>
      </c>
      <c r="D291">
        <f>IF('10_Analysis_Ready'!$A$274="",0,IF(COUNTIFS('06_Full_Text_Screening'!$A:$A,'10_Analysis_Ready'!$A$274,'06_Full_Text_Screening'!$J:$J,"INCLUDE")=1,0,1))</f>
        <v>0</v>
      </c>
      <c r="E291">
        <f>IF('10_Analysis_Ready'!$A$274="",0,IF(OR(AND(((OR('10_Analysis_Ready'!$AG$274="YES",'10_Analysis_Ready'!$AH$274="YES"))*1+('10_Analysis_Ready'!$AI$274="YES")+('10_Analysis_Ready'!$AJ$274="YES")+('10_Analysis_Ready'!$AK$274="YES")+('10_Analysis_Ready'!$AL$274="YES"))=0,'10_Analysis_Ready'!$AF$274&lt;&gt;"NONE"),AND(((OR('10_Analysis_Ready'!$AG$274="YES",'10_Analysis_Ready'!$AH$274="YES"))*1+('10_Analysis_Ready'!$AI$274="YES")+('10_Analysis_Ready'!$AJ$274="YES")+('10_Analysis_Ready'!$AK$274="YES")+('10_Analysis_Ready'!$AL$274="YES"))=1,OR('10_Analysis_Ready'!$AF$274="NONE",'10_Analysis_Ready'!$AF$274="MULTIPLE")),AND(((OR('10_Analysis_Ready'!$AG$274="YES",'10_Analysis_Ready'!$AH$274="YES"))*1+('10_Analysis_Ready'!$AI$274="YES")+('10_Analysis_Ready'!$AJ$274="YES")+('10_Analysis_Ready'!$AK$274="YES")+('10_Analysis_Ready'!$AL$274="YES"))&gt;=2,'10_Analysis_Ready'!$AF$274&lt;&gt;"MULTIPLE")),1,0))</f>
        <v>0</v>
      </c>
      <c r="F291">
        <f>IF('10_Analysis_Ready'!$A$274="",0,IF(AND('10_Analysis_Ready'!$AO$274="NO",COUNTIF('10_Analysis_Ready'!$AP$274:$AU$274,"YES")&gt;0),1,0))</f>
        <v>0</v>
      </c>
      <c r="G291">
        <f>IF('10_Analysis_Ready'!$A$274="",0,IF(OR(AND('10_Analysis_Ready'!$Y$274="GAN",'10_Analysis_Ready'!$AA$274="YES"),AND('10_Analysis_Ready'!$Y$274="DIFFUSION",'10_Analysis_Ready'!$Z$274="YES"),AND('10_Analysis_Ready'!$Y$274="GAN+DIFFUSION",OR('10_Analysis_Ready'!$Z$274&lt;&gt;"YES",'10_Analysis_Ready'!$AA$274&lt;&gt;"YES"))),1,0))</f>
        <v>0</v>
      </c>
      <c r="H291">
        <f>IF('10_Analysis_Ready'!$A$274="",0,IF(OR(AND('10_Analysis_Ready'!$BJ$274="NO",OR('10_Analysis_Ready'!$BK$274="HIGH",'10_Analysis_Ready'!$BK$274="VERY HIGH")),AND(((OR('10_Analysis_Ready'!$AG$274="YES",'10_Analysis_Ready'!$AH$274="YES"))*1+('10_Analysis_Ready'!$AI$274="YES")+('10_Analysis_Ready'!$AJ$274="YES")+('10_Analysis_Ready'!$AK$274="YES")+('10_Analysis_Ready'!$AL$274="YES"))=0,'10_Analysis_Ready'!$BJ$274="YES")),1,0))</f>
        <v>0</v>
      </c>
      <c r="I291">
        <f>IF('10_Analysis_Ready'!$A$274="",0,IF(AND(((OR('10_Analysis_Ready'!$AG$274="YES",'10_Analysis_Ready'!$AH$274="YES"))*1+('10_Analysis_Ready'!$AI$274="YES")+('10_Analysis_Ready'!$AJ$274="YES")+('10_Analysis_Ready'!$AK$274="YES")+('10_Analysis_Ready'!$AL$274="YES"))=0,'10_Analysis_Ready'!$AM$274&lt;&gt;"N/A"),1,0))</f>
        <v>0</v>
      </c>
      <c r="J291">
        <f>IF('10_Analysis_Ready'!$A$274="",0,IF(('28_Taxonomy_Coding'!$G$274="NONE")&lt;&gt;(((OR('10_Analysis_Ready'!$AG$274="YES",'10_Analysis_Ready'!$AH$274="YES"))*1+('10_Analysis_Ready'!$AI$274="YES")+('10_Analysis_Ready'!$AJ$274="YES")+('10_Analysis_Ready'!$AK$274="YES")+('10_Analysis_Ready'!$AL$274="YES"))=0),1,0))</f>
        <v>0</v>
      </c>
    </row>
    <row r="292" spans="1:10">
      <c r="A292">
        <v>275</v>
      </c>
      <c r="B292" t="str">
        <f>IF('10_Analysis_Ready'!$A$275="","",'10_Analysis_Ready'!$A$275)</f>
        <v/>
      </c>
      <c r="C292">
        <f>IF('10_Analysis_Ready'!$A$275="",0,IF(AND('28_Taxonomy_Coding'!$A$275='10_Analysis_Ready'!$A$275,'14_Generalization_Map'!$A$275='10_Analysis_Ready'!$A$275),0,1))</f>
        <v>0</v>
      </c>
      <c r="D292">
        <f>IF('10_Analysis_Ready'!$A$275="",0,IF(COUNTIFS('06_Full_Text_Screening'!$A:$A,'10_Analysis_Ready'!$A$275,'06_Full_Text_Screening'!$J:$J,"INCLUDE")=1,0,1))</f>
        <v>0</v>
      </c>
      <c r="E292">
        <f>IF('10_Analysis_Ready'!$A$275="",0,IF(OR(AND(((OR('10_Analysis_Ready'!$AG$275="YES",'10_Analysis_Ready'!$AH$275="YES"))*1+('10_Analysis_Ready'!$AI$275="YES")+('10_Analysis_Ready'!$AJ$275="YES")+('10_Analysis_Ready'!$AK$275="YES")+('10_Analysis_Ready'!$AL$275="YES"))=0,'10_Analysis_Ready'!$AF$275&lt;&gt;"NONE"),AND(((OR('10_Analysis_Ready'!$AG$275="YES",'10_Analysis_Ready'!$AH$275="YES"))*1+('10_Analysis_Ready'!$AI$275="YES")+('10_Analysis_Ready'!$AJ$275="YES")+('10_Analysis_Ready'!$AK$275="YES")+('10_Analysis_Ready'!$AL$275="YES"))=1,OR('10_Analysis_Ready'!$AF$275="NONE",'10_Analysis_Ready'!$AF$275="MULTIPLE")),AND(((OR('10_Analysis_Ready'!$AG$275="YES",'10_Analysis_Ready'!$AH$275="YES"))*1+('10_Analysis_Ready'!$AI$275="YES")+('10_Analysis_Ready'!$AJ$275="YES")+('10_Analysis_Ready'!$AK$275="YES")+('10_Analysis_Ready'!$AL$275="YES"))&gt;=2,'10_Analysis_Ready'!$AF$275&lt;&gt;"MULTIPLE")),1,0))</f>
        <v>0</v>
      </c>
      <c r="F292">
        <f>IF('10_Analysis_Ready'!$A$275="",0,IF(AND('10_Analysis_Ready'!$AO$275="NO",COUNTIF('10_Analysis_Ready'!$AP$275:$AU$275,"YES")&gt;0),1,0))</f>
        <v>0</v>
      </c>
      <c r="G292">
        <f>IF('10_Analysis_Ready'!$A$275="",0,IF(OR(AND('10_Analysis_Ready'!$Y$275="GAN",'10_Analysis_Ready'!$AA$275="YES"),AND('10_Analysis_Ready'!$Y$275="DIFFUSION",'10_Analysis_Ready'!$Z$275="YES"),AND('10_Analysis_Ready'!$Y$275="GAN+DIFFUSION",OR('10_Analysis_Ready'!$Z$275&lt;&gt;"YES",'10_Analysis_Ready'!$AA$275&lt;&gt;"YES"))),1,0))</f>
        <v>0</v>
      </c>
      <c r="H292">
        <f>IF('10_Analysis_Ready'!$A$275="",0,IF(OR(AND('10_Analysis_Ready'!$BJ$275="NO",OR('10_Analysis_Ready'!$BK$275="HIGH",'10_Analysis_Ready'!$BK$275="VERY HIGH")),AND(((OR('10_Analysis_Ready'!$AG$275="YES",'10_Analysis_Ready'!$AH$275="YES"))*1+('10_Analysis_Ready'!$AI$275="YES")+('10_Analysis_Ready'!$AJ$275="YES")+('10_Analysis_Ready'!$AK$275="YES")+('10_Analysis_Ready'!$AL$275="YES"))=0,'10_Analysis_Ready'!$BJ$275="YES")),1,0))</f>
        <v>0</v>
      </c>
      <c r="I292">
        <f>IF('10_Analysis_Ready'!$A$275="",0,IF(AND(((OR('10_Analysis_Ready'!$AG$275="YES",'10_Analysis_Ready'!$AH$275="YES"))*1+('10_Analysis_Ready'!$AI$275="YES")+('10_Analysis_Ready'!$AJ$275="YES")+('10_Analysis_Ready'!$AK$275="YES")+('10_Analysis_Ready'!$AL$275="YES"))=0,'10_Analysis_Ready'!$AM$275&lt;&gt;"N/A"),1,0))</f>
        <v>0</v>
      </c>
      <c r="J292">
        <f>IF('10_Analysis_Ready'!$A$275="",0,IF(('28_Taxonomy_Coding'!$G$275="NONE")&lt;&gt;(((OR('10_Analysis_Ready'!$AG$275="YES",'10_Analysis_Ready'!$AH$275="YES"))*1+('10_Analysis_Ready'!$AI$275="YES")+('10_Analysis_Ready'!$AJ$275="YES")+('10_Analysis_Ready'!$AK$275="YES")+('10_Analysis_Ready'!$AL$275="YES"))=0),1,0))</f>
        <v>0</v>
      </c>
    </row>
    <row r="293" spans="1:10">
      <c r="A293">
        <v>276</v>
      </c>
      <c r="B293" t="str">
        <f>IF('10_Analysis_Ready'!$A$276="","",'10_Analysis_Ready'!$A$276)</f>
        <v/>
      </c>
      <c r="C293">
        <f>IF('10_Analysis_Ready'!$A$276="",0,IF(AND('28_Taxonomy_Coding'!$A$276='10_Analysis_Ready'!$A$276,'14_Generalization_Map'!$A$276='10_Analysis_Ready'!$A$276),0,1))</f>
        <v>0</v>
      </c>
      <c r="D293">
        <f>IF('10_Analysis_Ready'!$A$276="",0,IF(COUNTIFS('06_Full_Text_Screening'!$A:$A,'10_Analysis_Ready'!$A$276,'06_Full_Text_Screening'!$J:$J,"INCLUDE")=1,0,1))</f>
        <v>0</v>
      </c>
      <c r="E293">
        <f>IF('10_Analysis_Ready'!$A$276="",0,IF(OR(AND(((OR('10_Analysis_Ready'!$AG$276="YES",'10_Analysis_Ready'!$AH$276="YES"))*1+('10_Analysis_Ready'!$AI$276="YES")+('10_Analysis_Ready'!$AJ$276="YES")+('10_Analysis_Ready'!$AK$276="YES")+('10_Analysis_Ready'!$AL$276="YES"))=0,'10_Analysis_Ready'!$AF$276&lt;&gt;"NONE"),AND(((OR('10_Analysis_Ready'!$AG$276="YES",'10_Analysis_Ready'!$AH$276="YES"))*1+('10_Analysis_Ready'!$AI$276="YES")+('10_Analysis_Ready'!$AJ$276="YES")+('10_Analysis_Ready'!$AK$276="YES")+('10_Analysis_Ready'!$AL$276="YES"))=1,OR('10_Analysis_Ready'!$AF$276="NONE",'10_Analysis_Ready'!$AF$276="MULTIPLE")),AND(((OR('10_Analysis_Ready'!$AG$276="YES",'10_Analysis_Ready'!$AH$276="YES"))*1+('10_Analysis_Ready'!$AI$276="YES")+('10_Analysis_Ready'!$AJ$276="YES")+('10_Analysis_Ready'!$AK$276="YES")+('10_Analysis_Ready'!$AL$276="YES"))&gt;=2,'10_Analysis_Ready'!$AF$276&lt;&gt;"MULTIPLE")),1,0))</f>
        <v>0</v>
      </c>
      <c r="F293">
        <f>IF('10_Analysis_Ready'!$A$276="",0,IF(AND('10_Analysis_Ready'!$AO$276="NO",COUNTIF('10_Analysis_Ready'!$AP$276:$AU$276,"YES")&gt;0),1,0))</f>
        <v>0</v>
      </c>
      <c r="G293">
        <f>IF('10_Analysis_Ready'!$A$276="",0,IF(OR(AND('10_Analysis_Ready'!$Y$276="GAN",'10_Analysis_Ready'!$AA$276="YES"),AND('10_Analysis_Ready'!$Y$276="DIFFUSION",'10_Analysis_Ready'!$Z$276="YES"),AND('10_Analysis_Ready'!$Y$276="GAN+DIFFUSION",OR('10_Analysis_Ready'!$Z$276&lt;&gt;"YES",'10_Analysis_Ready'!$AA$276&lt;&gt;"YES"))),1,0))</f>
        <v>0</v>
      </c>
      <c r="H293">
        <f>IF('10_Analysis_Ready'!$A$276="",0,IF(OR(AND('10_Analysis_Ready'!$BJ$276="NO",OR('10_Analysis_Ready'!$BK$276="HIGH",'10_Analysis_Ready'!$BK$276="VERY HIGH")),AND(((OR('10_Analysis_Ready'!$AG$276="YES",'10_Analysis_Ready'!$AH$276="YES"))*1+('10_Analysis_Ready'!$AI$276="YES")+('10_Analysis_Ready'!$AJ$276="YES")+('10_Analysis_Ready'!$AK$276="YES")+('10_Analysis_Ready'!$AL$276="YES"))=0,'10_Analysis_Ready'!$BJ$276="YES")),1,0))</f>
        <v>0</v>
      </c>
      <c r="I293">
        <f>IF('10_Analysis_Ready'!$A$276="",0,IF(AND(((OR('10_Analysis_Ready'!$AG$276="YES",'10_Analysis_Ready'!$AH$276="YES"))*1+('10_Analysis_Ready'!$AI$276="YES")+('10_Analysis_Ready'!$AJ$276="YES")+('10_Analysis_Ready'!$AK$276="YES")+('10_Analysis_Ready'!$AL$276="YES"))=0,'10_Analysis_Ready'!$AM$276&lt;&gt;"N/A"),1,0))</f>
        <v>0</v>
      </c>
      <c r="J293">
        <f>IF('10_Analysis_Ready'!$A$276="",0,IF(('28_Taxonomy_Coding'!$G$276="NONE")&lt;&gt;(((OR('10_Analysis_Ready'!$AG$276="YES",'10_Analysis_Ready'!$AH$276="YES"))*1+('10_Analysis_Ready'!$AI$276="YES")+('10_Analysis_Ready'!$AJ$276="YES")+('10_Analysis_Ready'!$AK$276="YES")+('10_Analysis_Ready'!$AL$276="YES"))=0),1,0))</f>
        <v>0</v>
      </c>
    </row>
    <row r="294" spans="1:10">
      <c r="A294">
        <v>277</v>
      </c>
      <c r="B294" t="str">
        <f>IF('10_Analysis_Ready'!$A$277="","",'10_Analysis_Ready'!$A$277)</f>
        <v/>
      </c>
      <c r="C294">
        <f>IF('10_Analysis_Ready'!$A$277="",0,IF(AND('28_Taxonomy_Coding'!$A$277='10_Analysis_Ready'!$A$277,'14_Generalization_Map'!$A$277='10_Analysis_Ready'!$A$277),0,1))</f>
        <v>0</v>
      </c>
      <c r="D294">
        <f>IF('10_Analysis_Ready'!$A$277="",0,IF(COUNTIFS('06_Full_Text_Screening'!$A:$A,'10_Analysis_Ready'!$A$277,'06_Full_Text_Screening'!$J:$J,"INCLUDE")=1,0,1))</f>
        <v>0</v>
      </c>
      <c r="E294">
        <f>IF('10_Analysis_Ready'!$A$277="",0,IF(OR(AND(((OR('10_Analysis_Ready'!$AG$277="YES",'10_Analysis_Ready'!$AH$277="YES"))*1+('10_Analysis_Ready'!$AI$277="YES")+('10_Analysis_Ready'!$AJ$277="YES")+('10_Analysis_Ready'!$AK$277="YES")+('10_Analysis_Ready'!$AL$277="YES"))=0,'10_Analysis_Ready'!$AF$277&lt;&gt;"NONE"),AND(((OR('10_Analysis_Ready'!$AG$277="YES",'10_Analysis_Ready'!$AH$277="YES"))*1+('10_Analysis_Ready'!$AI$277="YES")+('10_Analysis_Ready'!$AJ$277="YES")+('10_Analysis_Ready'!$AK$277="YES")+('10_Analysis_Ready'!$AL$277="YES"))=1,OR('10_Analysis_Ready'!$AF$277="NONE",'10_Analysis_Ready'!$AF$277="MULTIPLE")),AND(((OR('10_Analysis_Ready'!$AG$277="YES",'10_Analysis_Ready'!$AH$277="YES"))*1+('10_Analysis_Ready'!$AI$277="YES")+('10_Analysis_Ready'!$AJ$277="YES")+('10_Analysis_Ready'!$AK$277="YES")+('10_Analysis_Ready'!$AL$277="YES"))&gt;=2,'10_Analysis_Ready'!$AF$277&lt;&gt;"MULTIPLE")),1,0))</f>
        <v>0</v>
      </c>
      <c r="F294">
        <f>IF('10_Analysis_Ready'!$A$277="",0,IF(AND('10_Analysis_Ready'!$AO$277="NO",COUNTIF('10_Analysis_Ready'!$AP$277:$AU$277,"YES")&gt;0),1,0))</f>
        <v>0</v>
      </c>
      <c r="G294">
        <f>IF('10_Analysis_Ready'!$A$277="",0,IF(OR(AND('10_Analysis_Ready'!$Y$277="GAN",'10_Analysis_Ready'!$AA$277="YES"),AND('10_Analysis_Ready'!$Y$277="DIFFUSION",'10_Analysis_Ready'!$Z$277="YES"),AND('10_Analysis_Ready'!$Y$277="GAN+DIFFUSION",OR('10_Analysis_Ready'!$Z$277&lt;&gt;"YES",'10_Analysis_Ready'!$AA$277&lt;&gt;"YES"))),1,0))</f>
        <v>0</v>
      </c>
      <c r="H294">
        <f>IF('10_Analysis_Ready'!$A$277="",0,IF(OR(AND('10_Analysis_Ready'!$BJ$277="NO",OR('10_Analysis_Ready'!$BK$277="HIGH",'10_Analysis_Ready'!$BK$277="VERY HIGH")),AND(((OR('10_Analysis_Ready'!$AG$277="YES",'10_Analysis_Ready'!$AH$277="YES"))*1+('10_Analysis_Ready'!$AI$277="YES")+('10_Analysis_Ready'!$AJ$277="YES")+('10_Analysis_Ready'!$AK$277="YES")+('10_Analysis_Ready'!$AL$277="YES"))=0,'10_Analysis_Ready'!$BJ$277="YES")),1,0))</f>
        <v>0</v>
      </c>
      <c r="I294">
        <f>IF('10_Analysis_Ready'!$A$277="",0,IF(AND(((OR('10_Analysis_Ready'!$AG$277="YES",'10_Analysis_Ready'!$AH$277="YES"))*1+('10_Analysis_Ready'!$AI$277="YES")+('10_Analysis_Ready'!$AJ$277="YES")+('10_Analysis_Ready'!$AK$277="YES")+('10_Analysis_Ready'!$AL$277="YES"))=0,'10_Analysis_Ready'!$AM$277&lt;&gt;"N/A"),1,0))</f>
        <v>0</v>
      </c>
      <c r="J294">
        <f>IF('10_Analysis_Ready'!$A$277="",0,IF(('28_Taxonomy_Coding'!$G$277="NONE")&lt;&gt;(((OR('10_Analysis_Ready'!$AG$277="YES",'10_Analysis_Ready'!$AH$277="YES"))*1+('10_Analysis_Ready'!$AI$277="YES")+('10_Analysis_Ready'!$AJ$277="YES")+('10_Analysis_Ready'!$AK$277="YES")+('10_Analysis_Ready'!$AL$277="YES"))=0),1,0))</f>
        <v>0</v>
      </c>
    </row>
    <row r="295" spans="1:10">
      <c r="A295">
        <v>278</v>
      </c>
      <c r="B295" t="str">
        <f>IF('10_Analysis_Ready'!$A$278="","",'10_Analysis_Ready'!$A$278)</f>
        <v/>
      </c>
      <c r="C295">
        <f>IF('10_Analysis_Ready'!$A$278="",0,IF(AND('28_Taxonomy_Coding'!$A$278='10_Analysis_Ready'!$A$278,'14_Generalization_Map'!$A$278='10_Analysis_Ready'!$A$278),0,1))</f>
        <v>0</v>
      </c>
      <c r="D295">
        <f>IF('10_Analysis_Ready'!$A$278="",0,IF(COUNTIFS('06_Full_Text_Screening'!$A:$A,'10_Analysis_Ready'!$A$278,'06_Full_Text_Screening'!$J:$J,"INCLUDE")=1,0,1))</f>
        <v>0</v>
      </c>
      <c r="E295">
        <f>IF('10_Analysis_Ready'!$A$278="",0,IF(OR(AND(((OR('10_Analysis_Ready'!$AG$278="YES",'10_Analysis_Ready'!$AH$278="YES"))*1+('10_Analysis_Ready'!$AI$278="YES")+('10_Analysis_Ready'!$AJ$278="YES")+('10_Analysis_Ready'!$AK$278="YES")+('10_Analysis_Ready'!$AL$278="YES"))=0,'10_Analysis_Ready'!$AF$278&lt;&gt;"NONE"),AND(((OR('10_Analysis_Ready'!$AG$278="YES",'10_Analysis_Ready'!$AH$278="YES"))*1+('10_Analysis_Ready'!$AI$278="YES")+('10_Analysis_Ready'!$AJ$278="YES")+('10_Analysis_Ready'!$AK$278="YES")+('10_Analysis_Ready'!$AL$278="YES"))=1,OR('10_Analysis_Ready'!$AF$278="NONE",'10_Analysis_Ready'!$AF$278="MULTIPLE")),AND(((OR('10_Analysis_Ready'!$AG$278="YES",'10_Analysis_Ready'!$AH$278="YES"))*1+('10_Analysis_Ready'!$AI$278="YES")+('10_Analysis_Ready'!$AJ$278="YES")+('10_Analysis_Ready'!$AK$278="YES")+('10_Analysis_Ready'!$AL$278="YES"))&gt;=2,'10_Analysis_Ready'!$AF$278&lt;&gt;"MULTIPLE")),1,0))</f>
        <v>0</v>
      </c>
      <c r="F295">
        <f>IF('10_Analysis_Ready'!$A$278="",0,IF(AND('10_Analysis_Ready'!$AO$278="NO",COUNTIF('10_Analysis_Ready'!$AP$278:$AU$278,"YES")&gt;0),1,0))</f>
        <v>0</v>
      </c>
      <c r="G295">
        <f>IF('10_Analysis_Ready'!$A$278="",0,IF(OR(AND('10_Analysis_Ready'!$Y$278="GAN",'10_Analysis_Ready'!$AA$278="YES"),AND('10_Analysis_Ready'!$Y$278="DIFFUSION",'10_Analysis_Ready'!$Z$278="YES"),AND('10_Analysis_Ready'!$Y$278="GAN+DIFFUSION",OR('10_Analysis_Ready'!$Z$278&lt;&gt;"YES",'10_Analysis_Ready'!$AA$278&lt;&gt;"YES"))),1,0))</f>
        <v>0</v>
      </c>
      <c r="H295">
        <f>IF('10_Analysis_Ready'!$A$278="",0,IF(OR(AND('10_Analysis_Ready'!$BJ$278="NO",OR('10_Analysis_Ready'!$BK$278="HIGH",'10_Analysis_Ready'!$BK$278="VERY HIGH")),AND(((OR('10_Analysis_Ready'!$AG$278="YES",'10_Analysis_Ready'!$AH$278="YES"))*1+('10_Analysis_Ready'!$AI$278="YES")+('10_Analysis_Ready'!$AJ$278="YES")+('10_Analysis_Ready'!$AK$278="YES")+('10_Analysis_Ready'!$AL$278="YES"))=0,'10_Analysis_Ready'!$BJ$278="YES")),1,0))</f>
        <v>0</v>
      </c>
      <c r="I295">
        <f>IF('10_Analysis_Ready'!$A$278="",0,IF(AND(((OR('10_Analysis_Ready'!$AG$278="YES",'10_Analysis_Ready'!$AH$278="YES"))*1+('10_Analysis_Ready'!$AI$278="YES")+('10_Analysis_Ready'!$AJ$278="YES")+('10_Analysis_Ready'!$AK$278="YES")+('10_Analysis_Ready'!$AL$278="YES"))=0,'10_Analysis_Ready'!$AM$278&lt;&gt;"N/A"),1,0))</f>
        <v>0</v>
      </c>
      <c r="J295">
        <f>IF('10_Analysis_Ready'!$A$278="",0,IF(('28_Taxonomy_Coding'!$G$278="NONE")&lt;&gt;(((OR('10_Analysis_Ready'!$AG$278="YES",'10_Analysis_Ready'!$AH$278="YES"))*1+('10_Analysis_Ready'!$AI$278="YES")+('10_Analysis_Ready'!$AJ$278="YES")+('10_Analysis_Ready'!$AK$278="YES")+('10_Analysis_Ready'!$AL$278="YES"))=0),1,0))</f>
        <v>0</v>
      </c>
    </row>
    <row r="296" spans="1:10">
      <c r="A296">
        <v>279</v>
      </c>
      <c r="B296" t="str">
        <f>IF('10_Analysis_Ready'!$A$279="","",'10_Analysis_Ready'!$A$279)</f>
        <v/>
      </c>
      <c r="C296">
        <f>IF('10_Analysis_Ready'!$A$279="",0,IF(AND('28_Taxonomy_Coding'!$A$279='10_Analysis_Ready'!$A$279,'14_Generalization_Map'!$A$279='10_Analysis_Ready'!$A$279),0,1))</f>
        <v>0</v>
      </c>
      <c r="D296">
        <f>IF('10_Analysis_Ready'!$A$279="",0,IF(COUNTIFS('06_Full_Text_Screening'!$A:$A,'10_Analysis_Ready'!$A$279,'06_Full_Text_Screening'!$J:$J,"INCLUDE")=1,0,1))</f>
        <v>0</v>
      </c>
      <c r="E296">
        <f>IF('10_Analysis_Ready'!$A$279="",0,IF(OR(AND(((OR('10_Analysis_Ready'!$AG$279="YES",'10_Analysis_Ready'!$AH$279="YES"))*1+('10_Analysis_Ready'!$AI$279="YES")+('10_Analysis_Ready'!$AJ$279="YES")+('10_Analysis_Ready'!$AK$279="YES")+('10_Analysis_Ready'!$AL$279="YES"))=0,'10_Analysis_Ready'!$AF$279&lt;&gt;"NONE"),AND(((OR('10_Analysis_Ready'!$AG$279="YES",'10_Analysis_Ready'!$AH$279="YES"))*1+('10_Analysis_Ready'!$AI$279="YES")+('10_Analysis_Ready'!$AJ$279="YES")+('10_Analysis_Ready'!$AK$279="YES")+('10_Analysis_Ready'!$AL$279="YES"))=1,OR('10_Analysis_Ready'!$AF$279="NONE",'10_Analysis_Ready'!$AF$279="MULTIPLE")),AND(((OR('10_Analysis_Ready'!$AG$279="YES",'10_Analysis_Ready'!$AH$279="YES"))*1+('10_Analysis_Ready'!$AI$279="YES")+('10_Analysis_Ready'!$AJ$279="YES")+('10_Analysis_Ready'!$AK$279="YES")+('10_Analysis_Ready'!$AL$279="YES"))&gt;=2,'10_Analysis_Ready'!$AF$279&lt;&gt;"MULTIPLE")),1,0))</f>
        <v>0</v>
      </c>
      <c r="F296">
        <f>IF('10_Analysis_Ready'!$A$279="",0,IF(AND('10_Analysis_Ready'!$AO$279="NO",COUNTIF('10_Analysis_Ready'!$AP$279:$AU$279,"YES")&gt;0),1,0))</f>
        <v>0</v>
      </c>
      <c r="G296">
        <f>IF('10_Analysis_Ready'!$A$279="",0,IF(OR(AND('10_Analysis_Ready'!$Y$279="GAN",'10_Analysis_Ready'!$AA$279="YES"),AND('10_Analysis_Ready'!$Y$279="DIFFUSION",'10_Analysis_Ready'!$Z$279="YES"),AND('10_Analysis_Ready'!$Y$279="GAN+DIFFUSION",OR('10_Analysis_Ready'!$Z$279&lt;&gt;"YES",'10_Analysis_Ready'!$AA$279&lt;&gt;"YES"))),1,0))</f>
        <v>0</v>
      </c>
      <c r="H296">
        <f>IF('10_Analysis_Ready'!$A$279="",0,IF(OR(AND('10_Analysis_Ready'!$BJ$279="NO",OR('10_Analysis_Ready'!$BK$279="HIGH",'10_Analysis_Ready'!$BK$279="VERY HIGH")),AND(((OR('10_Analysis_Ready'!$AG$279="YES",'10_Analysis_Ready'!$AH$279="YES"))*1+('10_Analysis_Ready'!$AI$279="YES")+('10_Analysis_Ready'!$AJ$279="YES")+('10_Analysis_Ready'!$AK$279="YES")+('10_Analysis_Ready'!$AL$279="YES"))=0,'10_Analysis_Ready'!$BJ$279="YES")),1,0))</f>
        <v>0</v>
      </c>
      <c r="I296">
        <f>IF('10_Analysis_Ready'!$A$279="",0,IF(AND(((OR('10_Analysis_Ready'!$AG$279="YES",'10_Analysis_Ready'!$AH$279="YES"))*1+('10_Analysis_Ready'!$AI$279="YES")+('10_Analysis_Ready'!$AJ$279="YES")+('10_Analysis_Ready'!$AK$279="YES")+('10_Analysis_Ready'!$AL$279="YES"))=0,'10_Analysis_Ready'!$AM$279&lt;&gt;"N/A"),1,0))</f>
        <v>0</v>
      </c>
      <c r="J296">
        <f>IF('10_Analysis_Ready'!$A$279="",0,IF(('28_Taxonomy_Coding'!$G$279="NONE")&lt;&gt;(((OR('10_Analysis_Ready'!$AG$279="YES",'10_Analysis_Ready'!$AH$279="YES"))*1+('10_Analysis_Ready'!$AI$279="YES")+('10_Analysis_Ready'!$AJ$279="YES")+('10_Analysis_Ready'!$AK$279="YES")+('10_Analysis_Ready'!$AL$279="YES"))=0),1,0))</f>
        <v>0</v>
      </c>
    </row>
    <row r="297" spans="1:10">
      <c r="A297">
        <v>280</v>
      </c>
      <c r="B297" t="str">
        <f>IF('10_Analysis_Ready'!$A$280="","",'10_Analysis_Ready'!$A$280)</f>
        <v/>
      </c>
      <c r="C297">
        <f>IF('10_Analysis_Ready'!$A$280="",0,IF(AND('28_Taxonomy_Coding'!$A$280='10_Analysis_Ready'!$A$280,'14_Generalization_Map'!$A$280='10_Analysis_Ready'!$A$280),0,1))</f>
        <v>0</v>
      </c>
      <c r="D297">
        <f>IF('10_Analysis_Ready'!$A$280="",0,IF(COUNTIFS('06_Full_Text_Screening'!$A:$A,'10_Analysis_Ready'!$A$280,'06_Full_Text_Screening'!$J:$J,"INCLUDE")=1,0,1))</f>
        <v>0</v>
      </c>
      <c r="E297">
        <f>IF('10_Analysis_Ready'!$A$280="",0,IF(OR(AND(((OR('10_Analysis_Ready'!$AG$280="YES",'10_Analysis_Ready'!$AH$280="YES"))*1+('10_Analysis_Ready'!$AI$280="YES")+('10_Analysis_Ready'!$AJ$280="YES")+('10_Analysis_Ready'!$AK$280="YES")+('10_Analysis_Ready'!$AL$280="YES"))=0,'10_Analysis_Ready'!$AF$280&lt;&gt;"NONE"),AND(((OR('10_Analysis_Ready'!$AG$280="YES",'10_Analysis_Ready'!$AH$280="YES"))*1+('10_Analysis_Ready'!$AI$280="YES")+('10_Analysis_Ready'!$AJ$280="YES")+('10_Analysis_Ready'!$AK$280="YES")+('10_Analysis_Ready'!$AL$280="YES"))=1,OR('10_Analysis_Ready'!$AF$280="NONE",'10_Analysis_Ready'!$AF$280="MULTIPLE")),AND(((OR('10_Analysis_Ready'!$AG$280="YES",'10_Analysis_Ready'!$AH$280="YES"))*1+('10_Analysis_Ready'!$AI$280="YES")+('10_Analysis_Ready'!$AJ$280="YES")+('10_Analysis_Ready'!$AK$280="YES")+('10_Analysis_Ready'!$AL$280="YES"))&gt;=2,'10_Analysis_Ready'!$AF$280&lt;&gt;"MULTIPLE")),1,0))</f>
        <v>0</v>
      </c>
      <c r="F297">
        <f>IF('10_Analysis_Ready'!$A$280="",0,IF(AND('10_Analysis_Ready'!$AO$280="NO",COUNTIF('10_Analysis_Ready'!$AP$280:$AU$280,"YES")&gt;0),1,0))</f>
        <v>0</v>
      </c>
      <c r="G297">
        <f>IF('10_Analysis_Ready'!$A$280="",0,IF(OR(AND('10_Analysis_Ready'!$Y$280="GAN",'10_Analysis_Ready'!$AA$280="YES"),AND('10_Analysis_Ready'!$Y$280="DIFFUSION",'10_Analysis_Ready'!$Z$280="YES"),AND('10_Analysis_Ready'!$Y$280="GAN+DIFFUSION",OR('10_Analysis_Ready'!$Z$280&lt;&gt;"YES",'10_Analysis_Ready'!$AA$280&lt;&gt;"YES"))),1,0))</f>
        <v>0</v>
      </c>
      <c r="H297">
        <f>IF('10_Analysis_Ready'!$A$280="",0,IF(OR(AND('10_Analysis_Ready'!$BJ$280="NO",OR('10_Analysis_Ready'!$BK$280="HIGH",'10_Analysis_Ready'!$BK$280="VERY HIGH")),AND(((OR('10_Analysis_Ready'!$AG$280="YES",'10_Analysis_Ready'!$AH$280="YES"))*1+('10_Analysis_Ready'!$AI$280="YES")+('10_Analysis_Ready'!$AJ$280="YES")+('10_Analysis_Ready'!$AK$280="YES")+('10_Analysis_Ready'!$AL$280="YES"))=0,'10_Analysis_Ready'!$BJ$280="YES")),1,0))</f>
        <v>0</v>
      </c>
      <c r="I297">
        <f>IF('10_Analysis_Ready'!$A$280="",0,IF(AND(((OR('10_Analysis_Ready'!$AG$280="YES",'10_Analysis_Ready'!$AH$280="YES"))*1+('10_Analysis_Ready'!$AI$280="YES")+('10_Analysis_Ready'!$AJ$280="YES")+('10_Analysis_Ready'!$AK$280="YES")+('10_Analysis_Ready'!$AL$280="YES"))=0,'10_Analysis_Ready'!$AM$280&lt;&gt;"N/A"),1,0))</f>
        <v>0</v>
      </c>
      <c r="J297">
        <f>IF('10_Analysis_Ready'!$A$280="",0,IF(('28_Taxonomy_Coding'!$G$280="NONE")&lt;&gt;(((OR('10_Analysis_Ready'!$AG$280="YES",'10_Analysis_Ready'!$AH$280="YES"))*1+('10_Analysis_Ready'!$AI$280="YES")+('10_Analysis_Ready'!$AJ$280="YES")+('10_Analysis_Ready'!$AK$280="YES")+('10_Analysis_Ready'!$AL$280="YES"))=0),1,0))</f>
        <v>0</v>
      </c>
    </row>
    <row r="298" spans="1:10">
      <c r="A298">
        <v>281</v>
      </c>
      <c r="B298" t="str">
        <f>IF('10_Analysis_Ready'!$A$281="","",'10_Analysis_Ready'!$A$281)</f>
        <v/>
      </c>
      <c r="C298">
        <f>IF('10_Analysis_Ready'!$A$281="",0,IF(AND('28_Taxonomy_Coding'!$A$281='10_Analysis_Ready'!$A$281,'14_Generalization_Map'!$A$281='10_Analysis_Ready'!$A$281),0,1))</f>
        <v>0</v>
      </c>
      <c r="D298">
        <f>IF('10_Analysis_Ready'!$A$281="",0,IF(COUNTIFS('06_Full_Text_Screening'!$A:$A,'10_Analysis_Ready'!$A$281,'06_Full_Text_Screening'!$J:$J,"INCLUDE")=1,0,1))</f>
        <v>0</v>
      </c>
      <c r="E298">
        <f>IF('10_Analysis_Ready'!$A$281="",0,IF(OR(AND(((OR('10_Analysis_Ready'!$AG$281="YES",'10_Analysis_Ready'!$AH$281="YES"))*1+('10_Analysis_Ready'!$AI$281="YES")+('10_Analysis_Ready'!$AJ$281="YES")+('10_Analysis_Ready'!$AK$281="YES")+('10_Analysis_Ready'!$AL$281="YES"))=0,'10_Analysis_Ready'!$AF$281&lt;&gt;"NONE"),AND(((OR('10_Analysis_Ready'!$AG$281="YES",'10_Analysis_Ready'!$AH$281="YES"))*1+('10_Analysis_Ready'!$AI$281="YES")+('10_Analysis_Ready'!$AJ$281="YES")+('10_Analysis_Ready'!$AK$281="YES")+('10_Analysis_Ready'!$AL$281="YES"))=1,OR('10_Analysis_Ready'!$AF$281="NONE",'10_Analysis_Ready'!$AF$281="MULTIPLE")),AND(((OR('10_Analysis_Ready'!$AG$281="YES",'10_Analysis_Ready'!$AH$281="YES"))*1+('10_Analysis_Ready'!$AI$281="YES")+('10_Analysis_Ready'!$AJ$281="YES")+('10_Analysis_Ready'!$AK$281="YES")+('10_Analysis_Ready'!$AL$281="YES"))&gt;=2,'10_Analysis_Ready'!$AF$281&lt;&gt;"MULTIPLE")),1,0))</f>
        <v>0</v>
      </c>
      <c r="F298">
        <f>IF('10_Analysis_Ready'!$A$281="",0,IF(AND('10_Analysis_Ready'!$AO$281="NO",COUNTIF('10_Analysis_Ready'!$AP$281:$AU$281,"YES")&gt;0),1,0))</f>
        <v>0</v>
      </c>
      <c r="G298">
        <f>IF('10_Analysis_Ready'!$A$281="",0,IF(OR(AND('10_Analysis_Ready'!$Y$281="GAN",'10_Analysis_Ready'!$AA$281="YES"),AND('10_Analysis_Ready'!$Y$281="DIFFUSION",'10_Analysis_Ready'!$Z$281="YES"),AND('10_Analysis_Ready'!$Y$281="GAN+DIFFUSION",OR('10_Analysis_Ready'!$Z$281&lt;&gt;"YES",'10_Analysis_Ready'!$AA$281&lt;&gt;"YES"))),1,0))</f>
        <v>0</v>
      </c>
      <c r="H298">
        <f>IF('10_Analysis_Ready'!$A$281="",0,IF(OR(AND('10_Analysis_Ready'!$BJ$281="NO",OR('10_Analysis_Ready'!$BK$281="HIGH",'10_Analysis_Ready'!$BK$281="VERY HIGH")),AND(((OR('10_Analysis_Ready'!$AG$281="YES",'10_Analysis_Ready'!$AH$281="YES"))*1+('10_Analysis_Ready'!$AI$281="YES")+('10_Analysis_Ready'!$AJ$281="YES")+('10_Analysis_Ready'!$AK$281="YES")+('10_Analysis_Ready'!$AL$281="YES"))=0,'10_Analysis_Ready'!$BJ$281="YES")),1,0))</f>
        <v>0</v>
      </c>
      <c r="I298">
        <f>IF('10_Analysis_Ready'!$A$281="",0,IF(AND(((OR('10_Analysis_Ready'!$AG$281="YES",'10_Analysis_Ready'!$AH$281="YES"))*1+('10_Analysis_Ready'!$AI$281="YES")+('10_Analysis_Ready'!$AJ$281="YES")+('10_Analysis_Ready'!$AK$281="YES")+('10_Analysis_Ready'!$AL$281="YES"))=0,'10_Analysis_Ready'!$AM$281&lt;&gt;"N/A"),1,0))</f>
        <v>0</v>
      </c>
      <c r="J298">
        <f>IF('10_Analysis_Ready'!$A$281="",0,IF(('28_Taxonomy_Coding'!$G$281="NONE")&lt;&gt;(((OR('10_Analysis_Ready'!$AG$281="YES",'10_Analysis_Ready'!$AH$281="YES"))*1+('10_Analysis_Ready'!$AI$281="YES")+('10_Analysis_Ready'!$AJ$281="YES")+('10_Analysis_Ready'!$AK$281="YES")+('10_Analysis_Ready'!$AL$281="YES"))=0),1,0))</f>
        <v>0</v>
      </c>
    </row>
    <row r="299" spans="1:10">
      <c r="A299">
        <v>282</v>
      </c>
      <c r="B299" t="str">
        <f>IF('10_Analysis_Ready'!$A$282="","",'10_Analysis_Ready'!$A$282)</f>
        <v/>
      </c>
      <c r="C299">
        <f>IF('10_Analysis_Ready'!$A$282="",0,IF(AND('28_Taxonomy_Coding'!$A$282='10_Analysis_Ready'!$A$282,'14_Generalization_Map'!$A$282='10_Analysis_Ready'!$A$282),0,1))</f>
        <v>0</v>
      </c>
      <c r="D299">
        <f>IF('10_Analysis_Ready'!$A$282="",0,IF(COUNTIFS('06_Full_Text_Screening'!$A:$A,'10_Analysis_Ready'!$A$282,'06_Full_Text_Screening'!$J:$J,"INCLUDE")=1,0,1))</f>
        <v>0</v>
      </c>
      <c r="E299">
        <f>IF('10_Analysis_Ready'!$A$282="",0,IF(OR(AND(((OR('10_Analysis_Ready'!$AG$282="YES",'10_Analysis_Ready'!$AH$282="YES"))*1+('10_Analysis_Ready'!$AI$282="YES")+('10_Analysis_Ready'!$AJ$282="YES")+('10_Analysis_Ready'!$AK$282="YES")+('10_Analysis_Ready'!$AL$282="YES"))=0,'10_Analysis_Ready'!$AF$282&lt;&gt;"NONE"),AND(((OR('10_Analysis_Ready'!$AG$282="YES",'10_Analysis_Ready'!$AH$282="YES"))*1+('10_Analysis_Ready'!$AI$282="YES")+('10_Analysis_Ready'!$AJ$282="YES")+('10_Analysis_Ready'!$AK$282="YES")+('10_Analysis_Ready'!$AL$282="YES"))=1,OR('10_Analysis_Ready'!$AF$282="NONE",'10_Analysis_Ready'!$AF$282="MULTIPLE")),AND(((OR('10_Analysis_Ready'!$AG$282="YES",'10_Analysis_Ready'!$AH$282="YES"))*1+('10_Analysis_Ready'!$AI$282="YES")+('10_Analysis_Ready'!$AJ$282="YES")+('10_Analysis_Ready'!$AK$282="YES")+('10_Analysis_Ready'!$AL$282="YES"))&gt;=2,'10_Analysis_Ready'!$AF$282&lt;&gt;"MULTIPLE")),1,0))</f>
        <v>0</v>
      </c>
      <c r="F299">
        <f>IF('10_Analysis_Ready'!$A$282="",0,IF(AND('10_Analysis_Ready'!$AO$282="NO",COUNTIF('10_Analysis_Ready'!$AP$282:$AU$282,"YES")&gt;0),1,0))</f>
        <v>0</v>
      </c>
      <c r="G299">
        <f>IF('10_Analysis_Ready'!$A$282="",0,IF(OR(AND('10_Analysis_Ready'!$Y$282="GAN",'10_Analysis_Ready'!$AA$282="YES"),AND('10_Analysis_Ready'!$Y$282="DIFFUSION",'10_Analysis_Ready'!$Z$282="YES"),AND('10_Analysis_Ready'!$Y$282="GAN+DIFFUSION",OR('10_Analysis_Ready'!$Z$282&lt;&gt;"YES",'10_Analysis_Ready'!$AA$282&lt;&gt;"YES"))),1,0))</f>
        <v>0</v>
      </c>
      <c r="H299">
        <f>IF('10_Analysis_Ready'!$A$282="",0,IF(OR(AND('10_Analysis_Ready'!$BJ$282="NO",OR('10_Analysis_Ready'!$BK$282="HIGH",'10_Analysis_Ready'!$BK$282="VERY HIGH")),AND(((OR('10_Analysis_Ready'!$AG$282="YES",'10_Analysis_Ready'!$AH$282="YES"))*1+('10_Analysis_Ready'!$AI$282="YES")+('10_Analysis_Ready'!$AJ$282="YES")+('10_Analysis_Ready'!$AK$282="YES")+('10_Analysis_Ready'!$AL$282="YES"))=0,'10_Analysis_Ready'!$BJ$282="YES")),1,0))</f>
        <v>0</v>
      </c>
      <c r="I299">
        <f>IF('10_Analysis_Ready'!$A$282="",0,IF(AND(((OR('10_Analysis_Ready'!$AG$282="YES",'10_Analysis_Ready'!$AH$282="YES"))*1+('10_Analysis_Ready'!$AI$282="YES")+('10_Analysis_Ready'!$AJ$282="YES")+('10_Analysis_Ready'!$AK$282="YES")+('10_Analysis_Ready'!$AL$282="YES"))=0,'10_Analysis_Ready'!$AM$282&lt;&gt;"N/A"),1,0))</f>
        <v>0</v>
      </c>
      <c r="J299">
        <f>IF('10_Analysis_Ready'!$A$282="",0,IF(('28_Taxonomy_Coding'!$G$282="NONE")&lt;&gt;(((OR('10_Analysis_Ready'!$AG$282="YES",'10_Analysis_Ready'!$AH$282="YES"))*1+('10_Analysis_Ready'!$AI$282="YES")+('10_Analysis_Ready'!$AJ$282="YES")+('10_Analysis_Ready'!$AK$282="YES")+('10_Analysis_Ready'!$AL$282="YES"))=0),1,0))</f>
        <v>0</v>
      </c>
    </row>
    <row r="300" spans="1:10">
      <c r="A300">
        <v>283</v>
      </c>
      <c r="B300" t="str">
        <f>IF('10_Analysis_Ready'!$A$283="","",'10_Analysis_Ready'!$A$283)</f>
        <v/>
      </c>
      <c r="C300">
        <f>IF('10_Analysis_Ready'!$A$283="",0,IF(AND('28_Taxonomy_Coding'!$A$283='10_Analysis_Ready'!$A$283,'14_Generalization_Map'!$A$283='10_Analysis_Ready'!$A$283),0,1))</f>
        <v>0</v>
      </c>
      <c r="D300">
        <f>IF('10_Analysis_Ready'!$A$283="",0,IF(COUNTIFS('06_Full_Text_Screening'!$A:$A,'10_Analysis_Ready'!$A$283,'06_Full_Text_Screening'!$J:$J,"INCLUDE")=1,0,1))</f>
        <v>0</v>
      </c>
      <c r="E300">
        <f>IF('10_Analysis_Ready'!$A$283="",0,IF(OR(AND(((OR('10_Analysis_Ready'!$AG$283="YES",'10_Analysis_Ready'!$AH$283="YES"))*1+('10_Analysis_Ready'!$AI$283="YES")+('10_Analysis_Ready'!$AJ$283="YES")+('10_Analysis_Ready'!$AK$283="YES")+('10_Analysis_Ready'!$AL$283="YES"))=0,'10_Analysis_Ready'!$AF$283&lt;&gt;"NONE"),AND(((OR('10_Analysis_Ready'!$AG$283="YES",'10_Analysis_Ready'!$AH$283="YES"))*1+('10_Analysis_Ready'!$AI$283="YES")+('10_Analysis_Ready'!$AJ$283="YES")+('10_Analysis_Ready'!$AK$283="YES")+('10_Analysis_Ready'!$AL$283="YES"))=1,OR('10_Analysis_Ready'!$AF$283="NONE",'10_Analysis_Ready'!$AF$283="MULTIPLE")),AND(((OR('10_Analysis_Ready'!$AG$283="YES",'10_Analysis_Ready'!$AH$283="YES"))*1+('10_Analysis_Ready'!$AI$283="YES")+('10_Analysis_Ready'!$AJ$283="YES")+('10_Analysis_Ready'!$AK$283="YES")+('10_Analysis_Ready'!$AL$283="YES"))&gt;=2,'10_Analysis_Ready'!$AF$283&lt;&gt;"MULTIPLE")),1,0))</f>
        <v>0</v>
      </c>
      <c r="F300">
        <f>IF('10_Analysis_Ready'!$A$283="",0,IF(AND('10_Analysis_Ready'!$AO$283="NO",COUNTIF('10_Analysis_Ready'!$AP$283:$AU$283,"YES")&gt;0),1,0))</f>
        <v>0</v>
      </c>
      <c r="G300">
        <f>IF('10_Analysis_Ready'!$A$283="",0,IF(OR(AND('10_Analysis_Ready'!$Y$283="GAN",'10_Analysis_Ready'!$AA$283="YES"),AND('10_Analysis_Ready'!$Y$283="DIFFUSION",'10_Analysis_Ready'!$Z$283="YES"),AND('10_Analysis_Ready'!$Y$283="GAN+DIFFUSION",OR('10_Analysis_Ready'!$Z$283&lt;&gt;"YES",'10_Analysis_Ready'!$AA$283&lt;&gt;"YES"))),1,0))</f>
        <v>0</v>
      </c>
      <c r="H300">
        <f>IF('10_Analysis_Ready'!$A$283="",0,IF(OR(AND('10_Analysis_Ready'!$BJ$283="NO",OR('10_Analysis_Ready'!$BK$283="HIGH",'10_Analysis_Ready'!$BK$283="VERY HIGH")),AND(((OR('10_Analysis_Ready'!$AG$283="YES",'10_Analysis_Ready'!$AH$283="YES"))*1+('10_Analysis_Ready'!$AI$283="YES")+('10_Analysis_Ready'!$AJ$283="YES")+('10_Analysis_Ready'!$AK$283="YES")+('10_Analysis_Ready'!$AL$283="YES"))=0,'10_Analysis_Ready'!$BJ$283="YES")),1,0))</f>
        <v>0</v>
      </c>
      <c r="I300">
        <f>IF('10_Analysis_Ready'!$A$283="",0,IF(AND(((OR('10_Analysis_Ready'!$AG$283="YES",'10_Analysis_Ready'!$AH$283="YES"))*1+('10_Analysis_Ready'!$AI$283="YES")+('10_Analysis_Ready'!$AJ$283="YES")+('10_Analysis_Ready'!$AK$283="YES")+('10_Analysis_Ready'!$AL$283="YES"))=0,'10_Analysis_Ready'!$AM$283&lt;&gt;"N/A"),1,0))</f>
        <v>0</v>
      </c>
      <c r="J300">
        <f>IF('10_Analysis_Ready'!$A$283="",0,IF(('28_Taxonomy_Coding'!$G$283="NONE")&lt;&gt;(((OR('10_Analysis_Ready'!$AG$283="YES",'10_Analysis_Ready'!$AH$283="YES"))*1+('10_Analysis_Ready'!$AI$283="YES")+('10_Analysis_Ready'!$AJ$283="YES")+('10_Analysis_Ready'!$AK$283="YES")+('10_Analysis_Ready'!$AL$283="YES"))=0),1,0))</f>
        <v>0</v>
      </c>
    </row>
    <row r="301" spans="1:10">
      <c r="A301">
        <v>284</v>
      </c>
      <c r="B301" t="str">
        <f>IF('10_Analysis_Ready'!$A$284="","",'10_Analysis_Ready'!$A$284)</f>
        <v/>
      </c>
      <c r="C301">
        <f>IF('10_Analysis_Ready'!$A$284="",0,IF(AND('28_Taxonomy_Coding'!$A$284='10_Analysis_Ready'!$A$284,'14_Generalization_Map'!$A$284='10_Analysis_Ready'!$A$284),0,1))</f>
        <v>0</v>
      </c>
      <c r="D301">
        <f>IF('10_Analysis_Ready'!$A$284="",0,IF(COUNTIFS('06_Full_Text_Screening'!$A:$A,'10_Analysis_Ready'!$A$284,'06_Full_Text_Screening'!$J:$J,"INCLUDE")=1,0,1))</f>
        <v>0</v>
      </c>
      <c r="E301">
        <f>IF('10_Analysis_Ready'!$A$284="",0,IF(OR(AND(((OR('10_Analysis_Ready'!$AG$284="YES",'10_Analysis_Ready'!$AH$284="YES"))*1+('10_Analysis_Ready'!$AI$284="YES")+('10_Analysis_Ready'!$AJ$284="YES")+('10_Analysis_Ready'!$AK$284="YES")+('10_Analysis_Ready'!$AL$284="YES"))=0,'10_Analysis_Ready'!$AF$284&lt;&gt;"NONE"),AND(((OR('10_Analysis_Ready'!$AG$284="YES",'10_Analysis_Ready'!$AH$284="YES"))*1+('10_Analysis_Ready'!$AI$284="YES")+('10_Analysis_Ready'!$AJ$284="YES")+('10_Analysis_Ready'!$AK$284="YES")+('10_Analysis_Ready'!$AL$284="YES"))=1,OR('10_Analysis_Ready'!$AF$284="NONE",'10_Analysis_Ready'!$AF$284="MULTIPLE")),AND(((OR('10_Analysis_Ready'!$AG$284="YES",'10_Analysis_Ready'!$AH$284="YES"))*1+('10_Analysis_Ready'!$AI$284="YES")+('10_Analysis_Ready'!$AJ$284="YES")+('10_Analysis_Ready'!$AK$284="YES")+('10_Analysis_Ready'!$AL$284="YES"))&gt;=2,'10_Analysis_Ready'!$AF$284&lt;&gt;"MULTIPLE")),1,0))</f>
        <v>0</v>
      </c>
      <c r="F301">
        <f>IF('10_Analysis_Ready'!$A$284="",0,IF(AND('10_Analysis_Ready'!$AO$284="NO",COUNTIF('10_Analysis_Ready'!$AP$284:$AU$284,"YES")&gt;0),1,0))</f>
        <v>0</v>
      </c>
      <c r="G301">
        <f>IF('10_Analysis_Ready'!$A$284="",0,IF(OR(AND('10_Analysis_Ready'!$Y$284="GAN",'10_Analysis_Ready'!$AA$284="YES"),AND('10_Analysis_Ready'!$Y$284="DIFFUSION",'10_Analysis_Ready'!$Z$284="YES"),AND('10_Analysis_Ready'!$Y$284="GAN+DIFFUSION",OR('10_Analysis_Ready'!$Z$284&lt;&gt;"YES",'10_Analysis_Ready'!$AA$284&lt;&gt;"YES"))),1,0))</f>
        <v>0</v>
      </c>
      <c r="H301">
        <f>IF('10_Analysis_Ready'!$A$284="",0,IF(OR(AND('10_Analysis_Ready'!$BJ$284="NO",OR('10_Analysis_Ready'!$BK$284="HIGH",'10_Analysis_Ready'!$BK$284="VERY HIGH")),AND(((OR('10_Analysis_Ready'!$AG$284="YES",'10_Analysis_Ready'!$AH$284="YES"))*1+('10_Analysis_Ready'!$AI$284="YES")+('10_Analysis_Ready'!$AJ$284="YES")+('10_Analysis_Ready'!$AK$284="YES")+('10_Analysis_Ready'!$AL$284="YES"))=0,'10_Analysis_Ready'!$BJ$284="YES")),1,0))</f>
        <v>0</v>
      </c>
      <c r="I301">
        <f>IF('10_Analysis_Ready'!$A$284="",0,IF(AND(((OR('10_Analysis_Ready'!$AG$284="YES",'10_Analysis_Ready'!$AH$284="YES"))*1+('10_Analysis_Ready'!$AI$284="YES")+('10_Analysis_Ready'!$AJ$284="YES")+('10_Analysis_Ready'!$AK$284="YES")+('10_Analysis_Ready'!$AL$284="YES"))=0,'10_Analysis_Ready'!$AM$284&lt;&gt;"N/A"),1,0))</f>
        <v>0</v>
      </c>
      <c r="J301">
        <f>IF('10_Analysis_Ready'!$A$284="",0,IF(('28_Taxonomy_Coding'!$G$284="NONE")&lt;&gt;(((OR('10_Analysis_Ready'!$AG$284="YES",'10_Analysis_Ready'!$AH$284="YES"))*1+('10_Analysis_Ready'!$AI$284="YES")+('10_Analysis_Ready'!$AJ$284="YES")+('10_Analysis_Ready'!$AK$284="YES")+('10_Analysis_Ready'!$AL$284="YES"))=0),1,0))</f>
        <v>0</v>
      </c>
    </row>
    <row r="302" spans="1:10">
      <c r="A302">
        <v>285</v>
      </c>
      <c r="B302" t="str">
        <f>IF('10_Analysis_Ready'!$A$285="","",'10_Analysis_Ready'!$A$285)</f>
        <v/>
      </c>
      <c r="C302">
        <f>IF('10_Analysis_Ready'!$A$285="",0,IF(AND('28_Taxonomy_Coding'!$A$285='10_Analysis_Ready'!$A$285,'14_Generalization_Map'!$A$285='10_Analysis_Ready'!$A$285),0,1))</f>
        <v>0</v>
      </c>
      <c r="D302">
        <f>IF('10_Analysis_Ready'!$A$285="",0,IF(COUNTIFS('06_Full_Text_Screening'!$A:$A,'10_Analysis_Ready'!$A$285,'06_Full_Text_Screening'!$J:$J,"INCLUDE")=1,0,1))</f>
        <v>0</v>
      </c>
      <c r="E302">
        <f>IF('10_Analysis_Ready'!$A$285="",0,IF(OR(AND(((OR('10_Analysis_Ready'!$AG$285="YES",'10_Analysis_Ready'!$AH$285="YES"))*1+('10_Analysis_Ready'!$AI$285="YES")+('10_Analysis_Ready'!$AJ$285="YES")+('10_Analysis_Ready'!$AK$285="YES")+('10_Analysis_Ready'!$AL$285="YES"))=0,'10_Analysis_Ready'!$AF$285&lt;&gt;"NONE"),AND(((OR('10_Analysis_Ready'!$AG$285="YES",'10_Analysis_Ready'!$AH$285="YES"))*1+('10_Analysis_Ready'!$AI$285="YES")+('10_Analysis_Ready'!$AJ$285="YES")+('10_Analysis_Ready'!$AK$285="YES")+('10_Analysis_Ready'!$AL$285="YES"))=1,OR('10_Analysis_Ready'!$AF$285="NONE",'10_Analysis_Ready'!$AF$285="MULTIPLE")),AND(((OR('10_Analysis_Ready'!$AG$285="YES",'10_Analysis_Ready'!$AH$285="YES"))*1+('10_Analysis_Ready'!$AI$285="YES")+('10_Analysis_Ready'!$AJ$285="YES")+('10_Analysis_Ready'!$AK$285="YES")+('10_Analysis_Ready'!$AL$285="YES"))&gt;=2,'10_Analysis_Ready'!$AF$285&lt;&gt;"MULTIPLE")),1,0))</f>
        <v>0</v>
      </c>
      <c r="F302">
        <f>IF('10_Analysis_Ready'!$A$285="",0,IF(AND('10_Analysis_Ready'!$AO$285="NO",COUNTIF('10_Analysis_Ready'!$AP$285:$AU$285,"YES")&gt;0),1,0))</f>
        <v>0</v>
      </c>
      <c r="G302">
        <f>IF('10_Analysis_Ready'!$A$285="",0,IF(OR(AND('10_Analysis_Ready'!$Y$285="GAN",'10_Analysis_Ready'!$AA$285="YES"),AND('10_Analysis_Ready'!$Y$285="DIFFUSION",'10_Analysis_Ready'!$Z$285="YES"),AND('10_Analysis_Ready'!$Y$285="GAN+DIFFUSION",OR('10_Analysis_Ready'!$Z$285&lt;&gt;"YES",'10_Analysis_Ready'!$AA$285&lt;&gt;"YES"))),1,0))</f>
        <v>0</v>
      </c>
      <c r="H302">
        <f>IF('10_Analysis_Ready'!$A$285="",0,IF(OR(AND('10_Analysis_Ready'!$BJ$285="NO",OR('10_Analysis_Ready'!$BK$285="HIGH",'10_Analysis_Ready'!$BK$285="VERY HIGH")),AND(((OR('10_Analysis_Ready'!$AG$285="YES",'10_Analysis_Ready'!$AH$285="YES"))*1+('10_Analysis_Ready'!$AI$285="YES")+('10_Analysis_Ready'!$AJ$285="YES")+('10_Analysis_Ready'!$AK$285="YES")+('10_Analysis_Ready'!$AL$285="YES"))=0,'10_Analysis_Ready'!$BJ$285="YES")),1,0))</f>
        <v>0</v>
      </c>
      <c r="I302">
        <f>IF('10_Analysis_Ready'!$A$285="",0,IF(AND(((OR('10_Analysis_Ready'!$AG$285="YES",'10_Analysis_Ready'!$AH$285="YES"))*1+('10_Analysis_Ready'!$AI$285="YES")+('10_Analysis_Ready'!$AJ$285="YES")+('10_Analysis_Ready'!$AK$285="YES")+('10_Analysis_Ready'!$AL$285="YES"))=0,'10_Analysis_Ready'!$AM$285&lt;&gt;"N/A"),1,0))</f>
        <v>0</v>
      </c>
      <c r="J302">
        <f>IF('10_Analysis_Ready'!$A$285="",0,IF(('28_Taxonomy_Coding'!$G$285="NONE")&lt;&gt;(((OR('10_Analysis_Ready'!$AG$285="YES",'10_Analysis_Ready'!$AH$285="YES"))*1+('10_Analysis_Ready'!$AI$285="YES")+('10_Analysis_Ready'!$AJ$285="YES")+('10_Analysis_Ready'!$AK$285="YES")+('10_Analysis_Ready'!$AL$285="YES"))=0),1,0))</f>
        <v>0</v>
      </c>
    </row>
    <row r="303" spans="1:10">
      <c r="A303">
        <v>286</v>
      </c>
      <c r="B303" t="str">
        <f>IF('10_Analysis_Ready'!$A$286="","",'10_Analysis_Ready'!$A$286)</f>
        <v/>
      </c>
      <c r="C303">
        <f>IF('10_Analysis_Ready'!$A$286="",0,IF(AND('28_Taxonomy_Coding'!$A$286='10_Analysis_Ready'!$A$286,'14_Generalization_Map'!$A$286='10_Analysis_Ready'!$A$286),0,1))</f>
        <v>0</v>
      </c>
      <c r="D303">
        <f>IF('10_Analysis_Ready'!$A$286="",0,IF(COUNTIFS('06_Full_Text_Screening'!$A:$A,'10_Analysis_Ready'!$A$286,'06_Full_Text_Screening'!$J:$J,"INCLUDE")=1,0,1))</f>
        <v>0</v>
      </c>
      <c r="E303">
        <f>IF('10_Analysis_Ready'!$A$286="",0,IF(OR(AND(((OR('10_Analysis_Ready'!$AG$286="YES",'10_Analysis_Ready'!$AH$286="YES"))*1+('10_Analysis_Ready'!$AI$286="YES")+('10_Analysis_Ready'!$AJ$286="YES")+('10_Analysis_Ready'!$AK$286="YES")+('10_Analysis_Ready'!$AL$286="YES"))=0,'10_Analysis_Ready'!$AF$286&lt;&gt;"NONE"),AND(((OR('10_Analysis_Ready'!$AG$286="YES",'10_Analysis_Ready'!$AH$286="YES"))*1+('10_Analysis_Ready'!$AI$286="YES")+('10_Analysis_Ready'!$AJ$286="YES")+('10_Analysis_Ready'!$AK$286="YES")+('10_Analysis_Ready'!$AL$286="YES"))=1,OR('10_Analysis_Ready'!$AF$286="NONE",'10_Analysis_Ready'!$AF$286="MULTIPLE")),AND(((OR('10_Analysis_Ready'!$AG$286="YES",'10_Analysis_Ready'!$AH$286="YES"))*1+('10_Analysis_Ready'!$AI$286="YES")+('10_Analysis_Ready'!$AJ$286="YES")+('10_Analysis_Ready'!$AK$286="YES")+('10_Analysis_Ready'!$AL$286="YES"))&gt;=2,'10_Analysis_Ready'!$AF$286&lt;&gt;"MULTIPLE")),1,0))</f>
        <v>0</v>
      </c>
      <c r="F303">
        <f>IF('10_Analysis_Ready'!$A$286="",0,IF(AND('10_Analysis_Ready'!$AO$286="NO",COUNTIF('10_Analysis_Ready'!$AP$286:$AU$286,"YES")&gt;0),1,0))</f>
        <v>0</v>
      </c>
      <c r="G303">
        <f>IF('10_Analysis_Ready'!$A$286="",0,IF(OR(AND('10_Analysis_Ready'!$Y$286="GAN",'10_Analysis_Ready'!$AA$286="YES"),AND('10_Analysis_Ready'!$Y$286="DIFFUSION",'10_Analysis_Ready'!$Z$286="YES"),AND('10_Analysis_Ready'!$Y$286="GAN+DIFFUSION",OR('10_Analysis_Ready'!$Z$286&lt;&gt;"YES",'10_Analysis_Ready'!$AA$286&lt;&gt;"YES"))),1,0))</f>
        <v>0</v>
      </c>
      <c r="H303">
        <f>IF('10_Analysis_Ready'!$A$286="",0,IF(OR(AND('10_Analysis_Ready'!$BJ$286="NO",OR('10_Analysis_Ready'!$BK$286="HIGH",'10_Analysis_Ready'!$BK$286="VERY HIGH")),AND(((OR('10_Analysis_Ready'!$AG$286="YES",'10_Analysis_Ready'!$AH$286="YES"))*1+('10_Analysis_Ready'!$AI$286="YES")+('10_Analysis_Ready'!$AJ$286="YES")+('10_Analysis_Ready'!$AK$286="YES")+('10_Analysis_Ready'!$AL$286="YES"))=0,'10_Analysis_Ready'!$BJ$286="YES")),1,0))</f>
        <v>0</v>
      </c>
      <c r="I303">
        <f>IF('10_Analysis_Ready'!$A$286="",0,IF(AND(((OR('10_Analysis_Ready'!$AG$286="YES",'10_Analysis_Ready'!$AH$286="YES"))*1+('10_Analysis_Ready'!$AI$286="YES")+('10_Analysis_Ready'!$AJ$286="YES")+('10_Analysis_Ready'!$AK$286="YES")+('10_Analysis_Ready'!$AL$286="YES"))=0,'10_Analysis_Ready'!$AM$286&lt;&gt;"N/A"),1,0))</f>
        <v>0</v>
      </c>
      <c r="J303">
        <f>IF('10_Analysis_Ready'!$A$286="",0,IF(('28_Taxonomy_Coding'!$G$286="NONE")&lt;&gt;(((OR('10_Analysis_Ready'!$AG$286="YES",'10_Analysis_Ready'!$AH$286="YES"))*1+('10_Analysis_Ready'!$AI$286="YES")+('10_Analysis_Ready'!$AJ$286="YES")+('10_Analysis_Ready'!$AK$286="YES")+('10_Analysis_Ready'!$AL$286="YES"))=0),1,0))</f>
        <v>0</v>
      </c>
    </row>
    <row r="304" spans="1:10">
      <c r="A304">
        <v>287</v>
      </c>
      <c r="B304" t="str">
        <f>IF('10_Analysis_Ready'!$A$287="","",'10_Analysis_Ready'!$A$287)</f>
        <v/>
      </c>
      <c r="C304">
        <f>IF('10_Analysis_Ready'!$A$287="",0,IF(AND('28_Taxonomy_Coding'!$A$287='10_Analysis_Ready'!$A$287,'14_Generalization_Map'!$A$287='10_Analysis_Ready'!$A$287),0,1))</f>
        <v>0</v>
      </c>
      <c r="D304">
        <f>IF('10_Analysis_Ready'!$A$287="",0,IF(COUNTIFS('06_Full_Text_Screening'!$A:$A,'10_Analysis_Ready'!$A$287,'06_Full_Text_Screening'!$J:$J,"INCLUDE")=1,0,1))</f>
        <v>0</v>
      </c>
      <c r="E304">
        <f>IF('10_Analysis_Ready'!$A$287="",0,IF(OR(AND(((OR('10_Analysis_Ready'!$AG$287="YES",'10_Analysis_Ready'!$AH$287="YES"))*1+('10_Analysis_Ready'!$AI$287="YES")+('10_Analysis_Ready'!$AJ$287="YES")+('10_Analysis_Ready'!$AK$287="YES")+('10_Analysis_Ready'!$AL$287="YES"))=0,'10_Analysis_Ready'!$AF$287&lt;&gt;"NONE"),AND(((OR('10_Analysis_Ready'!$AG$287="YES",'10_Analysis_Ready'!$AH$287="YES"))*1+('10_Analysis_Ready'!$AI$287="YES")+('10_Analysis_Ready'!$AJ$287="YES")+('10_Analysis_Ready'!$AK$287="YES")+('10_Analysis_Ready'!$AL$287="YES"))=1,OR('10_Analysis_Ready'!$AF$287="NONE",'10_Analysis_Ready'!$AF$287="MULTIPLE")),AND(((OR('10_Analysis_Ready'!$AG$287="YES",'10_Analysis_Ready'!$AH$287="YES"))*1+('10_Analysis_Ready'!$AI$287="YES")+('10_Analysis_Ready'!$AJ$287="YES")+('10_Analysis_Ready'!$AK$287="YES")+('10_Analysis_Ready'!$AL$287="YES"))&gt;=2,'10_Analysis_Ready'!$AF$287&lt;&gt;"MULTIPLE")),1,0))</f>
        <v>0</v>
      </c>
      <c r="F304">
        <f>IF('10_Analysis_Ready'!$A$287="",0,IF(AND('10_Analysis_Ready'!$AO$287="NO",COUNTIF('10_Analysis_Ready'!$AP$287:$AU$287,"YES")&gt;0),1,0))</f>
        <v>0</v>
      </c>
      <c r="G304">
        <f>IF('10_Analysis_Ready'!$A$287="",0,IF(OR(AND('10_Analysis_Ready'!$Y$287="GAN",'10_Analysis_Ready'!$AA$287="YES"),AND('10_Analysis_Ready'!$Y$287="DIFFUSION",'10_Analysis_Ready'!$Z$287="YES"),AND('10_Analysis_Ready'!$Y$287="GAN+DIFFUSION",OR('10_Analysis_Ready'!$Z$287&lt;&gt;"YES",'10_Analysis_Ready'!$AA$287&lt;&gt;"YES"))),1,0))</f>
        <v>0</v>
      </c>
      <c r="H304">
        <f>IF('10_Analysis_Ready'!$A$287="",0,IF(OR(AND('10_Analysis_Ready'!$BJ$287="NO",OR('10_Analysis_Ready'!$BK$287="HIGH",'10_Analysis_Ready'!$BK$287="VERY HIGH")),AND(((OR('10_Analysis_Ready'!$AG$287="YES",'10_Analysis_Ready'!$AH$287="YES"))*1+('10_Analysis_Ready'!$AI$287="YES")+('10_Analysis_Ready'!$AJ$287="YES")+('10_Analysis_Ready'!$AK$287="YES")+('10_Analysis_Ready'!$AL$287="YES"))=0,'10_Analysis_Ready'!$BJ$287="YES")),1,0))</f>
        <v>0</v>
      </c>
      <c r="I304">
        <f>IF('10_Analysis_Ready'!$A$287="",0,IF(AND(((OR('10_Analysis_Ready'!$AG$287="YES",'10_Analysis_Ready'!$AH$287="YES"))*1+('10_Analysis_Ready'!$AI$287="YES")+('10_Analysis_Ready'!$AJ$287="YES")+('10_Analysis_Ready'!$AK$287="YES")+('10_Analysis_Ready'!$AL$287="YES"))=0,'10_Analysis_Ready'!$AM$287&lt;&gt;"N/A"),1,0))</f>
        <v>0</v>
      </c>
      <c r="J304">
        <f>IF('10_Analysis_Ready'!$A$287="",0,IF(('28_Taxonomy_Coding'!$G$287="NONE")&lt;&gt;(((OR('10_Analysis_Ready'!$AG$287="YES",'10_Analysis_Ready'!$AH$287="YES"))*1+('10_Analysis_Ready'!$AI$287="YES")+('10_Analysis_Ready'!$AJ$287="YES")+('10_Analysis_Ready'!$AK$287="YES")+('10_Analysis_Ready'!$AL$287="YES"))=0),1,0))</f>
        <v>0</v>
      </c>
    </row>
    <row r="305" spans="1:10">
      <c r="A305">
        <v>288</v>
      </c>
      <c r="B305" t="str">
        <f>IF('10_Analysis_Ready'!$A$288="","",'10_Analysis_Ready'!$A$288)</f>
        <v/>
      </c>
      <c r="C305">
        <f>IF('10_Analysis_Ready'!$A$288="",0,IF(AND('28_Taxonomy_Coding'!$A$288='10_Analysis_Ready'!$A$288,'14_Generalization_Map'!$A$288='10_Analysis_Ready'!$A$288),0,1))</f>
        <v>0</v>
      </c>
      <c r="D305">
        <f>IF('10_Analysis_Ready'!$A$288="",0,IF(COUNTIFS('06_Full_Text_Screening'!$A:$A,'10_Analysis_Ready'!$A$288,'06_Full_Text_Screening'!$J:$J,"INCLUDE")=1,0,1))</f>
        <v>0</v>
      </c>
      <c r="E305">
        <f>IF('10_Analysis_Ready'!$A$288="",0,IF(OR(AND(((OR('10_Analysis_Ready'!$AG$288="YES",'10_Analysis_Ready'!$AH$288="YES"))*1+('10_Analysis_Ready'!$AI$288="YES")+('10_Analysis_Ready'!$AJ$288="YES")+('10_Analysis_Ready'!$AK$288="YES")+('10_Analysis_Ready'!$AL$288="YES"))=0,'10_Analysis_Ready'!$AF$288&lt;&gt;"NONE"),AND(((OR('10_Analysis_Ready'!$AG$288="YES",'10_Analysis_Ready'!$AH$288="YES"))*1+('10_Analysis_Ready'!$AI$288="YES")+('10_Analysis_Ready'!$AJ$288="YES")+('10_Analysis_Ready'!$AK$288="YES")+('10_Analysis_Ready'!$AL$288="YES"))=1,OR('10_Analysis_Ready'!$AF$288="NONE",'10_Analysis_Ready'!$AF$288="MULTIPLE")),AND(((OR('10_Analysis_Ready'!$AG$288="YES",'10_Analysis_Ready'!$AH$288="YES"))*1+('10_Analysis_Ready'!$AI$288="YES")+('10_Analysis_Ready'!$AJ$288="YES")+('10_Analysis_Ready'!$AK$288="YES")+('10_Analysis_Ready'!$AL$288="YES"))&gt;=2,'10_Analysis_Ready'!$AF$288&lt;&gt;"MULTIPLE")),1,0))</f>
        <v>0</v>
      </c>
      <c r="F305">
        <f>IF('10_Analysis_Ready'!$A$288="",0,IF(AND('10_Analysis_Ready'!$AO$288="NO",COUNTIF('10_Analysis_Ready'!$AP$288:$AU$288,"YES")&gt;0),1,0))</f>
        <v>0</v>
      </c>
      <c r="G305">
        <f>IF('10_Analysis_Ready'!$A$288="",0,IF(OR(AND('10_Analysis_Ready'!$Y$288="GAN",'10_Analysis_Ready'!$AA$288="YES"),AND('10_Analysis_Ready'!$Y$288="DIFFUSION",'10_Analysis_Ready'!$Z$288="YES"),AND('10_Analysis_Ready'!$Y$288="GAN+DIFFUSION",OR('10_Analysis_Ready'!$Z$288&lt;&gt;"YES",'10_Analysis_Ready'!$AA$288&lt;&gt;"YES"))),1,0))</f>
        <v>0</v>
      </c>
      <c r="H305">
        <f>IF('10_Analysis_Ready'!$A$288="",0,IF(OR(AND('10_Analysis_Ready'!$BJ$288="NO",OR('10_Analysis_Ready'!$BK$288="HIGH",'10_Analysis_Ready'!$BK$288="VERY HIGH")),AND(((OR('10_Analysis_Ready'!$AG$288="YES",'10_Analysis_Ready'!$AH$288="YES"))*1+('10_Analysis_Ready'!$AI$288="YES")+('10_Analysis_Ready'!$AJ$288="YES")+('10_Analysis_Ready'!$AK$288="YES")+('10_Analysis_Ready'!$AL$288="YES"))=0,'10_Analysis_Ready'!$BJ$288="YES")),1,0))</f>
        <v>0</v>
      </c>
      <c r="I305">
        <f>IF('10_Analysis_Ready'!$A$288="",0,IF(AND(((OR('10_Analysis_Ready'!$AG$288="YES",'10_Analysis_Ready'!$AH$288="YES"))*1+('10_Analysis_Ready'!$AI$288="YES")+('10_Analysis_Ready'!$AJ$288="YES")+('10_Analysis_Ready'!$AK$288="YES")+('10_Analysis_Ready'!$AL$288="YES"))=0,'10_Analysis_Ready'!$AM$288&lt;&gt;"N/A"),1,0))</f>
        <v>0</v>
      </c>
      <c r="J305">
        <f>IF('10_Analysis_Ready'!$A$288="",0,IF(('28_Taxonomy_Coding'!$G$288="NONE")&lt;&gt;(((OR('10_Analysis_Ready'!$AG$288="YES",'10_Analysis_Ready'!$AH$288="YES"))*1+('10_Analysis_Ready'!$AI$288="YES")+('10_Analysis_Ready'!$AJ$288="YES")+('10_Analysis_Ready'!$AK$288="YES")+('10_Analysis_Ready'!$AL$288="YES"))=0),1,0))</f>
        <v>0</v>
      </c>
    </row>
    <row r="306" spans="1:10">
      <c r="A306">
        <v>289</v>
      </c>
      <c r="B306" t="str">
        <f>IF('10_Analysis_Ready'!$A$289="","",'10_Analysis_Ready'!$A$289)</f>
        <v/>
      </c>
      <c r="C306">
        <f>IF('10_Analysis_Ready'!$A$289="",0,IF(AND('28_Taxonomy_Coding'!$A$289='10_Analysis_Ready'!$A$289,'14_Generalization_Map'!$A$289='10_Analysis_Ready'!$A$289),0,1))</f>
        <v>0</v>
      </c>
      <c r="D306">
        <f>IF('10_Analysis_Ready'!$A$289="",0,IF(COUNTIFS('06_Full_Text_Screening'!$A:$A,'10_Analysis_Ready'!$A$289,'06_Full_Text_Screening'!$J:$J,"INCLUDE")=1,0,1))</f>
        <v>0</v>
      </c>
      <c r="E306">
        <f>IF('10_Analysis_Ready'!$A$289="",0,IF(OR(AND(((OR('10_Analysis_Ready'!$AG$289="YES",'10_Analysis_Ready'!$AH$289="YES"))*1+('10_Analysis_Ready'!$AI$289="YES")+('10_Analysis_Ready'!$AJ$289="YES")+('10_Analysis_Ready'!$AK$289="YES")+('10_Analysis_Ready'!$AL$289="YES"))=0,'10_Analysis_Ready'!$AF$289&lt;&gt;"NONE"),AND(((OR('10_Analysis_Ready'!$AG$289="YES",'10_Analysis_Ready'!$AH$289="YES"))*1+('10_Analysis_Ready'!$AI$289="YES")+('10_Analysis_Ready'!$AJ$289="YES")+('10_Analysis_Ready'!$AK$289="YES")+('10_Analysis_Ready'!$AL$289="YES"))=1,OR('10_Analysis_Ready'!$AF$289="NONE",'10_Analysis_Ready'!$AF$289="MULTIPLE")),AND(((OR('10_Analysis_Ready'!$AG$289="YES",'10_Analysis_Ready'!$AH$289="YES"))*1+('10_Analysis_Ready'!$AI$289="YES")+('10_Analysis_Ready'!$AJ$289="YES")+('10_Analysis_Ready'!$AK$289="YES")+('10_Analysis_Ready'!$AL$289="YES"))&gt;=2,'10_Analysis_Ready'!$AF$289&lt;&gt;"MULTIPLE")),1,0))</f>
        <v>0</v>
      </c>
      <c r="F306">
        <f>IF('10_Analysis_Ready'!$A$289="",0,IF(AND('10_Analysis_Ready'!$AO$289="NO",COUNTIF('10_Analysis_Ready'!$AP$289:$AU$289,"YES")&gt;0),1,0))</f>
        <v>0</v>
      </c>
      <c r="G306">
        <f>IF('10_Analysis_Ready'!$A$289="",0,IF(OR(AND('10_Analysis_Ready'!$Y$289="GAN",'10_Analysis_Ready'!$AA$289="YES"),AND('10_Analysis_Ready'!$Y$289="DIFFUSION",'10_Analysis_Ready'!$Z$289="YES"),AND('10_Analysis_Ready'!$Y$289="GAN+DIFFUSION",OR('10_Analysis_Ready'!$Z$289&lt;&gt;"YES",'10_Analysis_Ready'!$AA$289&lt;&gt;"YES"))),1,0))</f>
        <v>0</v>
      </c>
      <c r="H306">
        <f>IF('10_Analysis_Ready'!$A$289="",0,IF(OR(AND('10_Analysis_Ready'!$BJ$289="NO",OR('10_Analysis_Ready'!$BK$289="HIGH",'10_Analysis_Ready'!$BK$289="VERY HIGH")),AND(((OR('10_Analysis_Ready'!$AG$289="YES",'10_Analysis_Ready'!$AH$289="YES"))*1+('10_Analysis_Ready'!$AI$289="YES")+('10_Analysis_Ready'!$AJ$289="YES")+('10_Analysis_Ready'!$AK$289="YES")+('10_Analysis_Ready'!$AL$289="YES"))=0,'10_Analysis_Ready'!$BJ$289="YES")),1,0))</f>
        <v>0</v>
      </c>
      <c r="I306">
        <f>IF('10_Analysis_Ready'!$A$289="",0,IF(AND(((OR('10_Analysis_Ready'!$AG$289="YES",'10_Analysis_Ready'!$AH$289="YES"))*1+('10_Analysis_Ready'!$AI$289="YES")+('10_Analysis_Ready'!$AJ$289="YES")+('10_Analysis_Ready'!$AK$289="YES")+('10_Analysis_Ready'!$AL$289="YES"))=0,'10_Analysis_Ready'!$AM$289&lt;&gt;"N/A"),1,0))</f>
        <v>0</v>
      </c>
      <c r="J306">
        <f>IF('10_Analysis_Ready'!$A$289="",0,IF(('28_Taxonomy_Coding'!$G$289="NONE")&lt;&gt;(((OR('10_Analysis_Ready'!$AG$289="YES",'10_Analysis_Ready'!$AH$289="YES"))*1+('10_Analysis_Ready'!$AI$289="YES")+('10_Analysis_Ready'!$AJ$289="YES")+('10_Analysis_Ready'!$AK$289="YES")+('10_Analysis_Ready'!$AL$289="YES"))=0),1,0))</f>
        <v>0</v>
      </c>
    </row>
    <row r="307" spans="1:10">
      <c r="A307">
        <v>290</v>
      </c>
      <c r="B307" t="str">
        <f>IF('10_Analysis_Ready'!$A$290="","",'10_Analysis_Ready'!$A$290)</f>
        <v/>
      </c>
      <c r="C307">
        <f>IF('10_Analysis_Ready'!$A$290="",0,IF(AND('28_Taxonomy_Coding'!$A$290='10_Analysis_Ready'!$A$290,'14_Generalization_Map'!$A$290='10_Analysis_Ready'!$A$290),0,1))</f>
        <v>0</v>
      </c>
      <c r="D307">
        <f>IF('10_Analysis_Ready'!$A$290="",0,IF(COUNTIFS('06_Full_Text_Screening'!$A:$A,'10_Analysis_Ready'!$A$290,'06_Full_Text_Screening'!$J:$J,"INCLUDE")=1,0,1))</f>
        <v>0</v>
      </c>
      <c r="E307">
        <f>IF('10_Analysis_Ready'!$A$290="",0,IF(OR(AND(((OR('10_Analysis_Ready'!$AG$290="YES",'10_Analysis_Ready'!$AH$290="YES"))*1+('10_Analysis_Ready'!$AI$290="YES")+('10_Analysis_Ready'!$AJ$290="YES")+('10_Analysis_Ready'!$AK$290="YES")+('10_Analysis_Ready'!$AL$290="YES"))=0,'10_Analysis_Ready'!$AF$290&lt;&gt;"NONE"),AND(((OR('10_Analysis_Ready'!$AG$290="YES",'10_Analysis_Ready'!$AH$290="YES"))*1+('10_Analysis_Ready'!$AI$290="YES")+('10_Analysis_Ready'!$AJ$290="YES")+('10_Analysis_Ready'!$AK$290="YES")+('10_Analysis_Ready'!$AL$290="YES"))=1,OR('10_Analysis_Ready'!$AF$290="NONE",'10_Analysis_Ready'!$AF$290="MULTIPLE")),AND(((OR('10_Analysis_Ready'!$AG$290="YES",'10_Analysis_Ready'!$AH$290="YES"))*1+('10_Analysis_Ready'!$AI$290="YES")+('10_Analysis_Ready'!$AJ$290="YES")+('10_Analysis_Ready'!$AK$290="YES")+('10_Analysis_Ready'!$AL$290="YES"))&gt;=2,'10_Analysis_Ready'!$AF$290&lt;&gt;"MULTIPLE")),1,0))</f>
        <v>0</v>
      </c>
      <c r="F307">
        <f>IF('10_Analysis_Ready'!$A$290="",0,IF(AND('10_Analysis_Ready'!$AO$290="NO",COUNTIF('10_Analysis_Ready'!$AP$290:$AU$290,"YES")&gt;0),1,0))</f>
        <v>0</v>
      </c>
      <c r="G307">
        <f>IF('10_Analysis_Ready'!$A$290="",0,IF(OR(AND('10_Analysis_Ready'!$Y$290="GAN",'10_Analysis_Ready'!$AA$290="YES"),AND('10_Analysis_Ready'!$Y$290="DIFFUSION",'10_Analysis_Ready'!$Z$290="YES"),AND('10_Analysis_Ready'!$Y$290="GAN+DIFFUSION",OR('10_Analysis_Ready'!$Z$290&lt;&gt;"YES",'10_Analysis_Ready'!$AA$290&lt;&gt;"YES"))),1,0))</f>
        <v>0</v>
      </c>
      <c r="H307">
        <f>IF('10_Analysis_Ready'!$A$290="",0,IF(OR(AND('10_Analysis_Ready'!$BJ$290="NO",OR('10_Analysis_Ready'!$BK$290="HIGH",'10_Analysis_Ready'!$BK$290="VERY HIGH")),AND(((OR('10_Analysis_Ready'!$AG$290="YES",'10_Analysis_Ready'!$AH$290="YES"))*1+('10_Analysis_Ready'!$AI$290="YES")+('10_Analysis_Ready'!$AJ$290="YES")+('10_Analysis_Ready'!$AK$290="YES")+('10_Analysis_Ready'!$AL$290="YES"))=0,'10_Analysis_Ready'!$BJ$290="YES")),1,0))</f>
        <v>0</v>
      </c>
      <c r="I307">
        <f>IF('10_Analysis_Ready'!$A$290="",0,IF(AND(((OR('10_Analysis_Ready'!$AG$290="YES",'10_Analysis_Ready'!$AH$290="YES"))*1+('10_Analysis_Ready'!$AI$290="YES")+('10_Analysis_Ready'!$AJ$290="YES")+('10_Analysis_Ready'!$AK$290="YES")+('10_Analysis_Ready'!$AL$290="YES"))=0,'10_Analysis_Ready'!$AM$290&lt;&gt;"N/A"),1,0))</f>
        <v>0</v>
      </c>
      <c r="J307">
        <f>IF('10_Analysis_Ready'!$A$290="",0,IF(('28_Taxonomy_Coding'!$G$290="NONE")&lt;&gt;(((OR('10_Analysis_Ready'!$AG$290="YES",'10_Analysis_Ready'!$AH$290="YES"))*1+('10_Analysis_Ready'!$AI$290="YES")+('10_Analysis_Ready'!$AJ$290="YES")+('10_Analysis_Ready'!$AK$290="YES")+('10_Analysis_Ready'!$AL$290="YES"))=0),1,0))</f>
        <v>0</v>
      </c>
    </row>
    <row r="308" spans="1:10">
      <c r="A308">
        <v>291</v>
      </c>
      <c r="B308" t="str">
        <f>IF('10_Analysis_Ready'!$A$291="","",'10_Analysis_Ready'!$A$291)</f>
        <v/>
      </c>
      <c r="C308">
        <f>IF('10_Analysis_Ready'!$A$291="",0,IF(AND('28_Taxonomy_Coding'!$A$291='10_Analysis_Ready'!$A$291,'14_Generalization_Map'!$A$291='10_Analysis_Ready'!$A$291),0,1))</f>
        <v>0</v>
      </c>
      <c r="D308">
        <f>IF('10_Analysis_Ready'!$A$291="",0,IF(COUNTIFS('06_Full_Text_Screening'!$A:$A,'10_Analysis_Ready'!$A$291,'06_Full_Text_Screening'!$J:$J,"INCLUDE")=1,0,1))</f>
        <v>0</v>
      </c>
      <c r="E308">
        <f>IF('10_Analysis_Ready'!$A$291="",0,IF(OR(AND(((OR('10_Analysis_Ready'!$AG$291="YES",'10_Analysis_Ready'!$AH$291="YES"))*1+('10_Analysis_Ready'!$AI$291="YES")+('10_Analysis_Ready'!$AJ$291="YES")+('10_Analysis_Ready'!$AK$291="YES")+('10_Analysis_Ready'!$AL$291="YES"))=0,'10_Analysis_Ready'!$AF$291&lt;&gt;"NONE"),AND(((OR('10_Analysis_Ready'!$AG$291="YES",'10_Analysis_Ready'!$AH$291="YES"))*1+('10_Analysis_Ready'!$AI$291="YES")+('10_Analysis_Ready'!$AJ$291="YES")+('10_Analysis_Ready'!$AK$291="YES")+('10_Analysis_Ready'!$AL$291="YES"))=1,OR('10_Analysis_Ready'!$AF$291="NONE",'10_Analysis_Ready'!$AF$291="MULTIPLE")),AND(((OR('10_Analysis_Ready'!$AG$291="YES",'10_Analysis_Ready'!$AH$291="YES"))*1+('10_Analysis_Ready'!$AI$291="YES")+('10_Analysis_Ready'!$AJ$291="YES")+('10_Analysis_Ready'!$AK$291="YES")+('10_Analysis_Ready'!$AL$291="YES"))&gt;=2,'10_Analysis_Ready'!$AF$291&lt;&gt;"MULTIPLE")),1,0))</f>
        <v>0</v>
      </c>
      <c r="F308">
        <f>IF('10_Analysis_Ready'!$A$291="",0,IF(AND('10_Analysis_Ready'!$AO$291="NO",COUNTIF('10_Analysis_Ready'!$AP$291:$AU$291,"YES")&gt;0),1,0))</f>
        <v>0</v>
      </c>
      <c r="G308">
        <f>IF('10_Analysis_Ready'!$A$291="",0,IF(OR(AND('10_Analysis_Ready'!$Y$291="GAN",'10_Analysis_Ready'!$AA$291="YES"),AND('10_Analysis_Ready'!$Y$291="DIFFUSION",'10_Analysis_Ready'!$Z$291="YES"),AND('10_Analysis_Ready'!$Y$291="GAN+DIFFUSION",OR('10_Analysis_Ready'!$Z$291&lt;&gt;"YES",'10_Analysis_Ready'!$AA$291&lt;&gt;"YES"))),1,0))</f>
        <v>0</v>
      </c>
      <c r="H308">
        <f>IF('10_Analysis_Ready'!$A$291="",0,IF(OR(AND('10_Analysis_Ready'!$BJ$291="NO",OR('10_Analysis_Ready'!$BK$291="HIGH",'10_Analysis_Ready'!$BK$291="VERY HIGH")),AND(((OR('10_Analysis_Ready'!$AG$291="YES",'10_Analysis_Ready'!$AH$291="YES"))*1+('10_Analysis_Ready'!$AI$291="YES")+('10_Analysis_Ready'!$AJ$291="YES")+('10_Analysis_Ready'!$AK$291="YES")+('10_Analysis_Ready'!$AL$291="YES"))=0,'10_Analysis_Ready'!$BJ$291="YES")),1,0))</f>
        <v>0</v>
      </c>
      <c r="I308">
        <f>IF('10_Analysis_Ready'!$A$291="",0,IF(AND(((OR('10_Analysis_Ready'!$AG$291="YES",'10_Analysis_Ready'!$AH$291="YES"))*1+('10_Analysis_Ready'!$AI$291="YES")+('10_Analysis_Ready'!$AJ$291="YES")+('10_Analysis_Ready'!$AK$291="YES")+('10_Analysis_Ready'!$AL$291="YES"))=0,'10_Analysis_Ready'!$AM$291&lt;&gt;"N/A"),1,0))</f>
        <v>0</v>
      </c>
      <c r="J308">
        <f>IF('10_Analysis_Ready'!$A$291="",0,IF(('28_Taxonomy_Coding'!$G$291="NONE")&lt;&gt;(((OR('10_Analysis_Ready'!$AG$291="YES",'10_Analysis_Ready'!$AH$291="YES"))*1+('10_Analysis_Ready'!$AI$291="YES")+('10_Analysis_Ready'!$AJ$291="YES")+('10_Analysis_Ready'!$AK$291="YES")+('10_Analysis_Ready'!$AL$291="YES"))=0),1,0))</f>
        <v>0</v>
      </c>
    </row>
    <row r="309" spans="1:10">
      <c r="A309">
        <v>292</v>
      </c>
      <c r="B309" t="str">
        <f>IF('10_Analysis_Ready'!$A$292="","",'10_Analysis_Ready'!$A$292)</f>
        <v/>
      </c>
      <c r="C309">
        <f>IF('10_Analysis_Ready'!$A$292="",0,IF(AND('28_Taxonomy_Coding'!$A$292='10_Analysis_Ready'!$A$292,'14_Generalization_Map'!$A$292='10_Analysis_Ready'!$A$292),0,1))</f>
        <v>0</v>
      </c>
      <c r="D309">
        <f>IF('10_Analysis_Ready'!$A$292="",0,IF(COUNTIFS('06_Full_Text_Screening'!$A:$A,'10_Analysis_Ready'!$A$292,'06_Full_Text_Screening'!$J:$J,"INCLUDE")=1,0,1))</f>
        <v>0</v>
      </c>
      <c r="E309">
        <f>IF('10_Analysis_Ready'!$A$292="",0,IF(OR(AND(((OR('10_Analysis_Ready'!$AG$292="YES",'10_Analysis_Ready'!$AH$292="YES"))*1+('10_Analysis_Ready'!$AI$292="YES")+('10_Analysis_Ready'!$AJ$292="YES")+('10_Analysis_Ready'!$AK$292="YES")+('10_Analysis_Ready'!$AL$292="YES"))=0,'10_Analysis_Ready'!$AF$292&lt;&gt;"NONE"),AND(((OR('10_Analysis_Ready'!$AG$292="YES",'10_Analysis_Ready'!$AH$292="YES"))*1+('10_Analysis_Ready'!$AI$292="YES")+('10_Analysis_Ready'!$AJ$292="YES")+('10_Analysis_Ready'!$AK$292="YES")+('10_Analysis_Ready'!$AL$292="YES"))=1,OR('10_Analysis_Ready'!$AF$292="NONE",'10_Analysis_Ready'!$AF$292="MULTIPLE")),AND(((OR('10_Analysis_Ready'!$AG$292="YES",'10_Analysis_Ready'!$AH$292="YES"))*1+('10_Analysis_Ready'!$AI$292="YES")+('10_Analysis_Ready'!$AJ$292="YES")+('10_Analysis_Ready'!$AK$292="YES")+('10_Analysis_Ready'!$AL$292="YES"))&gt;=2,'10_Analysis_Ready'!$AF$292&lt;&gt;"MULTIPLE")),1,0))</f>
        <v>0</v>
      </c>
      <c r="F309">
        <f>IF('10_Analysis_Ready'!$A$292="",0,IF(AND('10_Analysis_Ready'!$AO$292="NO",COUNTIF('10_Analysis_Ready'!$AP$292:$AU$292,"YES")&gt;0),1,0))</f>
        <v>0</v>
      </c>
      <c r="G309">
        <f>IF('10_Analysis_Ready'!$A$292="",0,IF(OR(AND('10_Analysis_Ready'!$Y$292="GAN",'10_Analysis_Ready'!$AA$292="YES"),AND('10_Analysis_Ready'!$Y$292="DIFFUSION",'10_Analysis_Ready'!$Z$292="YES"),AND('10_Analysis_Ready'!$Y$292="GAN+DIFFUSION",OR('10_Analysis_Ready'!$Z$292&lt;&gt;"YES",'10_Analysis_Ready'!$AA$292&lt;&gt;"YES"))),1,0))</f>
        <v>0</v>
      </c>
      <c r="H309">
        <f>IF('10_Analysis_Ready'!$A$292="",0,IF(OR(AND('10_Analysis_Ready'!$BJ$292="NO",OR('10_Analysis_Ready'!$BK$292="HIGH",'10_Analysis_Ready'!$BK$292="VERY HIGH")),AND(((OR('10_Analysis_Ready'!$AG$292="YES",'10_Analysis_Ready'!$AH$292="YES"))*1+('10_Analysis_Ready'!$AI$292="YES")+('10_Analysis_Ready'!$AJ$292="YES")+('10_Analysis_Ready'!$AK$292="YES")+('10_Analysis_Ready'!$AL$292="YES"))=0,'10_Analysis_Ready'!$BJ$292="YES")),1,0))</f>
        <v>0</v>
      </c>
      <c r="I309">
        <f>IF('10_Analysis_Ready'!$A$292="",0,IF(AND(((OR('10_Analysis_Ready'!$AG$292="YES",'10_Analysis_Ready'!$AH$292="YES"))*1+('10_Analysis_Ready'!$AI$292="YES")+('10_Analysis_Ready'!$AJ$292="YES")+('10_Analysis_Ready'!$AK$292="YES")+('10_Analysis_Ready'!$AL$292="YES"))=0,'10_Analysis_Ready'!$AM$292&lt;&gt;"N/A"),1,0))</f>
        <v>0</v>
      </c>
      <c r="J309">
        <f>IF('10_Analysis_Ready'!$A$292="",0,IF(('28_Taxonomy_Coding'!$G$292="NONE")&lt;&gt;(((OR('10_Analysis_Ready'!$AG$292="YES",'10_Analysis_Ready'!$AH$292="YES"))*1+('10_Analysis_Ready'!$AI$292="YES")+('10_Analysis_Ready'!$AJ$292="YES")+('10_Analysis_Ready'!$AK$292="YES")+('10_Analysis_Ready'!$AL$292="YES"))=0),1,0))</f>
        <v>0</v>
      </c>
    </row>
    <row r="310" spans="1:10">
      <c r="A310">
        <v>293</v>
      </c>
      <c r="B310" t="str">
        <f>IF('10_Analysis_Ready'!$A$293="","",'10_Analysis_Ready'!$A$293)</f>
        <v/>
      </c>
      <c r="C310">
        <f>IF('10_Analysis_Ready'!$A$293="",0,IF(AND('28_Taxonomy_Coding'!$A$293='10_Analysis_Ready'!$A$293,'14_Generalization_Map'!$A$293='10_Analysis_Ready'!$A$293),0,1))</f>
        <v>0</v>
      </c>
      <c r="D310">
        <f>IF('10_Analysis_Ready'!$A$293="",0,IF(COUNTIFS('06_Full_Text_Screening'!$A:$A,'10_Analysis_Ready'!$A$293,'06_Full_Text_Screening'!$J:$J,"INCLUDE")=1,0,1))</f>
        <v>0</v>
      </c>
      <c r="E310">
        <f>IF('10_Analysis_Ready'!$A$293="",0,IF(OR(AND(((OR('10_Analysis_Ready'!$AG$293="YES",'10_Analysis_Ready'!$AH$293="YES"))*1+('10_Analysis_Ready'!$AI$293="YES")+('10_Analysis_Ready'!$AJ$293="YES")+('10_Analysis_Ready'!$AK$293="YES")+('10_Analysis_Ready'!$AL$293="YES"))=0,'10_Analysis_Ready'!$AF$293&lt;&gt;"NONE"),AND(((OR('10_Analysis_Ready'!$AG$293="YES",'10_Analysis_Ready'!$AH$293="YES"))*1+('10_Analysis_Ready'!$AI$293="YES")+('10_Analysis_Ready'!$AJ$293="YES")+('10_Analysis_Ready'!$AK$293="YES")+('10_Analysis_Ready'!$AL$293="YES"))=1,OR('10_Analysis_Ready'!$AF$293="NONE",'10_Analysis_Ready'!$AF$293="MULTIPLE")),AND(((OR('10_Analysis_Ready'!$AG$293="YES",'10_Analysis_Ready'!$AH$293="YES"))*1+('10_Analysis_Ready'!$AI$293="YES")+('10_Analysis_Ready'!$AJ$293="YES")+('10_Analysis_Ready'!$AK$293="YES")+('10_Analysis_Ready'!$AL$293="YES"))&gt;=2,'10_Analysis_Ready'!$AF$293&lt;&gt;"MULTIPLE")),1,0))</f>
        <v>0</v>
      </c>
      <c r="F310">
        <f>IF('10_Analysis_Ready'!$A$293="",0,IF(AND('10_Analysis_Ready'!$AO$293="NO",COUNTIF('10_Analysis_Ready'!$AP$293:$AU$293,"YES")&gt;0),1,0))</f>
        <v>0</v>
      </c>
      <c r="G310">
        <f>IF('10_Analysis_Ready'!$A$293="",0,IF(OR(AND('10_Analysis_Ready'!$Y$293="GAN",'10_Analysis_Ready'!$AA$293="YES"),AND('10_Analysis_Ready'!$Y$293="DIFFUSION",'10_Analysis_Ready'!$Z$293="YES"),AND('10_Analysis_Ready'!$Y$293="GAN+DIFFUSION",OR('10_Analysis_Ready'!$Z$293&lt;&gt;"YES",'10_Analysis_Ready'!$AA$293&lt;&gt;"YES"))),1,0))</f>
        <v>0</v>
      </c>
      <c r="H310">
        <f>IF('10_Analysis_Ready'!$A$293="",0,IF(OR(AND('10_Analysis_Ready'!$BJ$293="NO",OR('10_Analysis_Ready'!$BK$293="HIGH",'10_Analysis_Ready'!$BK$293="VERY HIGH")),AND(((OR('10_Analysis_Ready'!$AG$293="YES",'10_Analysis_Ready'!$AH$293="YES"))*1+('10_Analysis_Ready'!$AI$293="YES")+('10_Analysis_Ready'!$AJ$293="YES")+('10_Analysis_Ready'!$AK$293="YES")+('10_Analysis_Ready'!$AL$293="YES"))=0,'10_Analysis_Ready'!$BJ$293="YES")),1,0))</f>
        <v>0</v>
      </c>
      <c r="I310">
        <f>IF('10_Analysis_Ready'!$A$293="",0,IF(AND(((OR('10_Analysis_Ready'!$AG$293="YES",'10_Analysis_Ready'!$AH$293="YES"))*1+('10_Analysis_Ready'!$AI$293="YES")+('10_Analysis_Ready'!$AJ$293="YES")+('10_Analysis_Ready'!$AK$293="YES")+('10_Analysis_Ready'!$AL$293="YES"))=0,'10_Analysis_Ready'!$AM$293&lt;&gt;"N/A"),1,0))</f>
        <v>0</v>
      </c>
      <c r="J310">
        <f>IF('10_Analysis_Ready'!$A$293="",0,IF(('28_Taxonomy_Coding'!$G$293="NONE")&lt;&gt;(((OR('10_Analysis_Ready'!$AG$293="YES",'10_Analysis_Ready'!$AH$293="YES"))*1+('10_Analysis_Ready'!$AI$293="YES")+('10_Analysis_Ready'!$AJ$293="YES")+('10_Analysis_Ready'!$AK$293="YES")+('10_Analysis_Ready'!$AL$293="YES"))=0),1,0))</f>
        <v>0</v>
      </c>
    </row>
    <row r="311" spans="1:10">
      <c r="A311">
        <v>294</v>
      </c>
      <c r="B311" t="str">
        <f>IF('10_Analysis_Ready'!$A$294="","",'10_Analysis_Ready'!$A$294)</f>
        <v/>
      </c>
      <c r="C311">
        <f>IF('10_Analysis_Ready'!$A$294="",0,IF(AND('28_Taxonomy_Coding'!$A$294='10_Analysis_Ready'!$A$294,'14_Generalization_Map'!$A$294='10_Analysis_Ready'!$A$294),0,1))</f>
        <v>0</v>
      </c>
      <c r="D311">
        <f>IF('10_Analysis_Ready'!$A$294="",0,IF(COUNTIFS('06_Full_Text_Screening'!$A:$A,'10_Analysis_Ready'!$A$294,'06_Full_Text_Screening'!$J:$J,"INCLUDE")=1,0,1))</f>
        <v>0</v>
      </c>
      <c r="E311">
        <f>IF('10_Analysis_Ready'!$A$294="",0,IF(OR(AND(((OR('10_Analysis_Ready'!$AG$294="YES",'10_Analysis_Ready'!$AH$294="YES"))*1+('10_Analysis_Ready'!$AI$294="YES")+('10_Analysis_Ready'!$AJ$294="YES")+('10_Analysis_Ready'!$AK$294="YES")+('10_Analysis_Ready'!$AL$294="YES"))=0,'10_Analysis_Ready'!$AF$294&lt;&gt;"NONE"),AND(((OR('10_Analysis_Ready'!$AG$294="YES",'10_Analysis_Ready'!$AH$294="YES"))*1+('10_Analysis_Ready'!$AI$294="YES")+('10_Analysis_Ready'!$AJ$294="YES")+('10_Analysis_Ready'!$AK$294="YES")+('10_Analysis_Ready'!$AL$294="YES"))=1,OR('10_Analysis_Ready'!$AF$294="NONE",'10_Analysis_Ready'!$AF$294="MULTIPLE")),AND(((OR('10_Analysis_Ready'!$AG$294="YES",'10_Analysis_Ready'!$AH$294="YES"))*1+('10_Analysis_Ready'!$AI$294="YES")+('10_Analysis_Ready'!$AJ$294="YES")+('10_Analysis_Ready'!$AK$294="YES")+('10_Analysis_Ready'!$AL$294="YES"))&gt;=2,'10_Analysis_Ready'!$AF$294&lt;&gt;"MULTIPLE")),1,0))</f>
        <v>0</v>
      </c>
      <c r="F311">
        <f>IF('10_Analysis_Ready'!$A$294="",0,IF(AND('10_Analysis_Ready'!$AO$294="NO",COUNTIF('10_Analysis_Ready'!$AP$294:$AU$294,"YES")&gt;0),1,0))</f>
        <v>0</v>
      </c>
      <c r="G311">
        <f>IF('10_Analysis_Ready'!$A$294="",0,IF(OR(AND('10_Analysis_Ready'!$Y$294="GAN",'10_Analysis_Ready'!$AA$294="YES"),AND('10_Analysis_Ready'!$Y$294="DIFFUSION",'10_Analysis_Ready'!$Z$294="YES"),AND('10_Analysis_Ready'!$Y$294="GAN+DIFFUSION",OR('10_Analysis_Ready'!$Z$294&lt;&gt;"YES",'10_Analysis_Ready'!$AA$294&lt;&gt;"YES"))),1,0))</f>
        <v>0</v>
      </c>
      <c r="H311">
        <f>IF('10_Analysis_Ready'!$A$294="",0,IF(OR(AND('10_Analysis_Ready'!$BJ$294="NO",OR('10_Analysis_Ready'!$BK$294="HIGH",'10_Analysis_Ready'!$BK$294="VERY HIGH")),AND(((OR('10_Analysis_Ready'!$AG$294="YES",'10_Analysis_Ready'!$AH$294="YES"))*1+('10_Analysis_Ready'!$AI$294="YES")+('10_Analysis_Ready'!$AJ$294="YES")+('10_Analysis_Ready'!$AK$294="YES")+('10_Analysis_Ready'!$AL$294="YES"))=0,'10_Analysis_Ready'!$BJ$294="YES")),1,0))</f>
        <v>0</v>
      </c>
      <c r="I311">
        <f>IF('10_Analysis_Ready'!$A$294="",0,IF(AND(((OR('10_Analysis_Ready'!$AG$294="YES",'10_Analysis_Ready'!$AH$294="YES"))*1+('10_Analysis_Ready'!$AI$294="YES")+('10_Analysis_Ready'!$AJ$294="YES")+('10_Analysis_Ready'!$AK$294="YES")+('10_Analysis_Ready'!$AL$294="YES"))=0,'10_Analysis_Ready'!$AM$294&lt;&gt;"N/A"),1,0))</f>
        <v>0</v>
      </c>
      <c r="J311">
        <f>IF('10_Analysis_Ready'!$A$294="",0,IF(('28_Taxonomy_Coding'!$G$294="NONE")&lt;&gt;(((OR('10_Analysis_Ready'!$AG$294="YES",'10_Analysis_Ready'!$AH$294="YES"))*1+('10_Analysis_Ready'!$AI$294="YES")+('10_Analysis_Ready'!$AJ$294="YES")+('10_Analysis_Ready'!$AK$294="YES")+('10_Analysis_Ready'!$AL$294="YES"))=0),1,0))</f>
        <v>0</v>
      </c>
    </row>
    <row r="312" spans="1:10">
      <c r="A312">
        <v>295</v>
      </c>
      <c r="B312" t="str">
        <f>IF('10_Analysis_Ready'!$A$295="","",'10_Analysis_Ready'!$A$295)</f>
        <v/>
      </c>
      <c r="C312">
        <f>IF('10_Analysis_Ready'!$A$295="",0,IF(AND('28_Taxonomy_Coding'!$A$295='10_Analysis_Ready'!$A$295,'14_Generalization_Map'!$A$295='10_Analysis_Ready'!$A$295),0,1))</f>
        <v>0</v>
      </c>
      <c r="D312">
        <f>IF('10_Analysis_Ready'!$A$295="",0,IF(COUNTIFS('06_Full_Text_Screening'!$A:$A,'10_Analysis_Ready'!$A$295,'06_Full_Text_Screening'!$J:$J,"INCLUDE")=1,0,1))</f>
        <v>0</v>
      </c>
      <c r="E312">
        <f>IF('10_Analysis_Ready'!$A$295="",0,IF(OR(AND(((OR('10_Analysis_Ready'!$AG$295="YES",'10_Analysis_Ready'!$AH$295="YES"))*1+('10_Analysis_Ready'!$AI$295="YES")+('10_Analysis_Ready'!$AJ$295="YES")+('10_Analysis_Ready'!$AK$295="YES")+('10_Analysis_Ready'!$AL$295="YES"))=0,'10_Analysis_Ready'!$AF$295&lt;&gt;"NONE"),AND(((OR('10_Analysis_Ready'!$AG$295="YES",'10_Analysis_Ready'!$AH$295="YES"))*1+('10_Analysis_Ready'!$AI$295="YES")+('10_Analysis_Ready'!$AJ$295="YES")+('10_Analysis_Ready'!$AK$295="YES")+('10_Analysis_Ready'!$AL$295="YES"))=1,OR('10_Analysis_Ready'!$AF$295="NONE",'10_Analysis_Ready'!$AF$295="MULTIPLE")),AND(((OR('10_Analysis_Ready'!$AG$295="YES",'10_Analysis_Ready'!$AH$295="YES"))*1+('10_Analysis_Ready'!$AI$295="YES")+('10_Analysis_Ready'!$AJ$295="YES")+('10_Analysis_Ready'!$AK$295="YES")+('10_Analysis_Ready'!$AL$295="YES"))&gt;=2,'10_Analysis_Ready'!$AF$295&lt;&gt;"MULTIPLE")),1,0))</f>
        <v>0</v>
      </c>
      <c r="F312">
        <f>IF('10_Analysis_Ready'!$A$295="",0,IF(AND('10_Analysis_Ready'!$AO$295="NO",COUNTIF('10_Analysis_Ready'!$AP$295:$AU$295,"YES")&gt;0),1,0))</f>
        <v>0</v>
      </c>
      <c r="G312">
        <f>IF('10_Analysis_Ready'!$A$295="",0,IF(OR(AND('10_Analysis_Ready'!$Y$295="GAN",'10_Analysis_Ready'!$AA$295="YES"),AND('10_Analysis_Ready'!$Y$295="DIFFUSION",'10_Analysis_Ready'!$Z$295="YES"),AND('10_Analysis_Ready'!$Y$295="GAN+DIFFUSION",OR('10_Analysis_Ready'!$Z$295&lt;&gt;"YES",'10_Analysis_Ready'!$AA$295&lt;&gt;"YES"))),1,0))</f>
        <v>0</v>
      </c>
      <c r="H312">
        <f>IF('10_Analysis_Ready'!$A$295="",0,IF(OR(AND('10_Analysis_Ready'!$BJ$295="NO",OR('10_Analysis_Ready'!$BK$295="HIGH",'10_Analysis_Ready'!$BK$295="VERY HIGH")),AND(((OR('10_Analysis_Ready'!$AG$295="YES",'10_Analysis_Ready'!$AH$295="YES"))*1+('10_Analysis_Ready'!$AI$295="YES")+('10_Analysis_Ready'!$AJ$295="YES")+('10_Analysis_Ready'!$AK$295="YES")+('10_Analysis_Ready'!$AL$295="YES"))=0,'10_Analysis_Ready'!$BJ$295="YES")),1,0))</f>
        <v>0</v>
      </c>
      <c r="I312">
        <f>IF('10_Analysis_Ready'!$A$295="",0,IF(AND(((OR('10_Analysis_Ready'!$AG$295="YES",'10_Analysis_Ready'!$AH$295="YES"))*1+('10_Analysis_Ready'!$AI$295="YES")+('10_Analysis_Ready'!$AJ$295="YES")+('10_Analysis_Ready'!$AK$295="YES")+('10_Analysis_Ready'!$AL$295="YES"))=0,'10_Analysis_Ready'!$AM$295&lt;&gt;"N/A"),1,0))</f>
        <v>0</v>
      </c>
      <c r="J312">
        <f>IF('10_Analysis_Ready'!$A$295="",0,IF(('28_Taxonomy_Coding'!$G$295="NONE")&lt;&gt;(((OR('10_Analysis_Ready'!$AG$295="YES",'10_Analysis_Ready'!$AH$295="YES"))*1+('10_Analysis_Ready'!$AI$295="YES")+('10_Analysis_Ready'!$AJ$295="YES")+('10_Analysis_Ready'!$AK$295="YES")+('10_Analysis_Ready'!$AL$295="YES"))=0),1,0))</f>
        <v>0</v>
      </c>
    </row>
    <row r="313" spans="1:10">
      <c r="A313">
        <v>296</v>
      </c>
      <c r="B313" t="str">
        <f>IF('10_Analysis_Ready'!$A$296="","",'10_Analysis_Ready'!$A$296)</f>
        <v/>
      </c>
      <c r="C313">
        <f>IF('10_Analysis_Ready'!$A$296="",0,IF(AND('28_Taxonomy_Coding'!$A$296='10_Analysis_Ready'!$A$296,'14_Generalization_Map'!$A$296='10_Analysis_Ready'!$A$296),0,1))</f>
        <v>0</v>
      </c>
      <c r="D313">
        <f>IF('10_Analysis_Ready'!$A$296="",0,IF(COUNTIFS('06_Full_Text_Screening'!$A:$A,'10_Analysis_Ready'!$A$296,'06_Full_Text_Screening'!$J:$J,"INCLUDE")=1,0,1))</f>
        <v>0</v>
      </c>
      <c r="E313">
        <f>IF('10_Analysis_Ready'!$A$296="",0,IF(OR(AND(((OR('10_Analysis_Ready'!$AG$296="YES",'10_Analysis_Ready'!$AH$296="YES"))*1+('10_Analysis_Ready'!$AI$296="YES")+('10_Analysis_Ready'!$AJ$296="YES")+('10_Analysis_Ready'!$AK$296="YES")+('10_Analysis_Ready'!$AL$296="YES"))=0,'10_Analysis_Ready'!$AF$296&lt;&gt;"NONE"),AND(((OR('10_Analysis_Ready'!$AG$296="YES",'10_Analysis_Ready'!$AH$296="YES"))*1+('10_Analysis_Ready'!$AI$296="YES")+('10_Analysis_Ready'!$AJ$296="YES")+('10_Analysis_Ready'!$AK$296="YES")+('10_Analysis_Ready'!$AL$296="YES"))=1,OR('10_Analysis_Ready'!$AF$296="NONE",'10_Analysis_Ready'!$AF$296="MULTIPLE")),AND(((OR('10_Analysis_Ready'!$AG$296="YES",'10_Analysis_Ready'!$AH$296="YES"))*1+('10_Analysis_Ready'!$AI$296="YES")+('10_Analysis_Ready'!$AJ$296="YES")+('10_Analysis_Ready'!$AK$296="YES")+('10_Analysis_Ready'!$AL$296="YES"))&gt;=2,'10_Analysis_Ready'!$AF$296&lt;&gt;"MULTIPLE")),1,0))</f>
        <v>0</v>
      </c>
      <c r="F313">
        <f>IF('10_Analysis_Ready'!$A$296="",0,IF(AND('10_Analysis_Ready'!$AO$296="NO",COUNTIF('10_Analysis_Ready'!$AP$296:$AU$296,"YES")&gt;0),1,0))</f>
        <v>0</v>
      </c>
      <c r="G313">
        <f>IF('10_Analysis_Ready'!$A$296="",0,IF(OR(AND('10_Analysis_Ready'!$Y$296="GAN",'10_Analysis_Ready'!$AA$296="YES"),AND('10_Analysis_Ready'!$Y$296="DIFFUSION",'10_Analysis_Ready'!$Z$296="YES"),AND('10_Analysis_Ready'!$Y$296="GAN+DIFFUSION",OR('10_Analysis_Ready'!$Z$296&lt;&gt;"YES",'10_Analysis_Ready'!$AA$296&lt;&gt;"YES"))),1,0))</f>
        <v>0</v>
      </c>
      <c r="H313">
        <f>IF('10_Analysis_Ready'!$A$296="",0,IF(OR(AND('10_Analysis_Ready'!$BJ$296="NO",OR('10_Analysis_Ready'!$BK$296="HIGH",'10_Analysis_Ready'!$BK$296="VERY HIGH")),AND(((OR('10_Analysis_Ready'!$AG$296="YES",'10_Analysis_Ready'!$AH$296="YES"))*1+('10_Analysis_Ready'!$AI$296="YES")+('10_Analysis_Ready'!$AJ$296="YES")+('10_Analysis_Ready'!$AK$296="YES")+('10_Analysis_Ready'!$AL$296="YES"))=0,'10_Analysis_Ready'!$BJ$296="YES")),1,0))</f>
        <v>0</v>
      </c>
      <c r="I313">
        <f>IF('10_Analysis_Ready'!$A$296="",0,IF(AND(((OR('10_Analysis_Ready'!$AG$296="YES",'10_Analysis_Ready'!$AH$296="YES"))*1+('10_Analysis_Ready'!$AI$296="YES")+('10_Analysis_Ready'!$AJ$296="YES")+('10_Analysis_Ready'!$AK$296="YES")+('10_Analysis_Ready'!$AL$296="YES"))=0,'10_Analysis_Ready'!$AM$296&lt;&gt;"N/A"),1,0))</f>
        <v>0</v>
      </c>
      <c r="J313">
        <f>IF('10_Analysis_Ready'!$A$296="",0,IF(('28_Taxonomy_Coding'!$G$296="NONE")&lt;&gt;(((OR('10_Analysis_Ready'!$AG$296="YES",'10_Analysis_Ready'!$AH$296="YES"))*1+('10_Analysis_Ready'!$AI$296="YES")+('10_Analysis_Ready'!$AJ$296="YES")+('10_Analysis_Ready'!$AK$296="YES")+('10_Analysis_Ready'!$AL$296="YES"))=0),1,0))</f>
        <v>0</v>
      </c>
    </row>
    <row r="314" spans="1:10">
      <c r="A314">
        <v>297</v>
      </c>
      <c r="B314" t="str">
        <f>IF('10_Analysis_Ready'!$A$297="","",'10_Analysis_Ready'!$A$297)</f>
        <v/>
      </c>
      <c r="C314">
        <f>IF('10_Analysis_Ready'!$A$297="",0,IF(AND('28_Taxonomy_Coding'!$A$297='10_Analysis_Ready'!$A$297,'14_Generalization_Map'!$A$297='10_Analysis_Ready'!$A$297),0,1))</f>
        <v>0</v>
      </c>
      <c r="D314">
        <f>IF('10_Analysis_Ready'!$A$297="",0,IF(COUNTIFS('06_Full_Text_Screening'!$A:$A,'10_Analysis_Ready'!$A$297,'06_Full_Text_Screening'!$J:$J,"INCLUDE")=1,0,1))</f>
        <v>0</v>
      </c>
      <c r="E314">
        <f>IF('10_Analysis_Ready'!$A$297="",0,IF(OR(AND(((OR('10_Analysis_Ready'!$AG$297="YES",'10_Analysis_Ready'!$AH$297="YES"))*1+('10_Analysis_Ready'!$AI$297="YES")+('10_Analysis_Ready'!$AJ$297="YES")+('10_Analysis_Ready'!$AK$297="YES")+('10_Analysis_Ready'!$AL$297="YES"))=0,'10_Analysis_Ready'!$AF$297&lt;&gt;"NONE"),AND(((OR('10_Analysis_Ready'!$AG$297="YES",'10_Analysis_Ready'!$AH$297="YES"))*1+('10_Analysis_Ready'!$AI$297="YES")+('10_Analysis_Ready'!$AJ$297="YES")+('10_Analysis_Ready'!$AK$297="YES")+('10_Analysis_Ready'!$AL$297="YES"))=1,OR('10_Analysis_Ready'!$AF$297="NONE",'10_Analysis_Ready'!$AF$297="MULTIPLE")),AND(((OR('10_Analysis_Ready'!$AG$297="YES",'10_Analysis_Ready'!$AH$297="YES"))*1+('10_Analysis_Ready'!$AI$297="YES")+('10_Analysis_Ready'!$AJ$297="YES")+('10_Analysis_Ready'!$AK$297="YES")+('10_Analysis_Ready'!$AL$297="YES"))&gt;=2,'10_Analysis_Ready'!$AF$297&lt;&gt;"MULTIPLE")),1,0))</f>
        <v>0</v>
      </c>
      <c r="F314">
        <f>IF('10_Analysis_Ready'!$A$297="",0,IF(AND('10_Analysis_Ready'!$AO$297="NO",COUNTIF('10_Analysis_Ready'!$AP$297:$AU$297,"YES")&gt;0),1,0))</f>
        <v>0</v>
      </c>
      <c r="G314">
        <f>IF('10_Analysis_Ready'!$A$297="",0,IF(OR(AND('10_Analysis_Ready'!$Y$297="GAN",'10_Analysis_Ready'!$AA$297="YES"),AND('10_Analysis_Ready'!$Y$297="DIFFUSION",'10_Analysis_Ready'!$Z$297="YES"),AND('10_Analysis_Ready'!$Y$297="GAN+DIFFUSION",OR('10_Analysis_Ready'!$Z$297&lt;&gt;"YES",'10_Analysis_Ready'!$AA$297&lt;&gt;"YES"))),1,0))</f>
        <v>0</v>
      </c>
      <c r="H314">
        <f>IF('10_Analysis_Ready'!$A$297="",0,IF(OR(AND('10_Analysis_Ready'!$BJ$297="NO",OR('10_Analysis_Ready'!$BK$297="HIGH",'10_Analysis_Ready'!$BK$297="VERY HIGH")),AND(((OR('10_Analysis_Ready'!$AG$297="YES",'10_Analysis_Ready'!$AH$297="YES"))*1+('10_Analysis_Ready'!$AI$297="YES")+('10_Analysis_Ready'!$AJ$297="YES")+('10_Analysis_Ready'!$AK$297="YES")+('10_Analysis_Ready'!$AL$297="YES"))=0,'10_Analysis_Ready'!$BJ$297="YES")),1,0))</f>
        <v>0</v>
      </c>
      <c r="I314">
        <f>IF('10_Analysis_Ready'!$A$297="",0,IF(AND(((OR('10_Analysis_Ready'!$AG$297="YES",'10_Analysis_Ready'!$AH$297="YES"))*1+('10_Analysis_Ready'!$AI$297="YES")+('10_Analysis_Ready'!$AJ$297="YES")+('10_Analysis_Ready'!$AK$297="YES")+('10_Analysis_Ready'!$AL$297="YES"))=0,'10_Analysis_Ready'!$AM$297&lt;&gt;"N/A"),1,0))</f>
        <v>0</v>
      </c>
      <c r="J314">
        <f>IF('10_Analysis_Ready'!$A$297="",0,IF(('28_Taxonomy_Coding'!$G$297="NONE")&lt;&gt;(((OR('10_Analysis_Ready'!$AG$297="YES",'10_Analysis_Ready'!$AH$297="YES"))*1+('10_Analysis_Ready'!$AI$297="YES")+('10_Analysis_Ready'!$AJ$297="YES")+('10_Analysis_Ready'!$AK$297="YES")+('10_Analysis_Ready'!$AL$297="YES"))=0),1,0))</f>
        <v>0</v>
      </c>
    </row>
    <row r="315" spans="1:10">
      <c r="A315">
        <v>298</v>
      </c>
      <c r="B315" t="str">
        <f>IF('10_Analysis_Ready'!$A$298="","",'10_Analysis_Ready'!$A$298)</f>
        <v/>
      </c>
      <c r="C315">
        <f>IF('10_Analysis_Ready'!$A$298="",0,IF(AND('28_Taxonomy_Coding'!$A$298='10_Analysis_Ready'!$A$298,'14_Generalization_Map'!$A$298='10_Analysis_Ready'!$A$298),0,1))</f>
        <v>0</v>
      </c>
      <c r="D315">
        <f>IF('10_Analysis_Ready'!$A$298="",0,IF(COUNTIFS('06_Full_Text_Screening'!$A:$A,'10_Analysis_Ready'!$A$298,'06_Full_Text_Screening'!$J:$J,"INCLUDE")=1,0,1))</f>
        <v>0</v>
      </c>
      <c r="E315">
        <f>IF('10_Analysis_Ready'!$A$298="",0,IF(OR(AND(((OR('10_Analysis_Ready'!$AG$298="YES",'10_Analysis_Ready'!$AH$298="YES"))*1+('10_Analysis_Ready'!$AI$298="YES")+('10_Analysis_Ready'!$AJ$298="YES")+('10_Analysis_Ready'!$AK$298="YES")+('10_Analysis_Ready'!$AL$298="YES"))=0,'10_Analysis_Ready'!$AF$298&lt;&gt;"NONE"),AND(((OR('10_Analysis_Ready'!$AG$298="YES",'10_Analysis_Ready'!$AH$298="YES"))*1+('10_Analysis_Ready'!$AI$298="YES")+('10_Analysis_Ready'!$AJ$298="YES")+('10_Analysis_Ready'!$AK$298="YES")+('10_Analysis_Ready'!$AL$298="YES"))=1,OR('10_Analysis_Ready'!$AF$298="NONE",'10_Analysis_Ready'!$AF$298="MULTIPLE")),AND(((OR('10_Analysis_Ready'!$AG$298="YES",'10_Analysis_Ready'!$AH$298="YES"))*1+('10_Analysis_Ready'!$AI$298="YES")+('10_Analysis_Ready'!$AJ$298="YES")+('10_Analysis_Ready'!$AK$298="YES")+('10_Analysis_Ready'!$AL$298="YES"))&gt;=2,'10_Analysis_Ready'!$AF$298&lt;&gt;"MULTIPLE")),1,0))</f>
        <v>0</v>
      </c>
      <c r="F315">
        <f>IF('10_Analysis_Ready'!$A$298="",0,IF(AND('10_Analysis_Ready'!$AO$298="NO",COUNTIF('10_Analysis_Ready'!$AP$298:$AU$298,"YES")&gt;0),1,0))</f>
        <v>0</v>
      </c>
      <c r="G315">
        <f>IF('10_Analysis_Ready'!$A$298="",0,IF(OR(AND('10_Analysis_Ready'!$Y$298="GAN",'10_Analysis_Ready'!$AA$298="YES"),AND('10_Analysis_Ready'!$Y$298="DIFFUSION",'10_Analysis_Ready'!$Z$298="YES"),AND('10_Analysis_Ready'!$Y$298="GAN+DIFFUSION",OR('10_Analysis_Ready'!$Z$298&lt;&gt;"YES",'10_Analysis_Ready'!$AA$298&lt;&gt;"YES"))),1,0))</f>
        <v>0</v>
      </c>
      <c r="H315">
        <f>IF('10_Analysis_Ready'!$A$298="",0,IF(OR(AND('10_Analysis_Ready'!$BJ$298="NO",OR('10_Analysis_Ready'!$BK$298="HIGH",'10_Analysis_Ready'!$BK$298="VERY HIGH")),AND(((OR('10_Analysis_Ready'!$AG$298="YES",'10_Analysis_Ready'!$AH$298="YES"))*1+('10_Analysis_Ready'!$AI$298="YES")+('10_Analysis_Ready'!$AJ$298="YES")+('10_Analysis_Ready'!$AK$298="YES")+('10_Analysis_Ready'!$AL$298="YES"))=0,'10_Analysis_Ready'!$BJ$298="YES")),1,0))</f>
        <v>0</v>
      </c>
      <c r="I315">
        <f>IF('10_Analysis_Ready'!$A$298="",0,IF(AND(((OR('10_Analysis_Ready'!$AG$298="YES",'10_Analysis_Ready'!$AH$298="YES"))*1+('10_Analysis_Ready'!$AI$298="YES")+('10_Analysis_Ready'!$AJ$298="YES")+('10_Analysis_Ready'!$AK$298="YES")+('10_Analysis_Ready'!$AL$298="YES"))=0,'10_Analysis_Ready'!$AM$298&lt;&gt;"N/A"),1,0))</f>
        <v>0</v>
      </c>
      <c r="J315">
        <f>IF('10_Analysis_Ready'!$A$298="",0,IF(('28_Taxonomy_Coding'!$G$298="NONE")&lt;&gt;(((OR('10_Analysis_Ready'!$AG$298="YES",'10_Analysis_Ready'!$AH$298="YES"))*1+('10_Analysis_Ready'!$AI$298="YES")+('10_Analysis_Ready'!$AJ$298="YES")+('10_Analysis_Ready'!$AK$298="YES")+('10_Analysis_Ready'!$AL$298="YES"))=0),1,0))</f>
        <v>0</v>
      </c>
    </row>
    <row r="316" spans="1:10">
      <c r="A316">
        <v>299</v>
      </c>
      <c r="B316" t="str">
        <f>IF('10_Analysis_Ready'!$A$299="","",'10_Analysis_Ready'!$A$299)</f>
        <v/>
      </c>
      <c r="C316">
        <f>IF('10_Analysis_Ready'!$A$299="",0,IF(AND('28_Taxonomy_Coding'!$A$299='10_Analysis_Ready'!$A$299,'14_Generalization_Map'!$A$299='10_Analysis_Ready'!$A$299),0,1))</f>
        <v>0</v>
      </c>
      <c r="D316">
        <f>IF('10_Analysis_Ready'!$A$299="",0,IF(COUNTIFS('06_Full_Text_Screening'!$A:$A,'10_Analysis_Ready'!$A$299,'06_Full_Text_Screening'!$J:$J,"INCLUDE")=1,0,1))</f>
        <v>0</v>
      </c>
      <c r="E316">
        <f>IF('10_Analysis_Ready'!$A$299="",0,IF(OR(AND(((OR('10_Analysis_Ready'!$AG$299="YES",'10_Analysis_Ready'!$AH$299="YES"))*1+('10_Analysis_Ready'!$AI$299="YES")+('10_Analysis_Ready'!$AJ$299="YES")+('10_Analysis_Ready'!$AK$299="YES")+('10_Analysis_Ready'!$AL$299="YES"))=0,'10_Analysis_Ready'!$AF$299&lt;&gt;"NONE"),AND(((OR('10_Analysis_Ready'!$AG$299="YES",'10_Analysis_Ready'!$AH$299="YES"))*1+('10_Analysis_Ready'!$AI$299="YES")+('10_Analysis_Ready'!$AJ$299="YES")+('10_Analysis_Ready'!$AK$299="YES")+('10_Analysis_Ready'!$AL$299="YES"))=1,OR('10_Analysis_Ready'!$AF$299="NONE",'10_Analysis_Ready'!$AF$299="MULTIPLE")),AND(((OR('10_Analysis_Ready'!$AG$299="YES",'10_Analysis_Ready'!$AH$299="YES"))*1+('10_Analysis_Ready'!$AI$299="YES")+('10_Analysis_Ready'!$AJ$299="YES")+('10_Analysis_Ready'!$AK$299="YES")+('10_Analysis_Ready'!$AL$299="YES"))&gt;=2,'10_Analysis_Ready'!$AF$299&lt;&gt;"MULTIPLE")),1,0))</f>
        <v>0</v>
      </c>
      <c r="F316">
        <f>IF('10_Analysis_Ready'!$A$299="",0,IF(AND('10_Analysis_Ready'!$AO$299="NO",COUNTIF('10_Analysis_Ready'!$AP$299:$AU$299,"YES")&gt;0),1,0))</f>
        <v>0</v>
      </c>
      <c r="G316">
        <f>IF('10_Analysis_Ready'!$A$299="",0,IF(OR(AND('10_Analysis_Ready'!$Y$299="GAN",'10_Analysis_Ready'!$AA$299="YES"),AND('10_Analysis_Ready'!$Y$299="DIFFUSION",'10_Analysis_Ready'!$Z$299="YES"),AND('10_Analysis_Ready'!$Y$299="GAN+DIFFUSION",OR('10_Analysis_Ready'!$Z$299&lt;&gt;"YES",'10_Analysis_Ready'!$AA$299&lt;&gt;"YES"))),1,0))</f>
        <v>0</v>
      </c>
      <c r="H316">
        <f>IF('10_Analysis_Ready'!$A$299="",0,IF(OR(AND('10_Analysis_Ready'!$BJ$299="NO",OR('10_Analysis_Ready'!$BK$299="HIGH",'10_Analysis_Ready'!$BK$299="VERY HIGH")),AND(((OR('10_Analysis_Ready'!$AG$299="YES",'10_Analysis_Ready'!$AH$299="YES"))*1+('10_Analysis_Ready'!$AI$299="YES")+('10_Analysis_Ready'!$AJ$299="YES")+('10_Analysis_Ready'!$AK$299="YES")+('10_Analysis_Ready'!$AL$299="YES"))=0,'10_Analysis_Ready'!$BJ$299="YES")),1,0))</f>
        <v>0</v>
      </c>
      <c r="I316">
        <f>IF('10_Analysis_Ready'!$A$299="",0,IF(AND(((OR('10_Analysis_Ready'!$AG$299="YES",'10_Analysis_Ready'!$AH$299="YES"))*1+('10_Analysis_Ready'!$AI$299="YES")+('10_Analysis_Ready'!$AJ$299="YES")+('10_Analysis_Ready'!$AK$299="YES")+('10_Analysis_Ready'!$AL$299="YES"))=0,'10_Analysis_Ready'!$AM$299&lt;&gt;"N/A"),1,0))</f>
        <v>0</v>
      </c>
      <c r="J316">
        <f>IF('10_Analysis_Ready'!$A$299="",0,IF(('28_Taxonomy_Coding'!$G$299="NONE")&lt;&gt;(((OR('10_Analysis_Ready'!$AG$299="YES",'10_Analysis_Ready'!$AH$299="YES"))*1+('10_Analysis_Ready'!$AI$299="YES")+('10_Analysis_Ready'!$AJ$299="YES")+('10_Analysis_Ready'!$AK$299="YES")+('10_Analysis_Ready'!$AL$299="YES"))=0),1,0))</f>
        <v>0</v>
      </c>
    </row>
    <row r="317" spans="1:10">
      <c r="A317">
        <v>300</v>
      </c>
      <c r="B317" t="str">
        <f>IF('10_Analysis_Ready'!$A$300="","",'10_Analysis_Ready'!$A$300)</f>
        <v/>
      </c>
      <c r="C317">
        <f>IF('10_Analysis_Ready'!$A$300="",0,IF(AND('28_Taxonomy_Coding'!$A$300='10_Analysis_Ready'!$A$300,'14_Generalization_Map'!$A$300='10_Analysis_Ready'!$A$300),0,1))</f>
        <v>0</v>
      </c>
      <c r="D317">
        <f>IF('10_Analysis_Ready'!$A$300="",0,IF(COUNTIFS('06_Full_Text_Screening'!$A:$A,'10_Analysis_Ready'!$A$300,'06_Full_Text_Screening'!$J:$J,"INCLUDE")=1,0,1))</f>
        <v>0</v>
      </c>
      <c r="E317">
        <f>IF('10_Analysis_Ready'!$A$300="",0,IF(OR(AND(((OR('10_Analysis_Ready'!$AG$300="YES",'10_Analysis_Ready'!$AH$300="YES"))*1+('10_Analysis_Ready'!$AI$300="YES")+('10_Analysis_Ready'!$AJ$300="YES")+('10_Analysis_Ready'!$AK$300="YES")+('10_Analysis_Ready'!$AL$300="YES"))=0,'10_Analysis_Ready'!$AF$300&lt;&gt;"NONE"),AND(((OR('10_Analysis_Ready'!$AG$300="YES",'10_Analysis_Ready'!$AH$300="YES"))*1+('10_Analysis_Ready'!$AI$300="YES")+('10_Analysis_Ready'!$AJ$300="YES")+('10_Analysis_Ready'!$AK$300="YES")+('10_Analysis_Ready'!$AL$300="YES"))=1,OR('10_Analysis_Ready'!$AF$300="NONE",'10_Analysis_Ready'!$AF$300="MULTIPLE")),AND(((OR('10_Analysis_Ready'!$AG$300="YES",'10_Analysis_Ready'!$AH$300="YES"))*1+('10_Analysis_Ready'!$AI$300="YES")+('10_Analysis_Ready'!$AJ$300="YES")+('10_Analysis_Ready'!$AK$300="YES")+('10_Analysis_Ready'!$AL$300="YES"))&gt;=2,'10_Analysis_Ready'!$AF$300&lt;&gt;"MULTIPLE")),1,0))</f>
        <v>0</v>
      </c>
      <c r="F317">
        <f>IF('10_Analysis_Ready'!$A$300="",0,IF(AND('10_Analysis_Ready'!$AO$300="NO",COUNTIF('10_Analysis_Ready'!$AP$300:$AU$300,"YES")&gt;0),1,0))</f>
        <v>0</v>
      </c>
      <c r="G317">
        <f>IF('10_Analysis_Ready'!$A$300="",0,IF(OR(AND('10_Analysis_Ready'!$Y$300="GAN",'10_Analysis_Ready'!$AA$300="YES"),AND('10_Analysis_Ready'!$Y$300="DIFFUSION",'10_Analysis_Ready'!$Z$300="YES"),AND('10_Analysis_Ready'!$Y$300="GAN+DIFFUSION",OR('10_Analysis_Ready'!$Z$300&lt;&gt;"YES",'10_Analysis_Ready'!$AA$300&lt;&gt;"YES"))),1,0))</f>
        <v>0</v>
      </c>
      <c r="H317">
        <f>IF('10_Analysis_Ready'!$A$300="",0,IF(OR(AND('10_Analysis_Ready'!$BJ$300="NO",OR('10_Analysis_Ready'!$BK$300="HIGH",'10_Analysis_Ready'!$BK$300="VERY HIGH")),AND(((OR('10_Analysis_Ready'!$AG$300="YES",'10_Analysis_Ready'!$AH$300="YES"))*1+('10_Analysis_Ready'!$AI$300="YES")+('10_Analysis_Ready'!$AJ$300="YES")+('10_Analysis_Ready'!$AK$300="YES")+('10_Analysis_Ready'!$AL$300="YES"))=0,'10_Analysis_Ready'!$BJ$300="YES")),1,0))</f>
        <v>0</v>
      </c>
      <c r="I317">
        <f>IF('10_Analysis_Ready'!$A$300="",0,IF(AND(((OR('10_Analysis_Ready'!$AG$300="YES",'10_Analysis_Ready'!$AH$300="YES"))*1+('10_Analysis_Ready'!$AI$300="YES")+('10_Analysis_Ready'!$AJ$300="YES")+('10_Analysis_Ready'!$AK$300="YES")+('10_Analysis_Ready'!$AL$300="YES"))=0,'10_Analysis_Ready'!$AM$300&lt;&gt;"N/A"),1,0))</f>
        <v>0</v>
      </c>
      <c r="J317">
        <f>IF('10_Analysis_Ready'!$A$300="",0,IF(('28_Taxonomy_Coding'!$G$300="NONE")&lt;&gt;(((OR('10_Analysis_Ready'!$AG$300="YES",'10_Analysis_Ready'!$AH$300="YES"))*1+('10_Analysis_Ready'!$AI$300="YES")+('10_Analysis_Ready'!$AJ$300="YES")+('10_Analysis_Ready'!$AK$300="YES")+('10_Analysis_Ready'!$AL$300="YES"))=0),1,0))</f>
        <v>0</v>
      </c>
    </row>
    <row r="318" spans="1:10">
      <c r="A318">
        <v>301</v>
      </c>
      <c r="B318" t="str">
        <f>IF('10_Analysis_Ready'!$A$301="","",'10_Analysis_Ready'!$A$301)</f>
        <v/>
      </c>
      <c r="C318">
        <f>IF('10_Analysis_Ready'!$A$301="",0,IF(AND('28_Taxonomy_Coding'!$A$301='10_Analysis_Ready'!$A$301,'14_Generalization_Map'!$A$301='10_Analysis_Ready'!$A$301),0,1))</f>
        <v>0</v>
      </c>
      <c r="D318">
        <f>IF('10_Analysis_Ready'!$A$301="",0,IF(COUNTIFS('06_Full_Text_Screening'!$A:$A,'10_Analysis_Ready'!$A$301,'06_Full_Text_Screening'!$J:$J,"INCLUDE")=1,0,1))</f>
        <v>0</v>
      </c>
      <c r="E318">
        <f>IF('10_Analysis_Ready'!$A$301="",0,IF(OR(AND(((OR('10_Analysis_Ready'!$AG$301="YES",'10_Analysis_Ready'!$AH$301="YES"))*1+('10_Analysis_Ready'!$AI$301="YES")+('10_Analysis_Ready'!$AJ$301="YES")+('10_Analysis_Ready'!$AK$301="YES")+('10_Analysis_Ready'!$AL$301="YES"))=0,'10_Analysis_Ready'!$AF$301&lt;&gt;"NONE"),AND(((OR('10_Analysis_Ready'!$AG$301="YES",'10_Analysis_Ready'!$AH$301="YES"))*1+('10_Analysis_Ready'!$AI$301="YES")+('10_Analysis_Ready'!$AJ$301="YES")+('10_Analysis_Ready'!$AK$301="YES")+('10_Analysis_Ready'!$AL$301="YES"))=1,OR('10_Analysis_Ready'!$AF$301="NONE",'10_Analysis_Ready'!$AF$301="MULTIPLE")),AND(((OR('10_Analysis_Ready'!$AG$301="YES",'10_Analysis_Ready'!$AH$301="YES"))*1+('10_Analysis_Ready'!$AI$301="YES")+('10_Analysis_Ready'!$AJ$301="YES")+('10_Analysis_Ready'!$AK$301="YES")+('10_Analysis_Ready'!$AL$301="YES"))&gt;=2,'10_Analysis_Ready'!$AF$301&lt;&gt;"MULTIPLE")),1,0))</f>
        <v>0</v>
      </c>
      <c r="F318">
        <f>IF('10_Analysis_Ready'!$A$301="",0,IF(AND('10_Analysis_Ready'!$AO$301="NO",COUNTIF('10_Analysis_Ready'!$AP$301:$AU$301,"YES")&gt;0),1,0))</f>
        <v>0</v>
      </c>
      <c r="G318">
        <f>IF('10_Analysis_Ready'!$A$301="",0,IF(OR(AND('10_Analysis_Ready'!$Y$301="GAN",'10_Analysis_Ready'!$AA$301="YES"),AND('10_Analysis_Ready'!$Y$301="DIFFUSION",'10_Analysis_Ready'!$Z$301="YES"),AND('10_Analysis_Ready'!$Y$301="GAN+DIFFUSION",OR('10_Analysis_Ready'!$Z$301&lt;&gt;"YES",'10_Analysis_Ready'!$AA$301&lt;&gt;"YES"))),1,0))</f>
        <v>0</v>
      </c>
      <c r="H318">
        <f>IF('10_Analysis_Ready'!$A$301="",0,IF(OR(AND('10_Analysis_Ready'!$BJ$301="NO",OR('10_Analysis_Ready'!$BK$301="HIGH",'10_Analysis_Ready'!$BK$301="VERY HIGH")),AND(((OR('10_Analysis_Ready'!$AG$301="YES",'10_Analysis_Ready'!$AH$301="YES"))*1+('10_Analysis_Ready'!$AI$301="YES")+('10_Analysis_Ready'!$AJ$301="YES")+('10_Analysis_Ready'!$AK$301="YES")+('10_Analysis_Ready'!$AL$301="YES"))=0,'10_Analysis_Ready'!$BJ$301="YES")),1,0))</f>
        <v>0</v>
      </c>
      <c r="I318">
        <f>IF('10_Analysis_Ready'!$A$301="",0,IF(AND(((OR('10_Analysis_Ready'!$AG$301="YES",'10_Analysis_Ready'!$AH$301="YES"))*1+('10_Analysis_Ready'!$AI$301="YES")+('10_Analysis_Ready'!$AJ$301="YES")+('10_Analysis_Ready'!$AK$301="YES")+('10_Analysis_Ready'!$AL$301="YES"))=0,'10_Analysis_Ready'!$AM$301&lt;&gt;"N/A"),1,0))</f>
        <v>0</v>
      </c>
      <c r="J318">
        <f>IF('10_Analysis_Ready'!$A$301="",0,IF(('28_Taxonomy_Coding'!$G$301="NONE")&lt;&gt;(((OR('10_Analysis_Ready'!$AG$301="YES",'10_Analysis_Ready'!$AH$301="YES"))*1+('10_Analysis_Ready'!$AI$301="YES")+('10_Analysis_Ready'!$AJ$301="YES")+('10_Analysis_Ready'!$AK$301="YES")+('10_Analysis_Ready'!$AL$301="YES"))=0),1,0))</f>
        <v>0</v>
      </c>
    </row>
    <row r="319" spans="1:10">
      <c r="A319">
        <v>302</v>
      </c>
      <c r="B319" t="str">
        <f>IF('10_Analysis_Ready'!$A$302="","",'10_Analysis_Ready'!$A$302)</f>
        <v/>
      </c>
      <c r="C319">
        <f>IF('10_Analysis_Ready'!$A$302="",0,IF(AND('28_Taxonomy_Coding'!$A$302='10_Analysis_Ready'!$A$302,'14_Generalization_Map'!$A$302='10_Analysis_Ready'!$A$302),0,1))</f>
        <v>0</v>
      </c>
      <c r="D319">
        <f>IF('10_Analysis_Ready'!$A$302="",0,IF(COUNTIFS('06_Full_Text_Screening'!$A:$A,'10_Analysis_Ready'!$A$302,'06_Full_Text_Screening'!$J:$J,"INCLUDE")=1,0,1))</f>
        <v>0</v>
      </c>
      <c r="E319">
        <f>IF('10_Analysis_Ready'!$A$302="",0,IF(OR(AND(((OR('10_Analysis_Ready'!$AG$302="YES",'10_Analysis_Ready'!$AH$302="YES"))*1+('10_Analysis_Ready'!$AI$302="YES")+('10_Analysis_Ready'!$AJ$302="YES")+('10_Analysis_Ready'!$AK$302="YES")+('10_Analysis_Ready'!$AL$302="YES"))=0,'10_Analysis_Ready'!$AF$302&lt;&gt;"NONE"),AND(((OR('10_Analysis_Ready'!$AG$302="YES",'10_Analysis_Ready'!$AH$302="YES"))*1+('10_Analysis_Ready'!$AI$302="YES")+('10_Analysis_Ready'!$AJ$302="YES")+('10_Analysis_Ready'!$AK$302="YES")+('10_Analysis_Ready'!$AL$302="YES"))=1,OR('10_Analysis_Ready'!$AF$302="NONE",'10_Analysis_Ready'!$AF$302="MULTIPLE")),AND(((OR('10_Analysis_Ready'!$AG$302="YES",'10_Analysis_Ready'!$AH$302="YES"))*1+('10_Analysis_Ready'!$AI$302="YES")+('10_Analysis_Ready'!$AJ$302="YES")+('10_Analysis_Ready'!$AK$302="YES")+('10_Analysis_Ready'!$AL$302="YES"))&gt;=2,'10_Analysis_Ready'!$AF$302&lt;&gt;"MULTIPLE")),1,0))</f>
        <v>0</v>
      </c>
      <c r="F319">
        <f>IF('10_Analysis_Ready'!$A$302="",0,IF(AND('10_Analysis_Ready'!$AO$302="NO",COUNTIF('10_Analysis_Ready'!$AP$302:$AU$302,"YES")&gt;0),1,0))</f>
        <v>0</v>
      </c>
      <c r="G319">
        <f>IF('10_Analysis_Ready'!$A$302="",0,IF(OR(AND('10_Analysis_Ready'!$Y$302="GAN",'10_Analysis_Ready'!$AA$302="YES"),AND('10_Analysis_Ready'!$Y$302="DIFFUSION",'10_Analysis_Ready'!$Z$302="YES"),AND('10_Analysis_Ready'!$Y$302="GAN+DIFFUSION",OR('10_Analysis_Ready'!$Z$302&lt;&gt;"YES",'10_Analysis_Ready'!$AA$302&lt;&gt;"YES"))),1,0))</f>
        <v>0</v>
      </c>
      <c r="H319">
        <f>IF('10_Analysis_Ready'!$A$302="",0,IF(OR(AND('10_Analysis_Ready'!$BJ$302="NO",OR('10_Analysis_Ready'!$BK$302="HIGH",'10_Analysis_Ready'!$BK$302="VERY HIGH")),AND(((OR('10_Analysis_Ready'!$AG$302="YES",'10_Analysis_Ready'!$AH$302="YES"))*1+('10_Analysis_Ready'!$AI$302="YES")+('10_Analysis_Ready'!$AJ$302="YES")+('10_Analysis_Ready'!$AK$302="YES")+('10_Analysis_Ready'!$AL$302="YES"))=0,'10_Analysis_Ready'!$BJ$302="YES")),1,0))</f>
        <v>0</v>
      </c>
      <c r="I319">
        <f>IF('10_Analysis_Ready'!$A$302="",0,IF(AND(((OR('10_Analysis_Ready'!$AG$302="YES",'10_Analysis_Ready'!$AH$302="YES"))*1+('10_Analysis_Ready'!$AI$302="YES")+('10_Analysis_Ready'!$AJ$302="YES")+('10_Analysis_Ready'!$AK$302="YES")+('10_Analysis_Ready'!$AL$302="YES"))=0,'10_Analysis_Ready'!$AM$302&lt;&gt;"N/A"),1,0))</f>
        <v>0</v>
      </c>
      <c r="J319">
        <f>IF('10_Analysis_Ready'!$A$302="",0,IF(('28_Taxonomy_Coding'!$G$302="NONE")&lt;&gt;(((OR('10_Analysis_Ready'!$AG$302="YES",'10_Analysis_Ready'!$AH$302="YES"))*1+('10_Analysis_Ready'!$AI$302="YES")+('10_Analysis_Ready'!$AJ$302="YES")+('10_Analysis_Ready'!$AK$302="YES")+('10_Analysis_Ready'!$AL$302="YES"))=0),1,0))</f>
        <v>0</v>
      </c>
    </row>
    <row r="320" spans="1:10">
      <c r="A320">
        <v>303</v>
      </c>
      <c r="B320" t="str">
        <f>IF('10_Analysis_Ready'!$A$303="","",'10_Analysis_Ready'!$A$303)</f>
        <v/>
      </c>
      <c r="C320">
        <f>IF('10_Analysis_Ready'!$A$303="",0,IF(AND('28_Taxonomy_Coding'!$A$303='10_Analysis_Ready'!$A$303,'14_Generalization_Map'!$A$303='10_Analysis_Ready'!$A$303),0,1))</f>
        <v>0</v>
      </c>
      <c r="D320">
        <f>IF('10_Analysis_Ready'!$A$303="",0,IF(COUNTIFS('06_Full_Text_Screening'!$A:$A,'10_Analysis_Ready'!$A$303,'06_Full_Text_Screening'!$J:$J,"INCLUDE")=1,0,1))</f>
        <v>0</v>
      </c>
      <c r="E320">
        <f>IF('10_Analysis_Ready'!$A$303="",0,IF(OR(AND(((OR('10_Analysis_Ready'!$AG$303="YES",'10_Analysis_Ready'!$AH$303="YES"))*1+('10_Analysis_Ready'!$AI$303="YES")+('10_Analysis_Ready'!$AJ$303="YES")+('10_Analysis_Ready'!$AK$303="YES")+('10_Analysis_Ready'!$AL$303="YES"))=0,'10_Analysis_Ready'!$AF$303&lt;&gt;"NONE"),AND(((OR('10_Analysis_Ready'!$AG$303="YES",'10_Analysis_Ready'!$AH$303="YES"))*1+('10_Analysis_Ready'!$AI$303="YES")+('10_Analysis_Ready'!$AJ$303="YES")+('10_Analysis_Ready'!$AK$303="YES")+('10_Analysis_Ready'!$AL$303="YES"))=1,OR('10_Analysis_Ready'!$AF$303="NONE",'10_Analysis_Ready'!$AF$303="MULTIPLE")),AND(((OR('10_Analysis_Ready'!$AG$303="YES",'10_Analysis_Ready'!$AH$303="YES"))*1+('10_Analysis_Ready'!$AI$303="YES")+('10_Analysis_Ready'!$AJ$303="YES")+('10_Analysis_Ready'!$AK$303="YES")+('10_Analysis_Ready'!$AL$303="YES"))&gt;=2,'10_Analysis_Ready'!$AF$303&lt;&gt;"MULTIPLE")),1,0))</f>
        <v>0</v>
      </c>
      <c r="F320">
        <f>IF('10_Analysis_Ready'!$A$303="",0,IF(AND('10_Analysis_Ready'!$AO$303="NO",COUNTIF('10_Analysis_Ready'!$AP$303:$AU$303,"YES")&gt;0),1,0))</f>
        <v>0</v>
      </c>
      <c r="G320">
        <f>IF('10_Analysis_Ready'!$A$303="",0,IF(OR(AND('10_Analysis_Ready'!$Y$303="GAN",'10_Analysis_Ready'!$AA$303="YES"),AND('10_Analysis_Ready'!$Y$303="DIFFUSION",'10_Analysis_Ready'!$Z$303="YES"),AND('10_Analysis_Ready'!$Y$303="GAN+DIFFUSION",OR('10_Analysis_Ready'!$Z$303&lt;&gt;"YES",'10_Analysis_Ready'!$AA$303&lt;&gt;"YES"))),1,0))</f>
        <v>0</v>
      </c>
      <c r="H320">
        <f>IF('10_Analysis_Ready'!$A$303="",0,IF(OR(AND('10_Analysis_Ready'!$BJ$303="NO",OR('10_Analysis_Ready'!$BK$303="HIGH",'10_Analysis_Ready'!$BK$303="VERY HIGH")),AND(((OR('10_Analysis_Ready'!$AG$303="YES",'10_Analysis_Ready'!$AH$303="YES"))*1+('10_Analysis_Ready'!$AI$303="YES")+('10_Analysis_Ready'!$AJ$303="YES")+('10_Analysis_Ready'!$AK$303="YES")+('10_Analysis_Ready'!$AL$303="YES"))=0,'10_Analysis_Ready'!$BJ$303="YES")),1,0))</f>
        <v>0</v>
      </c>
      <c r="I320">
        <f>IF('10_Analysis_Ready'!$A$303="",0,IF(AND(((OR('10_Analysis_Ready'!$AG$303="YES",'10_Analysis_Ready'!$AH$303="YES"))*1+('10_Analysis_Ready'!$AI$303="YES")+('10_Analysis_Ready'!$AJ$303="YES")+('10_Analysis_Ready'!$AK$303="YES")+('10_Analysis_Ready'!$AL$303="YES"))=0,'10_Analysis_Ready'!$AM$303&lt;&gt;"N/A"),1,0))</f>
        <v>0</v>
      </c>
      <c r="J320">
        <f>IF('10_Analysis_Ready'!$A$303="",0,IF(('28_Taxonomy_Coding'!$G$303="NONE")&lt;&gt;(((OR('10_Analysis_Ready'!$AG$303="YES",'10_Analysis_Ready'!$AH$303="YES"))*1+('10_Analysis_Ready'!$AI$303="YES")+('10_Analysis_Ready'!$AJ$303="YES")+('10_Analysis_Ready'!$AK$303="YES")+('10_Analysis_Ready'!$AL$303="YES"))=0),1,0))</f>
        <v>0</v>
      </c>
    </row>
  </sheetData>
  <conditionalFormatting sqref="C21:J320">
    <cfRule type="cellIs" dxfId="2" priority="3" operator="equal">
      <formula>1</formula>
    </cfRule>
  </conditionalFormatting>
  <conditionalFormatting sqref="D4:D18">
    <cfRule type="cellIs" dxfId="1" priority="1" operator="equal">
      <formula>"FAIL"</formula>
    </cfRule>
    <cfRule type="cellIs" dxfId="0" priority="2" operator="equal">
      <formula>"PASS"</formula>
    </cfRule>
  </conditionalFormatting>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19"/>
  <sheetViews>
    <sheetView workbookViewId="0">
      <pane xSplit="2" ySplit="11" topLeftCell="C12" activePane="bottomRight" state="frozen"/>
      <selection pane="topRight"/>
      <selection pane="bottomLeft"/>
      <selection pane="bottomRight"/>
    </sheetView>
  </sheetViews>
  <sheetFormatPr baseColWidth="10" defaultColWidth="8.83203125" defaultRowHeight="13"/>
  <cols>
    <col min="1" max="1" width="30" customWidth="1"/>
    <col min="2" max="2" width="60" customWidth="1"/>
    <col min="3" max="12" width="13" customWidth="1"/>
  </cols>
  <sheetData>
    <row r="1" spans="1:13" ht="17">
      <c r="A1" s="54" t="s">
        <v>7518</v>
      </c>
    </row>
    <row r="2" spans="1:13">
      <c r="A2" t="s">
        <v>7519</v>
      </c>
    </row>
    <row r="4" spans="1:13">
      <c r="A4" s="57" t="s">
        <v>7520</v>
      </c>
      <c r="B4" t="s">
        <v>7521</v>
      </c>
    </row>
    <row r="5" spans="1:13">
      <c r="A5" s="57" t="s">
        <v>7522</v>
      </c>
      <c r="B5" t="s">
        <v>7523</v>
      </c>
    </row>
    <row r="6" spans="1:13">
      <c r="A6" s="57" t="s">
        <v>7524</v>
      </c>
      <c r="B6" t="s">
        <v>7525</v>
      </c>
    </row>
    <row r="7" spans="1:13">
      <c r="A7" s="57" t="s">
        <v>7526</v>
      </c>
      <c r="B7" t="s">
        <v>7527</v>
      </c>
    </row>
    <row r="8" spans="1:13">
      <c r="A8" s="57" t="s">
        <v>7528</v>
      </c>
      <c r="B8" t="s">
        <v>7529</v>
      </c>
    </row>
    <row r="11" spans="1:13" ht="56">
      <c r="A11" s="56" t="s">
        <v>124</v>
      </c>
      <c r="B11" s="56" t="s">
        <v>126</v>
      </c>
      <c r="C11" s="56" t="s">
        <v>7530</v>
      </c>
      <c r="D11" s="56" t="s">
        <v>7520</v>
      </c>
      <c r="E11" s="56" t="s">
        <v>7531</v>
      </c>
      <c r="F11" s="56" t="s">
        <v>7532</v>
      </c>
      <c r="G11" s="56" t="s">
        <v>7533</v>
      </c>
      <c r="H11" s="56" t="s">
        <v>7534</v>
      </c>
      <c r="I11" s="56" t="s">
        <v>7535</v>
      </c>
      <c r="J11" s="56" t="s">
        <v>7536</v>
      </c>
      <c r="K11" s="56" t="s">
        <v>7537</v>
      </c>
      <c r="L11" s="56" t="s">
        <v>2936</v>
      </c>
      <c r="M11" t="s">
        <v>7575</v>
      </c>
    </row>
    <row r="12" spans="1:13">
      <c r="A12" t="s">
        <v>141</v>
      </c>
      <c r="B12" t="s">
        <v>142</v>
      </c>
      <c r="C12">
        <v>0.5</v>
      </c>
      <c r="D12">
        <v>1</v>
      </c>
      <c r="E12">
        <v>0.5</v>
      </c>
      <c r="F12">
        <v>0.5</v>
      </c>
      <c r="G12">
        <v>0.5</v>
      </c>
      <c r="H12">
        <v>0</v>
      </c>
      <c r="I12">
        <v>1</v>
      </c>
      <c r="J12">
        <v>0.5</v>
      </c>
      <c r="K12">
        <f t="shared" ref="K12:K43" si="0">D12+F12+G12+H12+I12</f>
        <v>3</v>
      </c>
      <c r="L12" t="s">
        <v>7538</v>
      </c>
      <c r="M12" t="s">
        <v>7576</v>
      </c>
    </row>
    <row r="13" spans="1:13">
      <c r="A13" t="s">
        <v>150</v>
      </c>
      <c r="B13" t="s">
        <v>151</v>
      </c>
      <c r="C13">
        <v>1</v>
      </c>
      <c r="D13">
        <v>0.5</v>
      </c>
      <c r="E13">
        <v>0.5</v>
      </c>
      <c r="F13">
        <v>1</v>
      </c>
      <c r="G13">
        <v>1</v>
      </c>
      <c r="H13">
        <v>1</v>
      </c>
      <c r="I13">
        <v>1</v>
      </c>
      <c r="J13">
        <v>1</v>
      </c>
      <c r="K13">
        <f t="shared" si="0"/>
        <v>4.5</v>
      </c>
      <c r="L13" t="s">
        <v>7538</v>
      </c>
      <c r="M13" t="s">
        <v>7577</v>
      </c>
    </row>
    <row r="14" spans="1:13">
      <c r="A14" t="s">
        <v>158</v>
      </c>
      <c r="B14" t="s">
        <v>159</v>
      </c>
      <c r="C14">
        <v>1</v>
      </c>
      <c r="D14">
        <v>0.5</v>
      </c>
      <c r="E14">
        <v>0</v>
      </c>
      <c r="F14">
        <v>0.5</v>
      </c>
      <c r="G14">
        <v>0</v>
      </c>
      <c r="H14">
        <v>0</v>
      </c>
      <c r="I14">
        <v>0.5</v>
      </c>
      <c r="J14">
        <v>0.5</v>
      </c>
      <c r="K14">
        <f t="shared" si="0"/>
        <v>1.5</v>
      </c>
      <c r="L14" t="s">
        <v>7538</v>
      </c>
      <c r="M14" t="s">
        <v>7576</v>
      </c>
    </row>
    <row r="15" spans="1:13">
      <c r="A15" t="s">
        <v>165</v>
      </c>
      <c r="B15" t="s">
        <v>166</v>
      </c>
      <c r="C15">
        <v>1</v>
      </c>
      <c r="D15">
        <v>1</v>
      </c>
      <c r="E15">
        <v>1</v>
      </c>
      <c r="F15">
        <v>0.5</v>
      </c>
      <c r="G15">
        <v>1</v>
      </c>
      <c r="H15">
        <v>0.5</v>
      </c>
      <c r="I15">
        <v>1</v>
      </c>
      <c r="J15">
        <v>0.5</v>
      </c>
      <c r="K15">
        <f t="shared" si="0"/>
        <v>4</v>
      </c>
      <c r="L15" t="s">
        <v>7538</v>
      </c>
      <c r="M15" t="s">
        <v>7578</v>
      </c>
    </row>
    <row r="16" spans="1:13">
      <c r="A16" t="s">
        <v>172</v>
      </c>
      <c r="B16" t="s">
        <v>173</v>
      </c>
      <c r="C16">
        <v>1</v>
      </c>
      <c r="D16">
        <v>1</v>
      </c>
      <c r="E16">
        <v>0.5</v>
      </c>
      <c r="F16">
        <v>1</v>
      </c>
      <c r="G16">
        <v>1</v>
      </c>
      <c r="H16">
        <v>0</v>
      </c>
      <c r="I16">
        <v>1</v>
      </c>
      <c r="J16">
        <v>0.5</v>
      </c>
      <c r="K16">
        <f t="shared" si="0"/>
        <v>4</v>
      </c>
      <c r="L16" t="s">
        <v>7538</v>
      </c>
      <c r="M16" t="s">
        <v>7576</v>
      </c>
    </row>
    <row r="17" spans="1:13">
      <c r="A17" t="s">
        <v>179</v>
      </c>
      <c r="B17" t="s">
        <v>180</v>
      </c>
      <c r="C17">
        <v>1</v>
      </c>
      <c r="D17">
        <v>1</v>
      </c>
      <c r="E17">
        <v>0.5</v>
      </c>
      <c r="F17">
        <v>1</v>
      </c>
      <c r="G17">
        <v>1</v>
      </c>
      <c r="H17">
        <v>0.5</v>
      </c>
      <c r="I17">
        <v>1</v>
      </c>
      <c r="J17">
        <v>0.5</v>
      </c>
      <c r="K17">
        <f t="shared" si="0"/>
        <v>4.5</v>
      </c>
      <c r="L17" t="s">
        <v>7538</v>
      </c>
      <c r="M17" t="s">
        <v>7576</v>
      </c>
    </row>
    <row r="18" spans="1:13">
      <c r="A18" t="s">
        <v>196</v>
      </c>
      <c r="B18" t="s">
        <v>110</v>
      </c>
      <c r="C18">
        <v>1</v>
      </c>
      <c r="D18">
        <v>1</v>
      </c>
      <c r="E18">
        <v>0.5</v>
      </c>
      <c r="F18">
        <v>1</v>
      </c>
      <c r="G18">
        <v>1</v>
      </c>
      <c r="H18">
        <v>0.5</v>
      </c>
      <c r="I18">
        <v>1</v>
      </c>
      <c r="J18">
        <v>0.5</v>
      </c>
      <c r="K18">
        <f t="shared" si="0"/>
        <v>4.5</v>
      </c>
      <c r="L18" t="s">
        <v>7538</v>
      </c>
      <c r="M18" t="s">
        <v>7576</v>
      </c>
    </row>
    <row r="19" spans="1:13">
      <c r="A19" t="s">
        <v>203</v>
      </c>
      <c r="B19" t="s">
        <v>204</v>
      </c>
      <c r="C19">
        <v>1</v>
      </c>
      <c r="D19">
        <v>1</v>
      </c>
      <c r="E19">
        <v>0.5</v>
      </c>
      <c r="F19">
        <v>1</v>
      </c>
      <c r="G19">
        <v>0</v>
      </c>
      <c r="H19">
        <v>0.5</v>
      </c>
      <c r="I19">
        <v>1</v>
      </c>
      <c r="J19">
        <v>0.5</v>
      </c>
      <c r="K19">
        <f t="shared" si="0"/>
        <v>3.5</v>
      </c>
      <c r="L19" t="s">
        <v>7538</v>
      </c>
      <c r="M19" t="s">
        <v>7576</v>
      </c>
    </row>
    <row r="20" spans="1:13">
      <c r="A20" t="s">
        <v>211</v>
      </c>
      <c r="B20" t="s">
        <v>212</v>
      </c>
      <c r="C20">
        <v>1</v>
      </c>
      <c r="D20">
        <v>0.5</v>
      </c>
      <c r="E20">
        <v>0.5</v>
      </c>
      <c r="F20">
        <v>1</v>
      </c>
      <c r="G20">
        <v>1</v>
      </c>
      <c r="H20">
        <v>0.5</v>
      </c>
      <c r="I20">
        <v>1</v>
      </c>
      <c r="J20">
        <v>0.5</v>
      </c>
      <c r="K20">
        <f t="shared" si="0"/>
        <v>4</v>
      </c>
      <c r="L20" t="s">
        <v>7538</v>
      </c>
      <c r="M20" t="s">
        <v>7576</v>
      </c>
    </row>
    <row r="21" spans="1:13">
      <c r="A21" t="s">
        <v>228</v>
      </c>
      <c r="B21" t="s">
        <v>229</v>
      </c>
      <c r="C21">
        <v>1</v>
      </c>
      <c r="D21">
        <v>0.5</v>
      </c>
      <c r="E21">
        <v>0.5</v>
      </c>
      <c r="F21">
        <v>1</v>
      </c>
      <c r="G21">
        <v>1</v>
      </c>
      <c r="H21">
        <v>0</v>
      </c>
      <c r="I21">
        <v>1</v>
      </c>
      <c r="J21">
        <v>1</v>
      </c>
      <c r="K21">
        <f t="shared" si="0"/>
        <v>3.5</v>
      </c>
      <c r="L21" t="s">
        <v>7538</v>
      </c>
      <c r="M21" t="s">
        <v>7579</v>
      </c>
    </row>
    <row r="22" spans="1:13">
      <c r="A22" t="s">
        <v>236</v>
      </c>
      <c r="B22" t="s">
        <v>237</v>
      </c>
      <c r="C22">
        <v>1</v>
      </c>
      <c r="D22">
        <v>0.5</v>
      </c>
      <c r="E22">
        <v>0.5</v>
      </c>
      <c r="F22">
        <v>1</v>
      </c>
      <c r="G22">
        <v>1</v>
      </c>
      <c r="H22">
        <v>1</v>
      </c>
      <c r="I22">
        <v>1</v>
      </c>
      <c r="J22">
        <v>0.5</v>
      </c>
      <c r="K22">
        <f t="shared" si="0"/>
        <v>4.5</v>
      </c>
      <c r="L22" t="s">
        <v>7538</v>
      </c>
      <c r="M22" t="s">
        <v>7580</v>
      </c>
    </row>
    <row r="23" spans="1:13">
      <c r="A23" t="s">
        <v>244</v>
      </c>
      <c r="B23" t="s">
        <v>245</v>
      </c>
      <c r="C23">
        <v>1</v>
      </c>
      <c r="D23">
        <v>1</v>
      </c>
      <c r="E23">
        <v>0.5</v>
      </c>
      <c r="F23">
        <v>1</v>
      </c>
      <c r="G23">
        <v>0.5</v>
      </c>
      <c r="H23">
        <v>1</v>
      </c>
      <c r="I23">
        <v>1</v>
      </c>
      <c r="J23">
        <v>0.5</v>
      </c>
      <c r="K23">
        <f t="shared" si="0"/>
        <v>4.5</v>
      </c>
      <c r="L23" t="s">
        <v>7538</v>
      </c>
      <c r="M23" t="s">
        <v>7576</v>
      </c>
    </row>
    <row r="24" spans="1:13">
      <c r="A24" t="s">
        <v>260</v>
      </c>
      <c r="B24" t="s">
        <v>261</v>
      </c>
      <c r="C24">
        <v>1</v>
      </c>
      <c r="D24">
        <v>0.5</v>
      </c>
      <c r="E24">
        <v>0.5</v>
      </c>
      <c r="F24">
        <v>0.5</v>
      </c>
      <c r="G24">
        <v>1</v>
      </c>
      <c r="H24">
        <v>0</v>
      </c>
      <c r="I24">
        <v>1</v>
      </c>
      <c r="J24">
        <v>0.5</v>
      </c>
      <c r="K24">
        <f t="shared" si="0"/>
        <v>3</v>
      </c>
      <c r="L24" t="s">
        <v>7538</v>
      </c>
      <c r="M24" t="s">
        <v>7576</v>
      </c>
    </row>
    <row r="25" spans="1:13">
      <c r="A25" t="s">
        <v>266</v>
      </c>
      <c r="B25" t="s">
        <v>267</v>
      </c>
      <c r="C25">
        <v>1</v>
      </c>
      <c r="D25">
        <v>1</v>
      </c>
      <c r="E25">
        <v>0.5</v>
      </c>
      <c r="F25">
        <v>1</v>
      </c>
      <c r="G25">
        <v>0.5</v>
      </c>
      <c r="H25">
        <v>0.5</v>
      </c>
      <c r="I25">
        <v>1</v>
      </c>
      <c r="J25">
        <v>0.5</v>
      </c>
      <c r="K25">
        <f t="shared" si="0"/>
        <v>4</v>
      </c>
      <c r="L25" t="s">
        <v>7538</v>
      </c>
      <c r="M25" t="s">
        <v>7576</v>
      </c>
    </row>
    <row r="26" spans="1:13">
      <c r="A26" t="s">
        <v>274</v>
      </c>
      <c r="B26" t="s">
        <v>275</v>
      </c>
      <c r="C26">
        <v>1</v>
      </c>
      <c r="D26">
        <v>1</v>
      </c>
      <c r="E26">
        <v>0.5</v>
      </c>
      <c r="F26">
        <v>1</v>
      </c>
      <c r="G26">
        <v>1</v>
      </c>
      <c r="H26">
        <v>0.5</v>
      </c>
      <c r="I26">
        <v>1</v>
      </c>
      <c r="J26">
        <v>0.5</v>
      </c>
      <c r="K26">
        <f t="shared" si="0"/>
        <v>4.5</v>
      </c>
      <c r="L26" t="s">
        <v>7538</v>
      </c>
      <c r="M26" t="s">
        <v>7581</v>
      </c>
    </row>
    <row r="27" spans="1:13">
      <c r="A27" t="s">
        <v>282</v>
      </c>
      <c r="B27" t="s">
        <v>283</v>
      </c>
      <c r="C27">
        <v>1</v>
      </c>
      <c r="D27">
        <v>1</v>
      </c>
      <c r="E27">
        <v>1</v>
      </c>
      <c r="F27">
        <v>1</v>
      </c>
      <c r="G27">
        <v>0.5</v>
      </c>
      <c r="H27">
        <v>0.5</v>
      </c>
      <c r="I27">
        <v>1</v>
      </c>
      <c r="J27">
        <v>0.5</v>
      </c>
      <c r="K27">
        <f t="shared" si="0"/>
        <v>4</v>
      </c>
      <c r="L27" t="s">
        <v>7538</v>
      </c>
      <c r="M27" t="s">
        <v>7576</v>
      </c>
    </row>
    <row r="28" spans="1:13">
      <c r="A28" t="s">
        <v>289</v>
      </c>
      <c r="B28" t="s">
        <v>290</v>
      </c>
      <c r="C28">
        <v>1</v>
      </c>
      <c r="D28">
        <v>1</v>
      </c>
      <c r="E28">
        <v>0.5</v>
      </c>
      <c r="F28">
        <v>1</v>
      </c>
      <c r="G28">
        <v>1</v>
      </c>
      <c r="H28">
        <v>0.5</v>
      </c>
      <c r="I28">
        <v>0.5</v>
      </c>
      <c r="J28">
        <v>0.5</v>
      </c>
      <c r="K28">
        <f t="shared" si="0"/>
        <v>4</v>
      </c>
      <c r="L28" t="s">
        <v>7538</v>
      </c>
      <c r="M28" t="s">
        <v>7576</v>
      </c>
    </row>
    <row r="29" spans="1:13">
      <c r="A29" t="s">
        <v>314</v>
      </c>
      <c r="B29" t="s">
        <v>315</v>
      </c>
      <c r="C29">
        <v>1</v>
      </c>
      <c r="D29">
        <v>0.5</v>
      </c>
      <c r="E29">
        <v>0.5</v>
      </c>
      <c r="F29">
        <v>1</v>
      </c>
      <c r="G29">
        <v>1</v>
      </c>
      <c r="H29">
        <v>0.5</v>
      </c>
      <c r="I29">
        <v>1</v>
      </c>
      <c r="J29">
        <v>0.5</v>
      </c>
      <c r="K29">
        <f t="shared" si="0"/>
        <v>4</v>
      </c>
      <c r="L29" t="s">
        <v>7538</v>
      </c>
      <c r="M29" t="s">
        <v>7582</v>
      </c>
    </row>
    <row r="30" spans="1:13">
      <c r="A30" t="s">
        <v>345</v>
      </c>
      <c r="B30" t="s">
        <v>346</v>
      </c>
      <c r="C30">
        <v>1</v>
      </c>
      <c r="D30">
        <v>1</v>
      </c>
      <c r="E30">
        <v>1</v>
      </c>
      <c r="F30">
        <v>0.5</v>
      </c>
      <c r="G30">
        <v>0</v>
      </c>
      <c r="H30">
        <v>0</v>
      </c>
      <c r="I30">
        <v>1</v>
      </c>
      <c r="J30">
        <v>0.5</v>
      </c>
      <c r="K30">
        <f t="shared" si="0"/>
        <v>2.5</v>
      </c>
      <c r="L30" t="s">
        <v>7538</v>
      </c>
      <c r="M30" t="s">
        <v>7576</v>
      </c>
    </row>
    <row r="31" spans="1:13">
      <c r="A31" t="s">
        <v>362</v>
      </c>
      <c r="B31" t="s">
        <v>363</v>
      </c>
      <c r="C31">
        <v>1</v>
      </c>
      <c r="D31">
        <v>0.5</v>
      </c>
      <c r="E31">
        <v>0.5</v>
      </c>
      <c r="F31">
        <v>1</v>
      </c>
      <c r="G31">
        <v>1</v>
      </c>
      <c r="H31">
        <v>1</v>
      </c>
      <c r="I31">
        <v>0.5</v>
      </c>
      <c r="J31">
        <v>0.5</v>
      </c>
      <c r="K31">
        <f t="shared" si="0"/>
        <v>4</v>
      </c>
      <c r="L31" t="s">
        <v>7538</v>
      </c>
      <c r="M31" t="s">
        <v>7576</v>
      </c>
    </row>
    <row r="32" spans="1:13">
      <c r="A32" t="s">
        <v>377</v>
      </c>
      <c r="B32" t="s">
        <v>378</v>
      </c>
      <c r="C32">
        <v>1</v>
      </c>
      <c r="D32">
        <v>1</v>
      </c>
      <c r="E32">
        <v>0.5</v>
      </c>
      <c r="F32">
        <v>1</v>
      </c>
      <c r="G32">
        <v>1</v>
      </c>
      <c r="H32">
        <v>0.5</v>
      </c>
      <c r="I32">
        <v>1</v>
      </c>
      <c r="J32">
        <v>0.5</v>
      </c>
      <c r="K32">
        <f t="shared" si="0"/>
        <v>4.5</v>
      </c>
      <c r="L32" t="s">
        <v>7538</v>
      </c>
      <c r="M32" t="s">
        <v>7576</v>
      </c>
    </row>
    <row r="33" spans="1:13">
      <c r="A33" t="s">
        <v>385</v>
      </c>
      <c r="B33" t="s">
        <v>107</v>
      </c>
      <c r="C33">
        <v>1</v>
      </c>
      <c r="D33">
        <v>1</v>
      </c>
      <c r="E33">
        <v>0.5</v>
      </c>
      <c r="F33">
        <v>1</v>
      </c>
      <c r="G33">
        <v>1</v>
      </c>
      <c r="H33">
        <v>0.5</v>
      </c>
      <c r="I33">
        <v>1</v>
      </c>
      <c r="J33">
        <v>0.5</v>
      </c>
      <c r="K33">
        <f t="shared" si="0"/>
        <v>4.5</v>
      </c>
      <c r="L33" t="s">
        <v>7538</v>
      </c>
      <c r="M33" t="s">
        <v>7576</v>
      </c>
    </row>
    <row r="34" spans="1:13">
      <c r="A34" t="s">
        <v>398</v>
      </c>
      <c r="B34" t="s">
        <v>399</v>
      </c>
      <c r="C34">
        <v>1</v>
      </c>
      <c r="D34">
        <v>1</v>
      </c>
      <c r="E34">
        <v>0.5</v>
      </c>
      <c r="F34">
        <v>1</v>
      </c>
      <c r="G34">
        <v>1</v>
      </c>
      <c r="H34">
        <v>1</v>
      </c>
      <c r="I34">
        <v>1</v>
      </c>
      <c r="J34">
        <v>0.5</v>
      </c>
      <c r="K34">
        <f t="shared" si="0"/>
        <v>5</v>
      </c>
      <c r="L34" t="s">
        <v>7538</v>
      </c>
      <c r="M34" t="s">
        <v>7576</v>
      </c>
    </row>
    <row r="35" spans="1:13">
      <c r="A35" t="s">
        <v>405</v>
      </c>
      <c r="B35" t="s">
        <v>406</v>
      </c>
      <c r="C35">
        <v>1</v>
      </c>
      <c r="D35">
        <v>1</v>
      </c>
      <c r="E35">
        <v>1</v>
      </c>
      <c r="F35">
        <v>1</v>
      </c>
      <c r="G35">
        <v>1</v>
      </c>
      <c r="H35">
        <v>0</v>
      </c>
      <c r="I35">
        <v>1</v>
      </c>
      <c r="J35">
        <v>0.5</v>
      </c>
      <c r="K35">
        <f t="shared" si="0"/>
        <v>4</v>
      </c>
      <c r="L35" t="s">
        <v>7538</v>
      </c>
      <c r="M35" t="s">
        <v>7576</v>
      </c>
    </row>
    <row r="36" spans="1:13">
      <c r="A36" t="s">
        <v>419</v>
      </c>
      <c r="B36" t="s">
        <v>420</v>
      </c>
      <c r="C36">
        <v>1</v>
      </c>
      <c r="D36">
        <v>1</v>
      </c>
      <c r="E36">
        <v>1</v>
      </c>
      <c r="F36">
        <v>1</v>
      </c>
      <c r="G36">
        <v>0.5</v>
      </c>
      <c r="H36">
        <v>0</v>
      </c>
      <c r="I36">
        <v>1</v>
      </c>
      <c r="J36">
        <v>0.5</v>
      </c>
      <c r="K36">
        <f t="shared" si="0"/>
        <v>3.5</v>
      </c>
      <c r="L36" t="s">
        <v>7538</v>
      </c>
      <c r="M36" t="s">
        <v>7576</v>
      </c>
    </row>
    <row r="37" spans="1:13">
      <c r="A37" t="s">
        <v>435</v>
      </c>
      <c r="B37" t="s">
        <v>436</v>
      </c>
      <c r="C37">
        <v>1</v>
      </c>
      <c r="D37">
        <v>1</v>
      </c>
      <c r="E37">
        <v>1</v>
      </c>
      <c r="F37">
        <v>0.5</v>
      </c>
      <c r="G37">
        <v>0</v>
      </c>
      <c r="H37">
        <v>0</v>
      </c>
      <c r="I37">
        <v>1</v>
      </c>
      <c r="J37">
        <v>0</v>
      </c>
      <c r="K37">
        <f t="shared" si="0"/>
        <v>2.5</v>
      </c>
      <c r="L37" t="s">
        <v>7538</v>
      </c>
      <c r="M37" t="s">
        <v>7583</v>
      </c>
    </row>
    <row r="38" spans="1:13">
      <c r="A38" t="s">
        <v>443</v>
      </c>
      <c r="B38" t="s">
        <v>444</v>
      </c>
      <c r="C38">
        <v>1</v>
      </c>
      <c r="D38">
        <v>0</v>
      </c>
      <c r="E38">
        <v>0</v>
      </c>
      <c r="F38">
        <v>0.5</v>
      </c>
      <c r="G38">
        <v>0</v>
      </c>
      <c r="H38">
        <v>0.5</v>
      </c>
      <c r="I38">
        <v>1</v>
      </c>
      <c r="J38">
        <v>0</v>
      </c>
      <c r="K38">
        <f t="shared" si="0"/>
        <v>2</v>
      </c>
      <c r="L38" t="s">
        <v>7538</v>
      </c>
      <c r="M38" t="s">
        <v>7584</v>
      </c>
    </row>
    <row r="39" spans="1:13">
      <c r="A39" t="s">
        <v>450</v>
      </c>
      <c r="B39" t="s">
        <v>451</v>
      </c>
      <c r="C39">
        <v>1</v>
      </c>
      <c r="D39">
        <v>0.5</v>
      </c>
      <c r="E39">
        <v>0.5</v>
      </c>
      <c r="F39">
        <v>1</v>
      </c>
      <c r="G39">
        <v>1</v>
      </c>
      <c r="H39">
        <v>0</v>
      </c>
      <c r="I39">
        <v>1</v>
      </c>
      <c r="J39">
        <v>0.5</v>
      </c>
      <c r="K39">
        <f t="shared" si="0"/>
        <v>3.5</v>
      </c>
      <c r="L39" t="s">
        <v>7538</v>
      </c>
      <c r="M39" t="s">
        <v>7585</v>
      </c>
    </row>
    <row r="40" spans="1:13">
      <c r="A40" t="s">
        <v>482</v>
      </c>
      <c r="B40" t="s">
        <v>483</v>
      </c>
      <c r="C40">
        <v>1</v>
      </c>
      <c r="D40">
        <v>1</v>
      </c>
      <c r="E40">
        <v>1</v>
      </c>
      <c r="F40">
        <v>1</v>
      </c>
      <c r="G40">
        <v>0</v>
      </c>
      <c r="H40">
        <v>0.5</v>
      </c>
      <c r="I40">
        <v>0.5</v>
      </c>
      <c r="J40">
        <v>0.5</v>
      </c>
      <c r="K40">
        <f t="shared" si="0"/>
        <v>3</v>
      </c>
      <c r="L40" t="s">
        <v>7538</v>
      </c>
      <c r="M40" t="s">
        <v>7576</v>
      </c>
    </row>
    <row r="41" spans="1:13">
      <c r="A41" t="s">
        <v>490</v>
      </c>
      <c r="B41" t="s">
        <v>491</v>
      </c>
      <c r="C41">
        <v>1</v>
      </c>
      <c r="D41">
        <v>1</v>
      </c>
      <c r="E41">
        <v>0.5</v>
      </c>
      <c r="F41">
        <v>1</v>
      </c>
      <c r="G41">
        <v>1</v>
      </c>
      <c r="H41">
        <v>0</v>
      </c>
      <c r="I41">
        <v>1</v>
      </c>
      <c r="J41">
        <v>0.5</v>
      </c>
      <c r="K41">
        <f t="shared" si="0"/>
        <v>4</v>
      </c>
      <c r="L41" t="s">
        <v>7538</v>
      </c>
      <c r="M41" t="s">
        <v>7576</v>
      </c>
    </row>
    <row r="42" spans="1:13">
      <c r="A42" t="s">
        <v>498</v>
      </c>
      <c r="B42" t="s">
        <v>499</v>
      </c>
      <c r="C42">
        <v>1</v>
      </c>
      <c r="D42">
        <v>1</v>
      </c>
      <c r="E42">
        <v>0.5</v>
      </c>
      <c r="F42">
        <v>1</v>
      </c>
      <c r="G42">
        <v>1</v>
      </c>
      <c r="H42">
        <v>0</v>
      </c>
      <c r="I42">
        <v>0.5</v>
      </c>
      <c r="J42">
        <v>0.5</v>
      </c>
      <c r="K42">
        <f t="shared" si="0"/>
        <v>3.5</v>
      </c>
      <c r="L42" t="s">
        <v>7538</v>
      </c>
      <c r="M42" t="s">
        <v>7576</v>
      </c>
    </row>
    <row r="43" spans="1:13">
      <c r="A43" t="s">
        <v>531</v>
      </c>
      <c r="B43" t="s">
        <v>532</v>
      </c>
      <c r="C43">
        <v>1</v>
      </c>
      <c r="D43">
        <v>1</v>
      </c>
      <c r="E43">
        <v>1</v>
      </c>
      <c r="F43">
        <v>1</v>
      </c>
      <c r="G43">
        <v>0</v>
      </c>
      <c r="H43">
        <v>0.5</v>
      </c>
      <c r="I43">
        <v>0.5</v>
      </c>
      <c r="J43">
        <v>0.5</v>
      </c>
      <c r="K43">
        <f t="shared" si="0"/>
        <v>3</v>
      </c>
      <c r="L43" t="s">
        <v>7538</v>
      </c>
      <c r="M43" t="s">
        <v>7576</v>
      </c>
    </row>
    <row r="44" spans="1:13">
      <c r="A44" t="s">
        <v>538</v>
      </c>
      <c r="B44" t="s">
        <v>539</v>
      </c>
      <c r="C44">
        <v>1</v>
      </c>
      <c r="D44">
        <v>1</v>
      </c>
      <c r="E44">
        <v>1</v>
      </c>
      <c r="F44">
        <v>1</v>
      </c>
      <c r="G44">
        <v>1</v>
      </c>
      <c r="H44">
        <v>0.5</v>
      </c>
      <c r="I44">
        <v>1</v>
      </c>
      <c r="J44">
        <v>0.5</v>
      </c>
      <c r="K44">
        <f t="shared" ref="K44:K75" si="1">D44+F44+G44+H44+I44</f>
        <v>4.5</v>
      </c>
      <c r="L44" t="s">
        <v>7538</v>
      </c>
      <c r="M44" t="s">
        <v>7586</v>
      </c>
    </row>
    <row r="45" spans="1:13">
      <c r="A45" t="s">
        <v>545</v>
      </c>
      <c r="B45" t="s">
        <v>546</v>
      </c>
      <c r="C45">
        <v>1</v>
      </c>
      <c r="D45">
        <v>1</v>
      </c>
      <c r="E45">
        <v>0</v>
      </c>
      <c r="F45">
        <v>1</v>
      </c>
      <c r="G45">
        <v>0</v>
      </c>
      <c r="H45">
        <v>0</v>
      </c>
      <c r="I45">
        <v>1</v>
      </c>
      <c r="J45">
        <v>0.5</v>
      </c>
      <c r="K45">
        <f t="shared" si="1"/>
        <v>3</v>
      </c>
      <c r="L45" t="s">
        <v>7538</v>
      </c>
      <c r="M45" t="s">
        <v>7576</v>
      </c>
    </row>
    <row r="46" spans="1:13">
      <c r="A46" t="s">
        <v>560</v>
      </c>
      <c r="B46" t="s">
        <v>561</v>
      </c>
      <c r="C46">
        <v>1</v>
      </c>
      <c r="D46">
        <v>1</v>
      </c>
      <c r="E46">
        <v>0.5</v>
      </c>
      <c r="F46">
        <v>1</v>
      </c>
      <c r="G46">
        <v>1</v>
      </c>
      <c r="H46">
        <v>0.5</v>
      </c>
      <c r="I46">
        <v>1</v>
      </c>
      <c r="J46">
        <v>0.5</v>
      </c>
      <c r="K46">
        <f t="shared" si="1"/>
        <v>4.5</v>
      </c>
      <c r="L46" t="s">
        <v>7538</v>
      </c>
      <c r="M46" t="s">
        <v>7576</v>
      </c>
    </row>
    <row r="47" spans="1:13">
      <c r="A47" t="s">
        <v>567</v>
      </c>
      <c r="B47" t="s">
        <v>568</v>
      </c>
      <c r="C47">
        <v>1</v>
      </c>
      <c r="D47">
        <v>0.5</v>
      </c>
      <c r="E47">
        <v>0.5</v>
      </c>
      <c r="F47">
        <v>1</v>
      </c>
      <c r="G47">
        <v>1</v>
      </c>
      <c r="H47">
        <v>0</v>
      </c>
      <c r="I47">
        <v>1</v>
      </c>
      <c r="J47">
        <v>0.5</v>
      </c>
      <c r="K47">
        <f t="shared" si="1"/>
        <v>3.5</v>
      </c>
      <c r="L47" t="s">
        <v>7538</v>
      </c>
      <c r="M47" t="s">
        <v>7587</v>
      </c>
    </row>
    <row r="48" spans="1:13">
      <c r="A48" t="s">
        <v>583</v>
      </c>
      <c r="B48" t="s">
        <v>584</v>
      </c>
      <c r="C48">
        <v>1</v>
      </c>
      <c r="D48">
        <v>0.5</v>
      </c>
      <c r="E48">
        <v>0.5</v>
      </c>
      <c r="F48">
        <v>1</v>
      </c>
      <c r="G48">
        <v>1</v>
      </c>
      <c r="H48">
        <v>0.5</v>
      </c>
      <c r="I48">
        <v>1</v>
      </c>
      <c r="J48">
        <v>0.5</v>
      </c>
      <c r="K48">
        <f t="shared" si="1"/>
        <v>4</v>
      </c>
      <c r="L48" t="s">
        <v>7538</v>
      </c>
      <c r="M48" t="s">
        <v>7588</v>
      </c>
    </row>
    <row r="49" spans="1:13">
      <c r="A49" t="s">
        <v>613</v>
      </c>
      <c r="B49" t="s">
        <v>614</v>
      </c>
      <c r="C49">
        <v>1</v>
      </c>
      <c r="D49">
        <v>1</v>
      </c>
      <c r="E49">
        <v>1</v>
      </c>
      <c r="F49">
        <v>1</v>
      </c>
      <c r="G49">
        <v>1</v>
      </c>
      <c r="H49">
        <v>0.5</v>
      </c>
      <c r="I49">
        <v>1</v>
      </c>
      <c r="J49">
        <v>0.5</v>
      </c>
      <c r="K49">
        <f t="shared" si="1"/>
        <v>4.5</v>
      </c>
      <c r="L49" t="s">
        <v>7538</v>
      </c>
      <c r="M49" t="s">
        <v>7589</v>
      </c>
    </row>
    <row r="50" spans="1:13">
      <c r="A50" t="s">
        <v>620</v>
      </c>
      <c r="B50" t="s">
        <v>621</v>
      </c>
      <c r="C50">
        <v>1</v>
      </c>
      <c r="D50">
        <v>1</v>
      </c>
      <c r="E50">
        <v>0.5</v>
      </c>
      <c r="F50">
        <v>1</v>
      </c>
      <c r="G50">
        <v>0</v>
      </c>
      <c r="H50">
        <v>0</v>
      </c>
      <c r="I50">
        <v>1</v>
      </c>
      <c r="J50">
        <v>1</v>
      </c>
      <c r="K50">
        <f t="shared" si="1"/>
        <v>3</v>
      </c>
      <c r="L50" t="s">
        <v>7538</v>
      </c>
      <c r="M50" t="s">
        <v>7576</v>
      </c>
    </row>
    <row r="51" spans="1:13">
      <c r="A51" t="s">
        <v>627</v>
      </c>
      <c r="B51" t="s">
        <v>628</v>
      </c>
      <c r="C51">
        <v>1</v>
      </c>
      <c r="D51">
        <v>0.5</v>
      </c>
      <c r="E51">
        <v>0.5</v>
      </c>
      <c r="F51">
        <v>1</v>
      </c>
      <c r="G51">
        <v>1</v>
      </c>
      <c r="H51">
        <v>1</v>
      </c>
      <c r="I51">
        <v>1</v>
      </c>
      <c r="J51">
        <v>0.5</v>
      </c>
      <c r="K51">
        <f t="shared" si="1"/>
        <v>4.5</v>
      </c>
      <c r="L51" t="s">
        <v>7538</v>
      </c>
      <c r="M51" t="s">
        <v>7576</v>
      </c>
    </row>
    <row r="52" spans="1:13">
      <c r="A52" t="s">
        <v>633</v>
      </c>
      <c r="B52" t="s">
        <v>634</v>
      </c>
      <c r="C52">
        <v>1</v>
      </c>
      <c r="D52">
        <v>1</v>
      </c>
      <c r="E52">
        <v>1</v>
      </c>
      <c r="F52">
        <v>1</v>
      </c>
      <c r="G52">
        <v>1</v>
      </c>
      <c r="H52">
        <v>0</v>
      </c>
      <c r="I52">
        <v>1</v>
      </c>
      <c r="J52">
        <v>0.5</v>
      </c>
      <c r="K52">
        <f t="shared" si="1"/>
        <v>4</v>
      </c>
      <c r="L52" t="s">
        <v>7538</v>
      </c>
      <c r="M52" t="s">
        <v>7576</v>
      </c>
    </row>
    <row r="53" spans="1:13">
      <c r="A53" t="s">
        <v>641</v>
      </c>
      <c r="B53" t="s">
        <v>642</v>
      </c>
      <c r="C53">
        <v>1</v>
      </c>
      <c r="D53">
        <v>0.5</v>
      </c>
      <c r="E53">
        <v>0.5</v>
      </c>
      <c r="F53">
        <v>0.5</v>
      </c>
      <c r="G53">
        <v>0</v>
      </c>
      <c r="H53">
        <v>0.5</v>
      </c>
      <c r="I53">
        <v>0.5</v>
      </c>
      <c r="J53">
        <v>1</v>
      </c>
      <c r="K53">
        <f t="shared" si="1"/>
        <v>2</v>
      </c>
      <c r="L53" t="s">
        <v>7538</v>
      </c>
      <c r="M53" t="s">
        <v>7576</v>
      </c>
    </row>
    <row r="54" spans="1:13">
      <c r="A54" t="s">
        <v>649</v>
      </c>
      <c r="B54" t="s">
        <v>650</v>
      </c>
      <c r="C54">
        <v>1</v>
      </c>
      <c r="D54">
        <v>0.5</v>
      </c>
      <c r="E54">
        <v>0.5</v>
      </c>
      <c r="F54">
        <v>1</v>
      </c>
      <c r="G54">
        <v>1</v>
      </c>
      <c r="H54">
        <v>0</v>
      </c>
      <c r="I54">
        <v>0.5</v>
      </c>
      <c r="J54">
        <v>0.5</v>
      </c>
      <c r="K54">
        <f t="shared" si="1"/>
        <v>3</v>
      </c>
      <c r="L54" t="s">
        <v>7538</v>
      </c>
      <c r="M54" t="s">
        <v>7576</v>
      </c>
    </row>
    <row r="55" spans="1:13">
      <c r="A55" t="s">
        <v>663</v>
      </c>
      <c r="B55" t="s">
        <v>664</v>
      </c>
      <c r="C55">
        <v>1</v>
      </c>
      <c r="D55">
        <v>1</v>
      </c>
      <c r="E55">
        <v>1</v>
      </c>
      <c r="F55">
        <v>1</v>
      </c>
      <c r="G55">
        <v>0</v>
      </c>
      <c r="H55">
        <v>1</v>
      </c>
      <c r="I55">
        <v>0.5</v>
      </c>
      <c r="J55">
        <v>0.5</v>
      </c>
      <c r="K55">
        <f t="shared" si="1"/>
        <v>3.5</v>
      </c>
      <c r="L55" t="s">
        <v>7538</v>
      </c>
      <c r="M55" t="s">
        <v>7590</v>
      </c>
    </row>
    <row r="56" spans="1:13">
      <c r="A56" t="s">
        <v>670</v>
      </c>
      <c r="B56" t="s">
        <v>671</v>
      </c>
      <c r="C56">
        <v>1</v>
      </c>
      <c r="D56">
        <v>1</v>
      </c>
      <c r="E56">
        <v>1</v>
      </c>
      <c r="F56">
        <v>1</v>
      </c>
      <c r="G56">
        <v>1</v>
      </c>
      <c r="H56">
        <v>0.5</v>
      </c>
      <c r="I56">
        <v>1</v>
      </c>
      <c r="J56">
        <v>0.5</v>
      </c>
      <c r="K56">
        <f t="shared" si="1"/>
        <v>4.5</v>
      </c>
      <c r="L56" t="s">
        <v>7538</v>
      </c>
      <c r="M56" t="s">
        <v>7576</v>
      </c>
    </row>
    <row r="57" spans="1:13">
      <c r="A57" t="s">
        <v>678</v>
      </c>
      <c r="B57" t="s">
        <v>679</v>
      </c>
      <c r="C57">
        <v>1</v>
      </c>
      <c r="D57">
        <v>1</v>
      </c>
      <c r="E57">
        <v>1</v>
      </c>
      <c r="F57">
        <v>1</v>
      </c>
      <c r="G57">
        <v>1</v>
      </c>
      <c r="H57">
        <v>0.5</v>
      </c>
      <c r="I57">
        <v>1</v>
      </c>
      <c r="J57">
        <v>0.5</v>
      </c>
      <c r="K57">
        <f t="shared" si="1"/>
        <v>4.5</v>
      </c>
      <c r="L57" t="s">
        <v>7538</v>
      </c>
      <c r="M57" t="s">
        <v>7576</v>
      </c>
    </row>
    <row r="58" spans="1:13">
      <c r="A58" t="s">
        <v>684</v>
      </c>
      <c r="B58" t="s">
        <v>104</v>
      </c>
      <c r="C58">
        <v>1</v>
      </c>
      <c r="D58">
        <v>1</v>
      </c>
      <c r="E58">
        <v>0.5</v>
      </c>
      <c r="F58">
        <v>1</v>
      </c>
      <c r="G58">
        <v>1</v>
      </c>
      <c r="H58">
        <v>0</v>
      </c>
      <c r="I58">
        <v>1</v>
      </c>
      <c r="J58">
        <v>0.5</v>
      </c>
      <c r="K58">
        <f t="shared" si="1"/>
        <v>4</v>
      </c>
      <c r="L58" t="s">
        <v>7538</v>
      </c>
      <c r="M58" t="s">
        <v>7576</v>
      </c>
    </row>
    <row r="59" spans="1:13">
      <c r="A59" t="s">
        <v>690</v>
      </c>
      <c r="B59" t="s">
        <v>691</v>
      </c>
      <c r="C59">
        <v>1</v>
      </c>
      <c r="D59">
        <v>1</v>
      </c>
      <c r="E59">
        <v>0.5</v>
      </c>
      <c r="F59">
        <v>1</v>
      </c>
      <c r="G59">
        <v>1</v>
      </c>
      <c r="H59">
        <v>1</v>
      </c>
      <c r="I59">
        <v>1</v>
      </c>
      <c r="J59">
        <v>0.5</v>
      </c>
      <c r="K59">
        <f t="shared" si="1"/>
        <v>5</v>
      </c>
      <c r="L59" t="s">
        <v>7538</v>
      </c>
      <c r="M59" t="s">
        <v>7576</v>
      </c>
    </row>
    <row r="60" spans="1:13">
      <c r="A60" t="s">
        <v>712</v>
      </c>
      <c r="B60" t="s">
        <v>3102</v>
      </c>
      <c r="C60">
        <v>1</v>
      </c>
      <c r="D60">
        <v>1</v>
      </c>
      <c r="E60">
        <v>1</v>
      </c>
      <c r="F60">
        <v>1</v>
      </c>
      <c r="G60">
        <v>0.5</v>
      </c>
      <c r="H60">
        <v>0</v>
      </c>
      <c r="I60">
        <v>1</v>
      </c>
      <c r="J60">
        <v>0.5</v>
      </c>
      <c r="K60">
        <f t="shared" si="1"/>
        <v>3.5</v>
      </c>
      <c r="L60" t="s">
        <v>7538</v>
      </c>
      <c r="M60" t="s">
        <v>7576</v>
      </c>
    </row>
    <row r="61" spans="1:13">
      <c r="A61" t="s">
        <v>719</v>
      </c>
      <c r="B61" t="s">
        <v>720</v>
      </c>
      <c r="C61">
        <v>1</v>
      </c>
      <c r="D61">
        <v>1</v>
      </c>
      <c r="E61">
        <v>1</v>
      </c>
      <c r="F61">
        <v>1</v>
      </c>
      <c r="G61">
        <v>1</v>
      </c>
      <c r="H61">
        <v>0.5</v>
      </c>
      <c r="I61">
        <v>1</v>
      </c>
      <c r="J61">
        <v>0.5</v>
      </c>
      <c r="K61">
        <f t="shared" si="1"/>
        <v>4.5</v>
      </c>
      <c r="L61" t="s">
        <v>7538</v>
      </c>
      <c r="M61" t="s">
        <v>7576</v>
      </c>
    </row>
    <row r="62" spans="1:13">
      <c r="A62" t="s">
        <v>726</v>
      </c>
      <c r="B62" t="s">
        <v>727</v>
      </c>
      <c r="C62">
        <v>1</v>
      </c>
      <c r="D62">
        <v>1</v>
      </c>
      <c r="E62">
        <v>1</v>
      </c>
      <c r="F62">
        <v>1</v>
      </c>
      <c r="G62">
        <v>1</v>
      </c>
      <c r="H62">
        <v>0</v>
      </c>
      <c r="I62">
        <v>1</v>
      </c>
      <c r="J62">
        <v>0.5</v>
      </c>
      <c r="K62">
        <f t="shared" si="1"/>
        <v>4</v>
      </c>
      <c r="L62" t="s">
        <v>7538</v>
      </c>
      <c r="M62" t="s">
        <v>7576</v>
      </c>
    </row>
    <row r="63" spans="1:13">
      <c r="A63" t="s">
        <v>741</v>
      </c>
      <c r="B63" t="s">
        <v>742</v>
      </c>
      <c r="C63">
        <v>1</v>
      </c>
      <c r="D63">
        <v>1</v>
      </c>
      <c r="E63">
        <v>1</v>
      </c>
      <c r="F63">
        <v>1</v>
      </c>
      <c r="G63">
        <v>1</v>
      </c>
      <c r="H63">
        <v>0.5</v>
      </c>
      <c r="I63">
        <v>1</v>
      </c>
      <c r="J63">
        <v>0.5</v>
      </c>
      <c r="K63">
        <f t="shared" si="1"/>
        <v>4.5</v>
      </c>
      <c r="L63" t="s">
        <v>7538</v>
      </c>
      <c r="M63" t="s">
        <v>7576</v>
      </c>
    </row>
    <row r="64" spans="1:13">
      <c r="A64" t="s">
        <v>749</v>
      </c>
      <c r="B64" t="s">
        <v>750</v>
      </c>
      <c r="C64">
        <v>1</v>
      </c>
      <c r="D64">
        <v>1</v>
      </c>
      <c r="E64">
        <v>1</v>
      </c>
      <c r="F64">
        <v>0.5</v>
      </c>
      <c r="G64">
        <v>0</v>
      </c>
      <c r="H64">
        <v>0</v>
      </c>
      <c r="I64">
        <v>0.5</v>
      </c>
      <c r="J64">
        <v>0.5</v>
      </c>
      <c r="K64">
        <f t="shared" si="1"/>
        <v>2</v>
      </c>
      <c r="L64" t="s">
        <v>7538</v>
      </c>
      <c r="M64" t="s">
        <v>7591</v>
      </c>
    </row>
    <row r="65" spans="1:13">
      <c r="A65" t="s">
        <v>756</v>
      </c>
      <c r="B65" t="s">
        <v>757</v>
      </c>
      <c r="C65">
        <v>1</v>
      </c>
      <c r="D65">
        <v>0.5</v>
      </c>
      <c r="E65">
        <v>1</v>
      </c>
      <c r="F65">
        <v>1</v>
      </c>
      <c r="G65">
        <v>1</v>
      </c>
      <c r="H65">
        <v>0</v>
      </c>
      <c r="I65">
        <v>1</v>
      </c>
      <c r="J65">
        <v>0.5</v>
      </c>
      <c r="K65">
        <f t="shared" si="1"/>
        <v>3.5</v>
      </c>
      <c r="L65" t="s">
        <v>7538</v>
      </c>
      <c r="M65" t="s">
        <v>7576</v>
      </c>
    </row>
    <row r="66" spans="1:13">
      <c r="A66" t="s">
        <v>764</v>
      </c>
      <c r="B66" t="s">
        <v>765</v>
      </c>
      <c r="C66">
        <v>1</v>
      </c>
      <c r="D66">
        <v>0.5</v>
      </c>
      <c r="E66">
        <v>0.5</v>
      </c>
      <c r="F66">
        <v>1</v>
      </c>
      <c r="G66">
        <v>1</v>
      </c>
      <c r="H66">
        <v>0</v>
      </c>
      <c r="I66">
        <v>1</v>
      </c>
      <c r="J66">
        <v>0</v>
      </c>
      <c r="K66">
        <f t="shared" si="1"/>
        <v>3.5</v>
      </c>
      <c r="L66" t="s">
        <v>7538</v>
      </c>
      <c r="M66" t="s">
        <v>7592</v>
      </c>
    </row>
    <row r="67" spans="1:13">
      <c r="A67" t="s">
        <v>778</v>
      </c>
      <c r="B67" t="s">
        <v>779</v>
      </c>
      <c r="C67">
        <v>1</v>
      </c>
      <c r="D67">
        <v>1</v>
      </c>
      <c r="E67">
        <v>1</v>
      </c>
      <c r="F67">
        <v>1</v>
      </c>
      <c r="G67">
        <v>1</v>
      </c>
      <c r="H67">
        <v>0.5</v>
      </c>
      <c r="I67">
        <v>0.5</v>
      </c>
      <c r="J67">
        <v>0.5</v>
      </c>
      <c r="K67">
        <f t="shared" si="1"/>
        <v>4</v>
      </c>
      <c r="L67" t="s">
        <v>7538</v>
      </c>
      <c r="M67" t="s">
        <v>7576</v>
      </c>
    </row>
    <row r="68" spans="1:13">
      <c r="A68" t="s">
        <v>785</v>
      </c>
      <c r="B68" t="s">
        <v>786</v>
      </c>
      <c r="C68">
        <v>1</v>
      </c>
      <c r="D68">
        <v>0.5</v>
      </c>
      <c r="E68">
        <v>0.5</v>
      </c>
      <c r="F68">
        <v>1</v>
      </c>
      <c r="G68">
        <v>0</v>
      </c>
      <c r="H68">
        <v>0.5</v>
      </c>
      <c r="I68">
        <v>1</v>
      </c>
      <c r="J68">
        <v>0.5</v>
      </c>
      <c r="K68">
        <f t="shared" si="1"/>
        <v>3</v>
      </c>
      <c r="L68" t="s">
        <v>7538</v>
      </c>
      <c r="M68" t="s">
        <v>7576</v>
      </c>
    </row>
    <row r="69" spans="1:13">
      <c r="A69" t="s">
        <v>805</v>
      </c>
      <c r="B69" t="s">
        <v>806</v>
      </c>
      <c r="C69">
        <v>1</v>
      </c>
      <c r="D69">
        <v>1</v>
      </c>
      <c r="E69">
        <v>1</v>
      </c>
      <c r="F69">
        <v>1</v>
      </c>
      <c r="G69">
        <v>0.5</v>
      </c>
      <c r="H69">
        <v>0</v>
      </c>
      <c r="I69">
        <v>1</v>
      </c>
      <c r="J69">
        <v>0.5</v>
      </c>
      <c r="K69">
        <f t="shared" si="1"/>
        <v>3.5</v>
      </c>
      <c r="L69" t="s">
        <v>7538</v>
      </c>
      <c r="M69" t="s">
        <v>7576</v>
      </c>
    </row>
    <row r="70" spans="1:13">
      <c r="A70" t="s">
        <v>812</v>
      </c>
      <c r="B70" t="s">
        <v>813</v>
      </c>
      <c r="C70">
        <v>1</v>
      </c>
      <c r="D70">
        <v>1</v>
      </c>
      <c r="E70">
        <v>1</v>
      </c>
      <c r="F70">
        <v>1</v>
      </c>
      <c r="G70">
        <v>1</v>
      </c>
      <c r="H70">
        <v>0.5</v>
      </c>
      <c r="I70">
        <v>0.5</v>
      </c>
      <c r="J70">
        <v>0.5</v>
      </c>
      <c r="K70">
        <f t="shared" si="1"/>
        <v>4</v>
      </c>
      <c r="L70" t="s">
        <v>7538</v>
      </c>
      <c r="M70" t="s">
        <v>7593</v>
      </c>
    </row>
    <row r="71" spans="1:13">
      <c r="A71" t="s">
        <v>819</v>
      </c>
      <c r="B71" t="s">
        <v>820</v>
      </c>
      <c r="C71">
        <v>1</v>
      </c>
      <c r="D71">
        <v>0.5</v>
      </c>
      <c r="E71">
        <v>0.5</v>
      </c>
      <c r="F71">
        <v>1</v>
      </c>
      <c r="G71">
        <v>1</v>
      </c>
      <c r="H71">
        <v>0.5</v>
      </c>
      <c r="I71">
        <v>1</v>
      </c>
      <c r="J71">
        <v>0</v>
      </c>
      <c r="K71">
        <f t="shared" si="1"/>
        <v>4</v>
      </c>
      <c r="L71" t="s">
        <v>7538</v>
      </c>
      <c r="M71" t="s">
        <v>7594</v>
      </c>
    </row>
    <row r="72" spans="1:13">
      <c r="A72" t="s">
        <v>849</v>
      </c>
      <c r="B72" t="s">
        <v>850</v>
      </c>
      <c r="C72">
        <v>1</v>
      </c>
      <c r="D72">
        <v>1</v>
      </c>
      <c r="E72">
        <v>1</v>
      </c>
      <c r="F72">
        <v>1</v>
      </c>
      <c r="G72">
        <v>1</v>
      </c>
      <c r="H72">
        <v>0</v>
      </c>
      <c r="I72">
        <v>0.5</v>
      </c>
      <c r="J72">
        <v>0.5</v>
      </c>
      <c r="K72">
        <f t="shared" si="1"/>
        <v>3.5</v>
      </c>
      <c r="L72" t="s">
        <v>7538</v>
      </c>
      <c r="M72" t="s">
        <v>7576</v>
      </c>
    </row>
    <row r="73" spans="1:13">
      <c r="A73" t="s">
        <v>855</v>
      </c>
      <c r="B73" t="s">
        <v>856</v>
      </c>
      <c r="C73">
        <v>1</v>
      </c>
      <c r="D73">
        <v>0.5</v>
      </c>
      <c r="E73">
        <v>0.5</v>
      </c>
      <c r="F73">
        <v>1</v>
      </c>
      <c r="G73">
        <v>1</v>
      </c>
      <c r="H73">
        <v>0.5</v>
      </c>
      <c r="I73">
        <v>0.5</v>
      </c>
      <c r="J73">
        <v>0.5</v>
      </c>
      <c r="K73">
        <f t="shared" si="1"/>
        <v>3.5</v>
      </c>
      <c r="L73" t="s">
        <v>7538</v>
      </c>
      <c r="M73" t="s">
        <v>7576</v>
      </c>
    </row>
    <row r="74" spans="1:13">
      <c r="A74" t="s">
        <v>862</v>
      </c>
      <c r="B74" t="s">
        <v>863</v>
      </c>
      <c r="C74">
        <v>1</v>
      </c>
      <c r="D74">
        <v>1</v>
      </c>
      <c r="E74">
        <v>1</v>
      </c>
      <c r="F74">
        <v>1</v>
      </c>
      <c r="G74">
        <v>1</v>
      </c>
      <c r="H74">
        <v>0.5</v>
      </c>
      <c r="I74">
        <v>1</v>
      </c>
      <c r="J74">
        <v>0.5</v>
      </c>
      <c r="K74">
        <f t="shared" si="1"/>
        <v>4.5</v>
      </c>
      <c r="L74" t="s">
        <v>7538</v>
      </c>
      <c r="M74" t="s">
        <v>7576</v>
      </c>
    </row>
    <row r="75" spans="1:13">
      <c r="A75" t="s">
        <v>869</v>
      </c>
      <c r="B75" t="s">
        <v>870</v>
      </c>
      <c r="C75">
        <v>1</v>
      </c>
      <c r="D75">
        <v>1</v>
      </c>
      <c r="E75">
        <v>1</v>
      </c>
      <c r="F75">
        <v>1</v>
      </c>
      <c r="G75">
        <v>0</v>
      </c>
      <c r="H75">
        <v>0</v>
      </c>
      <c r="I75">
        <v>1</v>
      </c>
      <c r="J75">
        <v>0.5</v>
      </c>
      <c r="K75">
        <f t="shared" si="1"/>
        <v>3</v>
      </c>
      <c r="L75" t="s">
        <v>7538</v>
      </c>
      <c r="M75" t="s">
        <v>7576</v>
      </c>
    </row>
    <row r="76" spans="1:13">
      <c r="A76" t="s">
        <v>876</v>
      </c>
      <c r="B76" t="s">
        <v>5491</v>
      </c>
      <c r="C76">
        <v>0.5</v>
      </c>
      <c r="D76">
        <v>1</v>
      </c>
      <c r="E76">
        <v>0</v>
      </c>
      <c r="F76">
        <v>0.5</v>
      </c>
      <c r="G76">
        <v>1</v>
      </c>
      <c r="H76">
        <v>0</v>
      </c>
      <c r="I76">
        <v>0.5</v>
      </c>
      <c r="J76">
        <v>0.5</v>
      </c>
      <c r="K76">
        <f t="shared" ref="K76:K110" si="2">D76+F76+G76+H76+I76</f>
        <v>3</v>
      </c>
      <c r="L76" t="s">
        <v>7538</v>
      </c>
      <c r="M76" t="s">
        <v>7576</v>
      </c>
    </row>
    <row r="77" spans="1:13">
      <c r="A77" t="s">
        <v>890</v>
      </c>
      <c r="B77" t="s">
        <v>891</v>
      </c>
      <c r="C77">
        <v>1</v>
      </c>
      <c r="D77">
        <v>1</v>
      </c>
      <c r="E77">
        <v>1</v>
      </c>
      <c r="F77">
        <v>1</v>
      </c>
      <c r="G77">
        <v>1</v>
      </c>
      <c r="H77">
        <v>1</v>
      </c>
      <c r="I77">
        <v>0.5</v>
      </c>
      <c r="J77">
        <v>0.5</v>
      </c>
      <c r="K77">
        <f t="shared" si="2"/>
        <v>4.5</v>
      </c>
      <c r="L77" t="s">
        <v>7538</v>
      </c>
      <c r="M77" t="s">
        <v>7576</v>
      </c>
    </row>
    <row r="78" spans="1:13">
      <c r="A78" t="s">
        <v>913</v>
      </c>
      <c r="B78" t="s">
        <v>914</v>
      </c>
      <c r="C78">
        <v>1</v>
      </c>
      <c r="D78">
        <v>1</v>
      </c>
      <c r="E78">
        <v>1</v>
      </c>
      <c r="F78">
        <v>1</v>
      </c>
      <c r="G78">
        <v>1</v>
      </c>
      <c r="H78">
        <v>0.5</v>
      </c>
      <c r="I78">
        <v>1</v>
      </c>
      <c r="J78">
        <v>0.5</v>
      </c>
      <c r="K78">
        <f t="shared" si="2"/>
        <v>4.5</v>
      </c>
      <c r="L78" t="s">
        <v>7538</v>
      </c>
      <c r="M78" t="s">
        <v>7576</v>
      </c>
    </row>
    <row r="79" spans="1:13">
      <c r="A79" t="s">
        <v>920</v>
      </c>
      <c r="B79" t="s">
        <v>921</v>
      </c>
      <c r="C79">
        <v>1</v>
      </c>
      <c r="D79">
        <v>0.5</v>
      </c>
      <c r="E79">
        <v>0.5</v>
      </c>
      <c r="F79">
        <v>1</v>
      </c>
      <c r="G79">
        <v>1</v>
      </c>
      <c r="H79">
        <v>0</v>
      </c>
      <c r="I79">
        <v>0.5</v>
      </c>
      <c r="J79">
        <v>0.5</v>
      </c>
      <c r="K79">
        <f t="shared" si="2"/>
        <v>3</v>
      </c>
      <c r="L79" t="s">
        <v>7538</v>
      </c>
      <c r="M79" t="s">
        <v>7576</v>
      </c>
    </row>
    <row r="80" spans="1:13">
      <c r="A80" t="s">
        <v>928</v>
      </c>
      <c r="B80" t="s">
        <v>929</v>
      </c>
      <c r="C80">
        <v>1</v>
      </c>
      <c r="D80">
        <v>1</v>
      </c>
      <c r="E80">
        <v>1</v>
      </c>
      <c r="F80">
        <v>1</v>
      </c>
      <c r="G80">
        <v>1</v>
      </c>
      <c r="H80">
        <v>0.5</v>
      </c>
      <c r="I80">
        <v>1</v>
      </c>
      <c r="J80">
        <v>0.5</v>
      </c>
      <c r="K80">
        <f t="shared" si="2"/>
        <v>4.5</v>
      </c>
      <c r="L80" t="s">
        <v>7538</v>
      </c>
      <c r="M80" t="s">
        <v>7576</v>
      </c>
    </row>
    <row r="81" spans="1:13">
      <c r="A81" t="s">
        <v>943</v>
      </c>
      <c r="B81" t="s">
        <v>944</v>
      </c>
      <c r="C81">
        <v>1</v>
      </c>
      <c r="D81">
        <v>1</v>
      </c>
      <c r="E81">
        <v>1</v>
      </c>
      <c r="F81">
        <v>1</v>
      </c>
      <c r="G81">
        <v>1</v>
      </c>
      <c r="H81">
        <v>0</v>
      </c>
      <c r="I81">
        <v>1</v>
      </c>
      <c r="J81">
        <v>0.5</v>
      </c>
      <c r="K81">
        <f t="shared" si="2"/>
        <v>4</v>
      </c>
      <c r="L81" t="s">
        <v>7538</v>
      </c>
      <c r="M81" t="s">
        <v>7576</v>
      </c>
    </row>
    <row r="82" spans="1:13">
      <c r="A82" t="s">
        <v>950</v>
      </c>
      <c r="B82" t="s">
        <v>951</v>
      </c>
      <c r="C82">
        <v>1</v>
      </c>
      <c r="D82">
        <v>1</v>
      </c>
      <c r="E82">
        <v>1</v>
      </c>
      <c r="F82">
        <v>1</v>
      </c>
      <c r="G82">
        <v>1</v>
      </c>
      <c r="H82">
        <v>0.5</v>
      </c>
      <c r="I82">
        <v>1</v>
      </c>
      <c r="J82">
        <v>0.5</v>
      </c>
      <c r="K82">
        <f t="shared" si="2"/>
        <v>4.5</v>
      </c>
      <c r="L82" t="s">
        <v>7538</v>
      </c>
      <c r="M82" t="s">
        <v>7576</v>
      </c>
    </row>
    <row r="83" spans="1:13">
      <c r="A83" t="s">
        <v>980</v>
      </c>
      <c r="B83" t="s">
        <v>981</v>
      </c>
      <c r="C83">
        <v>1</v>
      </c>
      <c r="D83">
        <v>1</v>
      </c>
      <c r="E83">
        <v>1</v>
      </c>
      <c r="F83">
        <v>1</v>
      </c>
      <c r="G83">
        <v>1</v>
      </c>
      <c r="H83">
        <v>1</v>
      </c>
      <c r="I83">
        <v>1</v>
      </c>
      <c r="J83">
        <v>0.5</v>
      </c>
      <c r="K83">
        <f t="shared" si="2"/>
        <v>5</v>
      </c>
      <c r="L83" t="s">
        <v>7538</v>
      </c>
      <c r="M83" t="s">
        <v>7576</v>
      </c>
    </row>
    <row r="84" spans="1:13">
      <c r="A84" t="s">
        <v>988</v>
      </c>
      <c r="B84" t="s">
        <v>989</v>
      </c>
      <c r="C84">
        <v>1</v>
      </c>
      <c r="D84">
        <v>1</v>
      </c>
      <c r="E84">
        <v>1</v>
      </c>
      <c r="F84">
        <v>1</v>
      </c>
      <c r="G84">
        <v>1</v>
      </c>
      <c r="H84">
        <v>1</v>
      </c>
      <c r="I84">
        <v>1</v>
      </c>
      <c r="J84">
        <v>0.5</v>
      </c>
      <c r="K84">
        <f t="shared" si="2"/>
        <v>5</v>
      </c>
      <c r="L84" t="s">
        <v>7538</v>
      </c>
      <c r="M84" t="s">
        <v>7576</v>
      </c>
    </row>
    <row r="85" spans="1:13">
      <c r="A85" t="s">
        <v>995</v>
      </c>
      <c r="B85" t="s">
        <v>996</v>
      </c>
      <c r="C85">
        <v>1</v>
      </c>
      <c r="D85">
        <v>1</v>
      </c>
      <c r="E85">
        <v>1</v>
      </c>
      <c r="F85">
        <v>1</v>
      </c>
      <c r="G85">
        <v>1</v>
      </c>
      <c r="H85">
        <v>1</v>
      </c>
      <c r="I85">
        <v>1</v>
      </c>
      <c r="J85">
        <v>0</v>
      </c>
      <c r="K85">
        <f t="shared" si="2"/>
        <v>5</v>
      </c>
      <c r="L85" t="s">
        <v>7538</v>
      </c>
      <c r="M85" t="s">
        <v>7595</v>
      </c>
    </row>
    <row r="86" spans="1:13">
      <c r="A86" t="s">
        <v>1017</v>
      </c>
      <c r="B86" t="s">
        <v>1018</v>
      </c>
      <c r="C86">
        <v>1</v>
      </c>
      <c r="D86">
        <v>0.5</v>
      </c>
      <c r="E86">
        <v>0.5</v>
      </c>
      <c r="F86">
        <v>1</v>
      </c>
      <c r="G86">
        <v>1</v>
      </c>
      <c r="H86">
        <v>0</v>
      </c>
      <c r="I86">
        <v>1</v>
      </c>
      <c r="J86">
        <v>0.5</v>
      </c>
      <c r="K86">
        <f t="shared" si="2"/>
        <v>3.5</v>
      </c>
      <c r="L86" t="s">
        <v>7538</v>
      </c>
      <c r="M86" t="s">
        <v>7596</v>
      </c>
    </row>
    <row r="87" spans="1:13">
      <c r="A87" t="s">
        <v>1032</v>
      </c>
      <c r="B87" t="s">
        <v>1033</v>
      </c>
      <c r="C87">
        <v>1</v>
      </c>
      <c r="D87">
        <v>1</v>
      </c>
      <c r="E87">
        <v>1</v>
      </c>
      <c r="F87">
        <v>1</v>
      </c>
      <c r="G87">
        <v>1</v>
      </c>
      <c r="H87">
        <v>0</v>
      </c>
      <c r="I87">
        <v>0.5</v>
      </c>
      <c r="J87">
        <v>0.5</v>
      </c>
      <c r="K87">
        <f t="shared" si="2"/>
        <v>3.5</v>
      </c>
      <c r="L87" t="s">
        <v>7538</v>
      </c>
      <c r="M87" t="s">
        <v>7576</v>
      </c>
    </row>
    <row r="88" spans="1:13">
      <c r="A88" t="s">
        <v>1040</v>
      </c>
      <c r="B88" t="s">
        <v>1041</v>
      </c>
      <c r="C88">
        <v>1</v>
      </c>
      <c r="D88">
        <v>1</v>
      </c>
      <c r="E88">
        <v>1</v>
      </c>
      <c r="F88">
        <v>1</v>
      </c>
      <c r="G88">
        <v>1</v>
      </c>
      <c r="H88">
        <v>0</v>
      </c>
      <c r="I88">
        <v>1</v>
      </c>
      <c r="J88">
        <v>0.5</v>
      </c>
      <c r="K88">
        <f t="shared" si="2"/>
        <v>4</v>
      </c>
      <c r="L88" t="s">
        <v>7538</v>
      </c>
      <c r="M88" t="s">
        <v>7576</v>
      </c>
    </row>
    <row r="89" spans="1:13">
      <c r="A89" t="s">
        <v>1047</v>
      </c>
      <c r="B89" t="s">
        <v>1048</v>
      </c>
      <c r="C89">
        <v>1</v>
      </c>
      <c r="D89">
        <v>1</v>
      </c>
      <c r="E89">
        <v>1</v>
      </c>
      <c r="F89">
        <v>1</v>
      </c>
      <c r="G89">
        <v>0</v>
      </c>
      <c r="H89">
        <v>0</v>
      </c>
      <c r="I89">
        <v>1</v>
      </c>
      <c r="J89">
        <v>0.5</v>
      </c>
      <c r="K89">
        <f t="shared" si="2"/>
        <v>3</v>
      </c>
      <c r="L89" t="s">
        <v>7538</v>
      </c>
      <c r="M89" t="s">
        <v>7576</v>
      </c>
    </row>
    <row r="90" spans="1:13">
      <c r="A90" t="s">
        <v>1076</v>
      </c>
      <c r="B90" t="s">
        <v>1077</v>
      </c>
      <c r="C90">
        <v>1</v>
      </c>
      <c r="D90">
        <v>1</v>
      </c>
      <c r="E90">
        <v>1</v>
      </c>
      <c r="F90">
        <v>1</v>
      </c>
      <c r="G90">
        <v>1</v>
      </c>
      <c r="H90">
        <v>0.5</v>
      </c>
      <c r="I90">
        <v>1</v>
      </c>
      <c r="J90">
        <v>0.5</v>
      </c>
      <c r="K90">
        <f t="shared" si="2"/>
        <v>4.5</v>
      </c>
      <c r="L90" t="s">
        <v>7538</v>
      </c>
      <c r="M90" t="s">
        <v>7576</v>
      </c>
    </row>
    <row r="91" spans="1:13">
      <c r="A91" t="s">
        <v>1091</v>
      </c>
      <c r="B91" t="s">
        <v>1092</v>
      </c>
      <c r="C91">
        <v>1</v>
      </c>
      <c r="D91">
        <v>1</v>
      </c>
      <c r="E91">
        <v>1</v>
      </c>
      <c r="F91">
        <v>1</v>
      </c>
      <c r="G91">
        <v>1</v>
      </c>
      <c r="H91">
        <v>0</v>
      </c>
      <c r="I91">
        <v>1</v>
      </c>
      <c r="J91">
        <v>0.5</v>
      </c>
      <c r="K91">
        <f t="shared" si="2"/>
        <v>4</v>
      </c>
      <c r="L91" t="s">
        <v>7538</v>
      </c>
      <c r="M91" t="s">
        <v>7576</v>
      </c>
    </row>
    <row r="92" spans="1:13">
      <c r="A92" t="s">
        <v>1111</v>
      </c>
      <c r="B92" t="s">
        <v>1112</v>
      </c>
      <c r="C92">
        <v>1</v>
      </c>
      <c r="D92">
        <v>1</v>
      </c>
      <c r="E92">
        <v>1</v>
      </c>
      <c r="F92">
        <v>1</v>
      </c>
      <c r="G92">
        <v>0</v>
      </c>
      <c r="H92">
        <v>0</v>
      </c>
      <c r="I92">
        <v>0.5</v>
      </c>
      <c r="J92">
        <v>0.5</v>
      </c>
      <c r="K92">
        <f t="shared" si="2"/>
        <v>2.5</v>
      </c>
      <c r="L92" t="s">
        <v>7538</v>
      </c>
      <c r="M92" t="s">
        <v>7576</v>
      </c>
    </row>
    <row r="93" spans="1:13">
      <c r="A93" t="s">
        <v>1126</v>
      </c>
      <c r="B93" t="s">
        <v>1127</v>
      </c>
      <c r="C93">
        <v>1</v>
      </c>
      <c r="D93">
        <v>1</v>
      </c>
      <c r="E93">
        <v>1</v>
      </c>
      <c r="F93">
        <v>1</v>
      </c>
      <c r="G93">
        <v>1</v>
      </c>
      <c r="H93">
        <v>0.5</v>
      </c>
      <c r="I93">
        <v>1</v>
      </c>
      <c r="J93">
        <v>0.5</v>
      </c>
      <c r="K93">
        <f t="shared" si="2"/>
        <v>4.5</v>
      </c>
      <c r="L93" t="s">
        <v>7538</v>
      </c>
      <c r="M93" t="s">
        <v>7576</v>
      </c>
    </row>
    <row r="94" spans="1:13">
      <c r="A94" t="s">
        <v>1140</v>
      </c>
      <c r="B94" t="s">
        <v>1141</v>
      </c>
      <c r="C94">
        <v>1</v>
      </c>
      <c r="D94">
        <v>1</v>
      </c>
      <c r="E94">
        <v>1</v>
      </c>
      <c r="F94">
        <v>1</v>
      </c>
      <c r="G94">
        <v>1</v>
      </c>
      <c r="H94">
        <v>0</v>
      </c>
      <c r="I94">
        <v>0.5</v>
      </c>
      <c r="J94">
        <v>1</v>
      </c>
      <c r="K94">
        <f t="shared" si="2"/>
        <v>3.5</v>
      </c>
      <c r="L94" t="s">
        <v>7538</v>
      </c>
      <c r="M94" t="s">
        <v>7597</v>
      </c>
    </row>
    <row r="95" spans="1:13">
      <c r="A95" t="s">
        <v>1148</v>
      </c>
      <c r="B95" t="s">
        <v>1149</v>
      </c>
      <c r="C95">
        <v>1</v>
      </c>
      <c r="D95">
        <v>1</v>
      </c>
      <c r="E95">
        <v>1</v>
      </c>
      <c r="F95">
        <v>0.5</v>
      </c>
      <c r="G95">
        <v>0</v>
      </c>
      <c r="H95">
        <v>0.5</v>
      </c>
      <c r="I95">
        <v>0.5</v>
      </c>
      <c r="J95">
        <v>0.5</v>
      </c>
      <c r="K95">
        <f t="shared" si="2"/>
        <v>2.5</v>
      </c>
      <c r="L95" t="s">
        <v>7538</v>
      </c>
      <c r="M95" t="s">
        <v>7576</v>
      </c>
    </row>
    <row r="96" spans="1:13">
      <c r="A96" t="s">
        <v>1207</v>
      </c>
      <c r="B96" t="s">
        <v>1208</v>
      </c>
      <c r="C96">
        <v>1</v>
      </c>
      <c r="D96">
        <v>1</v>
      </c>
      <c r="E96">
        <v>1</v>
      </c>
      <c r="F96">
        <v>1</v>
      </c>
      <c r="G96">
        <v>1</v>
      </c>
      <c r="H96">
        <v>1</v>
      </c>
      <c r="I96">
        <v>0.5</v>
      </c>
      <c r="J96">
        <v>0.5</v>
      </c>
      <c r="K96">
        <f t="shared" si="2"/>
        <v>4.5</v>
      </c>
      <c r="L96" t="s">
        <v>7538</v>
      </c>
      <c r="M96" t="s">
        <v>7598</v>
      </c>
    </row>
    <row r="97" spans="1:13">
      <c r="A97" t="s">
        <v>1230</v>
      </c>
      <c r="B97" t="s">
        <v>1231</v>
      </c>
      <c r="C97">
        <v>1</v>
      </c>
      <c r="D97">
        <v>1</v>
      </c>
      <c r="E97">
        <v>1</v>
      </c>
      <c r="F97">
        <v>0.5</v>
      </c>
      <c r="G97">
        <v>1</v>
      </c>
      <c r="H97">
        <v>0.5</v>
      </c>
      <c r="I97">
        <v>0.5</v>
      </c>
      <c r="J97">
        <v>0.5</v>
      </c>
      <c r="K97">
        <f t="shared" si="2"/>
        <v>4</v>
      </c>
      <c r="L97" t="s">
        <v>7538</v>
      </c>
      <c r="M97" t="s">
        <v>7576</v>
      </c>
    </row>
    <row r="98" spans="1:13">
      <c r="A98" t="s">
        <v>1236</v>
      </c>
      <c r="B98" t="s">
        <v>1237</v>
      </c>
      <c r="C98">
        <v>1</v>
      </c>
      <c r="D98">
        <v>1</v>
      </c>
      <c r="E98">
        <v>1</v>
      </c>
      <c r="F98">
        <v>1</v>
      </c>
      <c r="G98">
        <v>1</v>
      </c>
      <c r="H98">
        <v>0</v>
      </c>
      <c r="I98">
        <v>1</v>
      </c>
      <c r="J98">
        <v>0.5</v>
      </c>
      <c r="K98">
        <f t="shared" si="2"/>
        <v>4</v>
      </c>
      <c r="L98" t="s">
        <v>7538</v>
      </c>
      <c r="M98" t="s">
        <v>7576</v>
      </c>
    </row>
    <row r="99" spans="1:13">
      <c r="A99" t="s">
        <v>1267</v>
      </c>
      <c r="B99" t="s">
        <v>1268</v>
      </c>
      <c r="C99">
        <v>1</v>
      </c>
      <c r="D99">
        <v>1</v>
      </c>
      <c r="E99">
        <v>1</v>
      </c>
      <c r="F99">
        <v>0.5</v>
      </c>
      <c r="G99">
        <v>1</v>
      </c>
      <c r="H99">
        <v>0</v>
      </c>
      <c r="I99">
        <v>0.5</v>
      </c>
      <c r="J99">
        <v>0.5</v>
      </c>
      <c r="K99">
        <f t="shared" si="2"/>
        <v>3</v>
      </c>
      <c r="L99" t="s">
        <v>7538</v>
      </c>
      <c r="M99" t="s">
        <v>7576</v>
      </c>
    </row>
    <row r="100" spans="1:13">
      <c r="A100" t="s">
        <v>1281</v>
      </c>
      <c r="B100" t="s">
        <v>1282</v>
      </c>
      <c r="C100">
        <v>1</v>
      </c>
      <c r="D100">
        <v>1</v>
      </c>
      <c r="E100">
        <v>1</v>
      </c>
      <c r="F100">
        <v>1</v>
      </c>
      <c r="G100">
        <v>0.5</v>
      </c>
      <c r="H100">
        <v>0</v>
      </c>
      <c r="I100">
        <v>1</v>
      </c>
      <c r="J100">
        <v>0.5</v>
      </c>
      <c r="K100">
        <f t="shared" si="2"/>
        <v>3.5</v>
      </c>
      <c r="L100" t="s">
        <v>7538</v>
      </c>
      <c r="M100" t="s">
        <v>7576</v>
      </c>
    </row>
    <row r="101" spans="1:13">
      <c r="A101" t="s">
        <v>1289</v>
      </c>
      <c r="B101" t="s">
        <v>1290</v>
      </c>
      <c r="C101">
        <v>1</v>
      </c>
      <c r="D101">
        <v>1</v>
      </c>
      <c r="E101">
        <v>1</v>
      </c>
      <c r="F101">
        <v>0.5</v>
      </c>
      <c r="G101">
        <v>1</v>
      </c>
      <c r="H101">
        <v>0.5</v>
      </c>
      <c r="I101">
        <v>1</v>
      </c>
      <c r="J101">
        <v>0.5</v>
      </c>
      <c r="K101">
        <f t="shared" si="2"/>
        <v>4</v>
      </c>
      <c r="L101" t="s">
        <v>7538</v>
      </c>
      <c r="M101" t="s">
        <v>7599</v>
      </c>
    </row>
    <row r="102" spans="1:13">
      <c r="A102" t="s">
        <v>1819</v>
      </c>
      <c r="B102" t="s">
        <v>1820</v>
      </c>
      <c r="C102">
        <v>1</v>
      </c>
      <c r="D102">
        <v>1</v>
      </c>
      <c r="E102">
        <v>1</v>
      </c>
      <c r="F102">
        <v>1</v>
      </c>
      <c r="G102">
        <v>1</v>
      </c>
      <c r="H102">
        <v>1</v>
      </c>
      <c r="I102">
        <v>1</v>
      </c>
      <c r="J102">
        <v>0.5</v>
      </c>
      <c r="K102">
        <f t="shared" si="2"/>
        <v>5</v>
      </c>
      <c r="L102" t="s">
        <v>7538</v>
      </c>
      <c r="M102" t="s">
        <v>7576</v>
      </c>
    </row>
    <row r="103" spans="1:13">
      <c r="A103" t="s">
        <v>1923</v>
      </c>
      <c r="B103" t="s">
        <v>1924</v>
      </c>
      <c r="C103">
        <v>1</v>
      </c>
      <c r="D103">
        <v>1</v>
      </c>
      <c r="E103">
        <v>1</v>
      </c>
      <c r="F103">
        <v>1</v>
      </c>
      <c r="G103">
        <v>1</v>
      </c>
      <c r="H103">
        <v>0.5</v>
      </c>
      <c r="I103">
        <v>0.5</v>
      </c>
      <c r="J103">
        <v>0.5</v>
      </c>
      <c r="K103">
        <f t="shared" si="2"/>
        <v>4.5</v>
      </c>
      <c r="L103" t="s">
        <v>7538</v>
      </c>
      <c r="M103" t="s">
        <v>7576</v>
      </c>
    </row>
    <row r="104" spans="1:13">
      <c r="A104" t="s">
        <v>2047</v>
      </c>
      <c r="B104" t="s">
        <v>2048</v>
      </c>
      <c r="C104">
        <v>1</v>
      </c>
      <c r="D104">
        <v>1</v>
      </c>
      <c r="E104">
        <v>1</v>
      </c>
      <c r="F104">
        <v>1</v>
      </c>
      <c r="G104">
        <v>1</v>
      </c>
      <c r="H104">
        <v>0.5</v>
      </c>
      <c r="I104">
        <v>0.5</v>
      </c>
      <c r="J104">
        <v>0.5</v>
      </c>
      <c r="K104">
        <f t="shared" si="2"/>
        <v>4</v>
      </c>
      <c r="L104" t="s">
        <v>7538</v>
      </c>
      <c r="M104" t="s">
        <v>7576</v>
      </c>
    </row>
    <row r="105" spans="1:13">
      <c r="A105" t="s">
        <v>2162</v>
      </c>
      <c r="B105" t="s">
        <v>2163</v>
      </c>
      <c r="C105">
        <v>1</v>
      </c>
      <c r="D105">
        <v>1</v>
      </c>
      <c r="E105">
        <v>1</v>
      </c>
      <c r="F105">
        <v>1</v>
      </c>
      <c r="G105">
        <v>1</v>
      </c>
      <c r="H105">
        <v>0.5</v>
      </c>
      <c r="I105">
        <v>1</v>
      </c>
      <c r="J105">
        <v>0.5</v>
      </c>
      <c r="K105">
        <f t="shared" si="2"/>
        <v>4.5</v>
      </c>
      <c r="L105" t="s">
        <v>7538</v>
      </c>
      <c r="M105" t="s">
        <v>7576</v>
      </c>
    </row>
    <row r="106" spans="1:13">
      <c r="A106" t="s">
        <v>2353</v>
      </c>
      <c r="B106" t="s">
        <v>2354</v>
      </c>
      <c r="C106">
        <v>1</v>
      </c>
      <c r="D106">
        <v>1</v>
      </c>
      <c r="E106">
        <v>1</v>
      </c>
      <c r="F106">
        <v>1</v>
      </c>
      <c r="G106">
        <v>1</v>
      </c>
      <c r="H106">
        <v>0.5</v>
      </c>
      <c r="I106">
        <v>0.5</v>
      </c>
      <c r="J106">
        <v>0.5</v>
      </c>
      <c r="K106">
        <f t="shared" si="2"/>
        <v>4</v>
      </c>
      <c r="L106" t="s">
        <v>7538</v>
      </c>
      <c r="M106" t="s">
        <v>7576</v>
      </c>
    </row>
    <row r="107" spans="1:13">
      <c r="A107" t="s">
        <v>2405</v>
      </c>
      <c r="B107" t="s">
        <v>2406</v>
      </c>
      <c r="C107">
        <v>1</v>
      </c>
      <c r="D107">
        <v>1</v>
      </c>
      <c r="E107">
        <v>1</v>
      </c>
      <c r="F107">
        <v>1</v>
      </c>
      <c r="G107">
        <v>1</v>
      </c>
      <c r="H107">
        <v>0</v>
      </c>
      <c r="I107">
        <v>0.5</v>
      </c>
      <c r="J107">
        <v>0.5</v>
      </c>
      <c r="K107">
        <f t="shared" si="2"/>
        <v>3.5</v>
      </c>
      <c r="L107" t="s">
        <v>7538</v>
      </c>
      <c r="M107" t="s">
        <v>7576</v>
      </c>
    </row>
    <row r="108" spans="1:13">
      <c r="A108" t="s">
        <v>2491</v>
      </c>
      <c r="B108" t="s">
        <v>2492</v>
      </c>
      <c r="C108">
        <v>1</v>
      </c>
      <c r="D108">
        <v>1</v>
      </c>
      <c r="E108">
        <v>1</v>
      </c>
      <c r="F108">
        <v>1</v>
      </c>
      <c r="G108">
        <v>1</v>
      </c>
      <c r="H108">
        <v>0.5</v>
      </c>
      <c r="I108">
        <v>0.5</v>
      </c>
      <c r="J108">
        <v>1</v>
      </c>
      <c r="K108">
        <f t="shared" si="2"/>
        <v>4</v>
      </c>
      <c r="L108" t="s">
        <v>7538</v>
      </c>
      <c r="M108" t="s">
        <v>7600</v>
      </c>
    </row>
    <row r="109" spans="1:13">
      <c r="A109" t="s">
        <v>2520</v>
      </c>
      <c r="B109" t="s">
        <v>2521</v>
      </c>
      <c r="C109">
        <v>1</v>
      </c>
      <c r="D109">
        <v>1</v>
      </c>
      <c r="E109">
        <v>1</v>
      </c>
      <c r="F109">
        <v>0.5</v>
      </c>
      <c r="G109">
        <v>1</v>
      </c>
      <c r="H109">
        <v>0.5</v>
      </c>
      <c r="I109">
        <v>0.5</v>
      </c>
      <c r="J109">
        <v>0.5</v>
      </c>
      <c r="K109">
        <f t="shared" si="2"/>
        <v>3.5</v>
      </c>
      <c r="L109" t="s">
        <v>7538</v>
      </c>
      <c r="M109" t="s">
        <v>7576</v>
      </c>
    </row>
    <row r="110" spans="1:13">
      <c r="A110" t="s">
        <v>2665</v>
      </c>
      <c r="B110" t="s">
        <v>2666</v>
      </c>
      <c r="C110">
        <v>0.5</v>
      </c>
      <c r="D110">
        <v>1</v>
      </c>
      <c r="E110">
        <v>1</v>
      </c>
      <c r="F110">
        <v>1</v>
      </c>
      <c r="G110">
        <v>1</v>
      </c>
      <c r="H110">
        <v>1</v>
      </c>
      <c r="I110">
        <v>1</v>
      </c>
      <c r="J110">
        <v>0.5</v>
      </c>
      <c r="K110">
        <f t="shared" si="2"/>
        <v>5</v>
      </c>
      <c r="L110" t="s">
        <v>7538</v>
      </c>
      <c r="M110" t="s">
        <v>7576</v>
      </c>
    </row>
    <row r="113" spans="1:5">
      <c r="A113" s="57" t="s">
        <v>7539</v>
      </c>
    </row>
    <row r="114" spans="1:5">
      <c r="A114" s="57" t="s">
        <v>7540</v>
      </c>
      <c r="B114" s="57" t="s">
        <v>7541</v>
      </c>
      <c r="C114" s="57" t="s">
        <v>7542</v>
      </c>
      <c r="D114" s="57" t="s">
        <v>7543</v>
      </c>
      <c r="E114" s="57" t="s">
        <v>7544</v>
      </c>
    </row>
    <row r="115" spans="1:5">
      <c r="A115" t="s">
        <v>7545</v>
      </c>
      <c r="B115">
        <f>COUNTIF(D12:D110,1)</f>
        <v>77</v>
      </c>
      <c r="C115">
        <f>COUNTIF(D12:D110,0.5)</f>
        <v>21</v>
      </c>
      <c r="D115">
        <f>COUNTIF(D12:D110,0)</f>
        <v>1</v>
      </c>
      <c r="E115">
        <f>AVERAGE(D12:D110)</f>
        <v>0.88383838383838387</v>
      </c>
    </row>
    <row r="116" spans="1:5">
      <c r="A116" t="s">
        <v>7546</v>
      </c>
      <c r="B116">
        <f>COUNTIF(F12:F110,1)</f>
        <v>84</v>
      </c>
      <c r="C116">
        <f>COUNTIF(F12:F110,0.5)</f>
        <v>15</v>
      </c>
      <c r="D116">
        <f>COUNTIF(F12:F110,0)</f>
        <v>0</v>
      </c>
      <c r="E116">
        <f>AVERAGE(F12:F110)</f>
        <v>0.9242424242424242</v>
      </c>
    </row>
    <row r="117" spans="1:5">
      <c r="A117" t="s">
        <v>7547</v>
      </c>
      <c r="B117">
        <f>COUNTIF(G12:G110,1)</f>
        <v>74</v>
      </c>
      <c r="C117">
        <f>COUNTIF(G12:G110,0.5)</f>
        <v>8</v>
      </c>
      <c r="D117">
        <f>COUNTIF(G12:G110,0)</f>
        <v>17</v>
      </c>
      <c r="E117">
        <f>AVERAGE(G12:G110)</f>
        <v>0.78787878787878785</v>
      </c>
    </row>
    <row r="118" spans="1:5">
      <c r="A118" t="s">
        <v>7548</v>
      </c>
      <c r="B118">
        <f>COUNTIF(H12:H110,1)</f>
        <v>17</v>
      </c>
      <c r="C118">
        <f>COUNTIF(H12:H110,0.5)</f>
        <v>42</v>
      </c>
      <c r="D118">
        <f>COUNTIF(H12:H110,0)</f>
        <v>40</v>
      </c>
      <c r="E118">
        <f>AVERAGE(H12:H110)</f>
        <v>0.38383838383838381</v>
      </c>
    </row>
    <row r="119" spans="1:5">
      <c r="A119" t="s">
        <v>7549</v>
      </c>
      <c r="B119">
        <f>COUNTIF(I12:I110,1)</f>
        <v>69</v>
      </c>
      <c r="C119">
        <f>COUNTIF(I12:I110,0.5)</f>
        <v>30</v>
      </c>
      <c r="D119">
        <f>COUNTIF(I12:I110,0)</f>
        <v>0</v>
      </c>
      <c r="E119">
        <f>AVERAGE(I12:I110)</f>
        <v>0.84848484848484851</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1A859-12E6-0447-A569-882A7035E26F}">
  <dimension ref="A1:K198"/>
  <sheetViews>
    <sheetView tabSelected="1" workbookViewId="0"/>
  </sheetViews>
  <sheetFormatPr baseColWidth="10" defaultRowHeight="13"/>
  <sheetData>
    <row r="1" spans="1:11">
      <c r="A1" t="s">
        <v>124</v>
      </c>
      <c r="B1" t="s">
        <v>7601</v>
      </c>
      <c r="C1" t="s">
        <v>7602</v>
      </c>
      <c r="D1" t="s">
        <v>7603</v>
      </c>
      <c r="E1" t="s">
        <v>7047</v>
      </c>
      <c r="F1" t="s">
        <v>7604</v>
      </c>
      <c r="G1" t="s">
        <v>7605</v>
      </c>
      <c r="H1" t="s">
        <v>7606</v>
      </c>
      <c r="I1" t="s">
        <v>7607</v>
      </c>
      <c r="J1" t="s">
        <v>7608</v>
      </c>
      <c r="K1" t="s">
        <v>7609</v>
      </c>
    </row>
    <row r="2" spans="1:11">
      <c r="A2" t="s">
        <v>141</v>
      </c>
      <c r="B2" t="s">
        <v>7610</v>
      </c>
      <c r="C2" t="s">
        <v>7611</v>
      </c>
      <c r="D2" t="s">
        <v>7612</v>
      </c>
      <c r="E2" t="s">
        <v>7613</v>
      </c>
      <c r="F2">
        <v>100</v>
      </c>
      <c r="G2" t="s">
        <v>7614</v>
      </c>
      <c r="H2" t="s">
        <v>7615</v>
      </c>
      <c r="I2" t="s">
        <v>7616</v>
      </c>
      <c r="J2" t="s">
        <v>4056</v>
      </c>
      <c r="K2" t="s">
        <v>7617</v>
      </c>
    </row>
    <row r="3" spans="1:11">
      <c r="A3" t="s">
        <v>141</v>
      </c>
      <c r="B3" t="s">
        <v>7618</v>
      </c>
      <c r="C3" t="s">
        <v>7619</v>
      </c>
      <c r="D3" t="s">
        <v>7620</v>
      </c>
      <c r="E3" t="s">
        <v>7613</v>
      </c>
      <c r="F3">
        <v>98.9</v>
      </c>
      <c r="G3" t="s">
        <v>7614</v>
      </c>
      <c r="H3" t="s">
        <v>7615</v>
      </c>
      <c r="I3" t="s">
        <v>7621</v>
      </c>
      <c r="J3" t="s">
        <v>4057</v>
      </c>
      <c r="K3" t="s">
        <v>7617</v>
      </c>
    </row>
    <row r="4" spans="1:11">
      <c r="A4" t="s">
        <v>150</v>
      </c>
      <c r="B4" t="s">
        <v>7618</v>
      </c>
      <c r="C4" t="s">
        <v>7048</v>
      </c>
      <c r="D4" t="s">
        <v>7622</v>
      </c>
      <c r="E4" t="s">
        <v>7613</v>
      </c>
      <c r="F4">
        <v>81.98</v>
      </c>
      <c r="G4" t="s">
        <v>7614</v>
      </c>
      <c r="H4" t="s">
        <v>7623</v>
      </c>
      <c r="I4" t="s">
        <v>7624</v>
      </c>
      <c r="J4" t="s">
        <v>4057</v>
      </c>
      <c r="K4" t="s">
        <v>7617</v>
      </c>
    </row>
    <row r="5" spans="1:11">
      <c r="A5" t="s">
        <v>158</v>
      </c>
      <c r="B5" t="s">
        <v>7610</v>
      </c>
      <c r="C5" t="s">
        <v>7611</v>
      </c>
      <c r="D5" t="s">
        <v>7625</v>
      </c>
      <c r="E5" t="s">
        <v>5425</v>
      </c>
      <c r="F5">
        <v>96.35</v>
      </c>
      <c r="G5" t="s">
        <v>7614</v>
      </c>
      <c r="H5" t="s">
        <v>7623</v>
      </c>
      <c r="I5" t="s">
        <v>7626</v>
      </c>
      <c r="J5" t="s">
        <v>4056</v>
      </c>
      <c r="K5" t="s">
        <v>7617</v>
      </c>
    </row>
    <row r="6" spans="1:11">
      <c r="A6" t="s">
        <v>165</v>
      </c>
      <c r="B6" t="s">
        <v>7610</v>
      </c>
      <c r="C6" t="s">
        <v>7611</v>
      </c>
      <c r="D6" t="s">
        <v>7627</v>
      </c>
      <c r="E6" t="s">
        <v>5425</v>
      </c>
      <c r="F6">
        <v>99.15</v>
      </c>
      <c r="G6" t="s">
        <v>7614</v>
      </c>
      <c r="H6" t="s">
        <v>7623</v>
      </c>
      <c r="I6" t="s">
        <v>7628</v>
      </c>
      <c r="J6" t="s">
        <v>4056</v>
      </c>
      <c r="K6" t="s">
        <v>7617</v>
      </c>
    </row>
    <row r="7" spans="1:11">
      <c r="A7" t="s">
        <v>165</v>
      </c>
      <c r="B7" t="s">
        <v>7629</v>
      </c>
      <c r="C7" t="s">
        <v>7630</v>
      </c>
      <c r="D7" t="s">
        <v>7627</v>
      </c>
      <c r="E7" t="s">
        <v>5425</v>
      </c>
      <c r="F7">
        <v>98.36</v>
      </c>
      <c r="G7" t="s">
        <v>7631</v>
      </c>
      <c r="H7" t="s">
        <v>7623</v>
      </c>
      <c r="I7" t="s">
        <v>7632</v>
      </c>
      <c r="J7" t="s">
        <v>4058</v>
      </c>
      <c r="K7" t="s">
        <v>7617</v>
      </c>
    </row>
    <row r="8" spans="1:11">
      <c r="A8" t="s">
        <v>172</v>
      </c>
      <c r="B8" t="s">
        <v>7610</v>
      </c>
      <c r="C8" t="s">
        <v>7611</v>
      </c>
      <c r="D8" t="s">
        <v>7633</v>
      </c>
      <c r="E8" t="s">
        <v>5425</v>
      </c>
      <c r="F8">
        <v>98.4</v>
      </c>
      <c r="G8" t="s">
        <v>7614</v>
      </c>
      <c r="H8" t="s">
        <v>7615</v>
      </c>
      <c r="I8" t="s">
        <v>7634</v>
      </c>
      <c r="J8" t="s">
        <v>4056</v>
      </c>
      <c r="K8" t="s">
        <v>7617</v>
      </c>
    </row>
    <row r="9" spans="1:11">
      <c r="A9" t="s">
        <v>172</v>
      </c>
      <c r="B9" t="s">
        <v>7610</v>
      </c>
      <c r="C9" t="s">
        <v>7611</v>
      </c>
      <c r="D9" t="s">
        <v>7633</v>
      </c>
      <c r="E9" t="s">
        <v>6943</v>
      </c>
      <c r="F9">
        <v>99.5</v>
      </c>
      <c r="G9" t="s">
        <v>7614</v>
      </c>
      <c r="H9" t="s">
        <v>7615</v>
      </c>
      <c r="I9" t="s">
        <v>7634</v>
      </c>
      <c r="J9" t="s">
        <v>4056</v>
      </c>
      <c r="K9" t="s">
        <v>7617</v>
      </c>
    </row>
    <row r="10" spans="1:11">
      <c r="A10" t="s">
        <v>172</v>
      </c>
      <c r="B10" t="s">
        <v>7618</v>
      </c>
      <c r="C10" t="s">
        <v>7619</v>
      </c>
      <c r="D10" t="s">
        <v>7635</v>
      </c>
      <c r="E10" t="s">
        <v>5425</v>
      </c>
      <c r="F10">
        <v>79.5</v>
      </c>
      <c r="G10" t="s">
        <v>7631</v>
      </c>
      <c r="H10" t="s">
        <v>7615</v>
      </c>
      <c r="I10" t="s">
        <v>7636</v>
      </c>
      <c r="J10" t="s">
        <v>4057</v>
      </c>
      <c r="K10" t="s">
        <v>7617</v>
      </c>
    </row>
    <row r="11" spans="1:11">
      <c r="A11" t="s">
        <v>172</v>
      </c>
      <c r="B11" t="s">
        <v>7618</v>
      </c>
      <c r="C11" t="s">
        <v>7619</v>
      </c>
      <c r="D11" t="s">
        <v>7635</v>
      </c>
      <c r="E11" t="s">
        <v>6943</v>
      </c>
      <c r="F11">
        <v>86.6</v>
      </c>
      <c r="G11" t="s">
        <v>7631</v>
      </c>
      <c r="H11" t="s">
        <v>7615</v>
      </c>
      <c r="I11" t="s">
        <v>7636</v>
      </c>
      <c r="J11" t="s">
        <v>4057</v>
      </c>
      <c r="K11" t="s">
        <v>7617</v>
      </c>
    </row>
    <row r="12" spans="1:11">
      <c r="A12" t="s">
        <v>179</v>
      </c>
      <c r="B12" t="s">
        <v>7610</v>
      </c>
      <c r="C12" t="s">
        <v>7611</v>
      </c>
      <c r="D12" t="s">
        <v>4565</v>
      </c>
      <c r="E12" t="s">
        <v>5425</v>
      </c>
      <c r="F12">
        <v>99.9</v>
      </c>
      <c r="G12" t="s">
        <v>7614</v>
      </c>
      <c r="H12" t="s">
        <v>7615</v>
      </c>
      <c r="I12" t="s">
        <v>7637</v>
      </c>
      <c r="J12" t="s">
        <v>4056</v>
      </c>
      <c r="K12" t="s">
        <v>7617</v>
      </c>
    </row>
    <row r="13" spans="1:11">
      <c r="A13" t="s">
        <v>179</v>
      </c>
      <c r="B13" t="s">
        <v>7610</v>
      </c>
      <c r="C13" t="s">
        <v>7611</v>
      </c>
      <c r="D13" t="s">
        <v>4565</v>
      </c>
      <c r="E13" t="s">
        <v>6943</v>
      </c>
      <c r="F13">
        <v>100</v>
      </c>
      <c r="G13" t="s">
        <v>7614</v>
      </c>
      <c r="H13" t="s">
        <v>7615</v>
      </c>
      <c r="I13" t="s">
        <v>7637</v>
      </c>
      <c r="J13" t="s">
        <v>4056</v>
      </c>
      <c r="K13" t="s">
        <v>7617</v>
      </c>
    </row>
    <row r="14" spans="1:11">
      <c r="A14" t="s">
        <v>179</v>
      </c>
      <c r="B14" t="s">
        <v>7618</v>
      </c>
      <c r="C14" t="s">
        <v>7048</v>
      </c>
      <c r="D14" t="s">
        <v>4570</v>
      </c>
      <c r="E14" t="s">
        <v>5425</v>
      </c>
      <c r="F14">
        <v>93</v>
      </c>
      <c r="G14" t="s">
        <v>7631</v>
      </c>
      <c r="H14" t="s">
        <v>7615</v>
      </c>
      <c r="I14" t="s">
        <v>7638</v>
      </c>
      <c r="J14" t="s">
        <v>4057</v>
      </c>
      <c r="K14" t="s">
        <v>7617</v>
      </c>
    </row>
    <row r="15" spans="1:11">
      <c r="A15" t="s">
        <v>179</v>
      </c>
      <c r="B15" t="s">
        <v>7618</v>
      </c>
      <c r="C15" t="s">
        <v>7048</v>
      </c>
      <c r="D15" t="s">
        <v>4570</v>
      </c>
      <c r="E15" t="s">
        <v>6943</v>
      </c>
      <c r="F15">
        <v>98.4</v>
      </c>
      <c r="G15" t="s">
        <v>7631</v>
      </c>
      <c r="H15" t="s">
        <v>7615</v>
      </c>
      <c r="I15" t="s">
        <v>7638</v>
      </c>
      <c r="J15" t="s">
        <v>4057</v>
      </c>
      <c r="K15" t="s">
        <v>7617</v>
      </c>
    </row>
    <row r="16" spans="1:11">
      <c r="A16" t="s">
        <v>179</v>
      </c>
      <c r="B16" t="s">
        <v>7629</v>
      </c>
      <c r="C16" t="s">
        <v>7639</v>
      </c>
      <c r="D16" t="s">
        <v>7640</v>
      </c>
      <c r="E16" t="s">
        <v>5425</v>
      </c>
      <c r="F16">
        <v>88.3</v>
      </c>
      <c r="G16" t="s">
        <v>7614</v>
      </c>
      <c r="H16" t="s">
        <v>7615</v>
      </c>
      <c r="I16" t="s">
        <v>7641</v>
      </c>
      <c r="J16" t="s">
        <v>4058</v>
      </c>
      <c r="K16" t="s">
        <v>7617</v>
      </c>
    </row>
    <row r="17" spans="1:11">
      <c r="A17" t="s">
        <v>196</v>
      </c>
      <c r="B17" t="s">
        <v>7610</v>
      </c>
      <c r="C17" t="s">
        <v>7611</v>
      </c>
      <c r="D17" t="s">
        <v>7627</v>
      </c>
      <c r="E17" t="s">
        <v>5425</v>
      </c>
      <c r="F17">
        <v>99.9</v>
      </c>
      <c r="G17" t="s">
        <v>7614</v>
      </c>
      <c r="H17" t="s">
        <v>7615</v>
      </c>
      <c r="I17" t="s">
        <v>7642</v>
      </c>
      <c r="J17" t="s">
        <v>4056</v>
      </c>
      <c r="K17" t="s">
        <v>7617</v>
      </c>
    </row>
    <row r="18" spans="1:11">
      <c r="A18" t="s">
        <v>196</v>
      </c>
      <c r="B18" t="s">
        <v>7610</v>
      </c>
      <c r="C18" t="s">
        <v>7611</v>
      </c>
      <c r="D18" t="s">
        <v>7627</v>
      </c>
      <c r="E18" t="s">
        <v>6943</v>
      </c>
      <c r="F18">
        <v>100</v>
      </c>
      <c r="G18" t="s">
        <v>7614</v>
      </c>
      <c r="H18" t="s">
        <v>7615</v>
      </c>
      <c r="I18" t="s">
        <v>7642</v>
      </c>
      <c r="J18" t="s">
        <v>4056</v>
      </c>
      <c r="K18" t="s">
        <v>7617</v>
      </c>
    </row>
    <row r="19" spans="1:11">
      <c r="A19" t="s">
        <v>196</v>
      </c>
      <c r="B19" t="s">
        <v>7618</v>
      </c>
      <c r="C19" t="s">
        <v>7619</v>
      </c>
      <c r="D19" t="s">
        <v>7643</v>
      </c>
      <c r="E19" t="s">
        <v>5425</v>
      </c>
      <c r="F19">
        <v>84.5</v>
      </c>
      <c r="G19" t="s">
        <v>7631</v>
      </c>
      <c r="H19" t="s">
        <v>7615</v>
      </c>
      <c r="I19" t="s">
        <v>7644</v>
      </c>
      <c r="J19" t="s">
        <v>4057</v>
      </c>
      <c r="K19" t="s">
        <v>7617</v>
      </c>
    </row>
    <row r="20" spans="1:11">
      <c r="A20" t="s">
        <v>196</v>
      </c>
      <c r="B20" t="s">
        <v>7618</v>
      </c>
      <c r="C20" t="s">
        <v>7619</v>
      </c>
      <c r="D20" t="s">
        <v>7643</v>
      </c>
      <c r="E20" t="s">
        <v>6943</v>
      </c>
      <c r="F20">
        <v>97.3</v>
      </c>
      <c r="G20" t="s">
        <v>7631</v>
      </c>
      <c r="H20" t="s">
        <v>7615</v>
      </c>
      <c r="I20" t="s">
        <v>7644</v>
      </c>
      <c r="J20" t="s">
        <v>4057</v>
      </c>
      <c r="K20" t="s">
        <v>7617</v>
      </c>
    </row>
    <row r="21" spans="1:11">
      <c r="A21" t="s">
        <v>203</v>
      </c>
      <c r="B21" t="s">
        <v>7610</v>
      </c>
      <c r="C21" t="s">
        <v>7611</v>
      </c>
      <c r="D21" t="s">
        <v>7645</v>
      </c>
      <c r="E21" t="s">
        <v>5425</v>
      </c>
      <c r="F21">
        <v>99.12</v>
      </c>
      <c r="G21" t="s">
        <v>7614</v>
      </c>
      <c r="H21" t="s">
        <v>7623</v>
      </c>
      <c r="I21" t="s">
        <v>7646</v>
      </c>
      <c r="J21" t="s">
        <v>4056</v>
      </c>
      <c r="K21" t="s">
        <v>7617</v>
      </c>
    </row>
    <row r="22" spans="1:11">
      <c r="A22" t="s">
        <v>211</v>
      </c>
      <c r="B22" t="s">
        <v>7610</v>
      </c>
      <c r="C22" t="s">
        <v>7611</v>
      </c>
      <c r="D22" t="s">
        <v>4565</v>
      </c>
      <c r="E22" t="s">
        <v>5425</v>
      </c>
      <c r="F22">
        <v>99.94</v>
      </c>
      <c r="G22" t="s">
        <v>7614</v>
      </c>
      <c r="H22" t="s">
        <v>7615</v>
      </c>
      <c r="I22" t="s">
        <v>7647</v>
      </c>
      <c r="J22" t="s">
        <v>4056</v>
      </c>
      <c r="K22" t="s">
        <v>7617</v>
      </c>
    </row>
    <row r="23" spans="1:11">
      <c r="A23" t="s">
        <v>211</v>
      </c>
      <c r="B23" t="s">
        <v>7618</v>
      </c>
      <c r="C23" t="s">
        <v>7648</v>
      </c>
      <c r="D23" t="s">
        <v>7643</v>
      </c>
      <c r="E23" t="s">
        <v>5425</v>
      </c>
      <c r="F23">
        <v>82.71</v>
      </c>
      <c r="G23" t="s">
        <v>7631</v>
      </c>
      <c r="H23" t="s">
        <v>7615</v>
      </c>
      <c r="I23" t="s">
        <v>7649</v>
      </c>
      <c r="J23" t="s">
        <v>4057</v>
      </c>
      <c r="K23" t="s">
        <v>7617</v>
      </c>
    </row>
    <row r="24" spans="1:11">
      <c r="A24" t="s">
        <v>228</v>
      </c>
      <c r="B24" t="s">
        <v>7618</v>
      </c>
      <c r="C24" t="s">
        <v>7048</v>
      </c>
      <c r="D24" t="s">
        <v>7650</v>
      </c>
      <c r="E24" t="s">
        <v>5425</v>
      </c>
      <c r="F24">
        <v>72</v>
      </c>
      <c r="G24" t="s">
        <v>7631</v>
      </c>
      <c r="H24" t="s">
        <v>7623</v>
      </c>
      <c r="I24" t="s">
        <v>7651</v>
      </c>
      <c r="J24" t="s">
        <v>4057</v>
      </c>
      <c r="K24" t="s">
        <v>7617</v>
      </c>
    </row>
    <row r="25" spans="1:11">
      <c r="A25" t="s">
        <v>228</v>
      </c>
      <c r="B25" t="s">
        <v>7618</v>
      </c>
      <c r="C25" t="s">
        <v>7048</v>
      </c>
      <c r="D25" t="s">
        <v>7650</v>
      </c>
      <c r="E25" t="s">
        <v>6943</v>
      </c>
      <c r="F25">
        <v>86.14</v>
      </c>
      <c r="G25" t="s">
        <v>7631</v>
      </c>
      <c r="H25" t="s">
        <v>7623</v>
      </c>
      <c r="I25" t="s">
        <v>7651</v>
      </c>
      <c r="J25" t="s">
        <v>4057</v>
      </c>
      <c r="K25" t="s">
        <v>7617</v>
      </c>
    </row>
    <row r="26" spans="1:11">
      <c r="A26" t="s">
        <v>244</v>
      </c>
      <c r="B26" t="s">
        <v>7629</v>
      </c>
      <c r="C26" t="s">
        <v>7639</v>
      </c>
      <c r="D26" t="s">
        <v>7652</v>
      </c>
      <c r="E26" t="s">
        <v>5425</v>
      </c>
      <c r="F26">
        <v>98.29</v>
      </c>
      <c r="G26" t="s">
        <v>7614</v>
      </c>
      <c r="H26" t="s">
        <v>7623</v>
      </c>
      <c r="I26" t="s">
        <v>7653</v>
      </c>
      <c r="J26" t="s">
        <v>4058</v>
      </c>
      <c r="K26" t="s">
        <v>7617</v>
      </c>
    </row>
    <row r="27" spans="1:11">
      <c r="A27" t="s">
        <v>260</v>
      </c>
      <c r="B27" t="s">
        <v>7610</v>
      </c>
      <c r="C27" t="s">
        <v>7611</v>
      </c>
      <c r="D27" t="s">
        <v>7654</v>
      </c>
      <c r="E27" t="s">
        <v>5425</v>
      </c>
      <c r="F27">
        <v>97.93</v>
      </c>
      <c r="G27" t="s">
        <v>7614</v>
      </c>
      <c r="H27" t="s">
        <v>7615</v>
      </c>
      <c r="I27" t="s">
        <v>7655</v>
      </c>
      <c r="J27" t="s">
        <v>4056</v>
      </c>
      <c r="K27" t="s">
        <v>7617</v>
      </c>
    </row>
    <row r="28" spans="1:11">
      <c r="A28" t="s">
        <v>260</v>
      </c>
      <c r="B28" t="s">
        <v>7610</v>
      </c>
      <c r="C28" t="s">
        <v>7611</v>
      </c>
      <c r="D28" t="s">
        <v>7654</v>
      </c>
      <c r="E28" t="s">
        <v>7613</v>
      </c>
      <c r="F28">
        <v>98.8</v>
      </c>
      <c r="G28" t="s">
        <v>7614</v>
      </c>
      <c r="H28" t="s">
        <v>7615</v>
      </c>
      <c r="I28" t="s">
        <v>7656</v>
      </c>
      <c r="J28" t="s">
        <v>4056</v>
      </c>
      <c r="K28" t="s">
        <v>7617</v>
      </c>
    </row>
    <row r="29" spans="1:11">
      <c r="A29" t="s">
        <v>260</v>
      </c>
      <c r="B29" t="s">
        <v>7618</v>
      </c>
      <c r="C29" t="s">
        <v>7648</v>
      </c>
      <c r="D29" t="s">
        <v>7657</v>
      </c>
      <c r="E29" t="s">
        <v>5425</v>
      </c>
      <c r="F29">
        <v>94.18</v>
      </c>
      <c r="G29" t="s">
        <v>7614</v>
      </c>
      <c r="H29" t="s">
        <v>7615</v>
      </c>
      <c r="I29" t="s">
        <v>7658</v>
      </c>
      <c r="J29" t="s">
        <v>4057</v>
      </c>
      <c r="K29" t="s">
        <v>7617</v>
      </c>
    </row>
    <row r="30" spans="1:11">
      <c r="A30" t="s">
        <v>260</v>
      </c>
      <c r="B30" t="s">
        <v>7618</v>
      </c>
      <c r="C30" t="s">
        <v>7648</v>
      </c>
      <c r="D30" t="s">
        <v>7659</v>
      </c>
      <c r="E30" t="s">
        <v>5425</v>
      </c>
      <c r="F30">
        <v>91.87</v>
      </c>
      <c r="G30" t="s">
        <v>7614</v>
      </c>
      <c r="H30" t="s">
        <v>7615</v>
      </c>
      <c r="I30" t="s">
        <v>7660</v>
      </c>
      <c r="J30" t="s">
        <v>4057</v>
      </c>
      <c r="K30" t="s">
        <v>7617</v>
      </c>
    </row>
    <row r="31" spans="1:11">
      <c r="A31" t="s">
        <v>260</v>
      </c>
      <c r="B31" t="s">
        <v>7618</v>
      </c>
      <c r="C31" t="s">
        <v>7648</v>
      </c>
      <c r="D31" t="s">
        <v>7661</v>
      </c>
      <c r="E31" t="s">
        <v>5425</v>
      </c>
      <c r="F31">
        <v>89.45</v>
      </c>
      <c r="G31" t="s">
        <v>7614</v>
      </c>
      <c r="H31" t="s">
        <v>7615</v>
      </c>
      <c r="I31" t="s">
        <v>7662</v>
      </c>
      <c r="J31" t="s">
        <v>4057</v>
      </c>
      <c r="K31" t="s">
        <v>7617</v>
      </c>
    </row>
    <row r="32" spans="1:11">
      <c r="A32" t="s">
        <v>260</v>
      </c>
      <c r="B32" t="s">
        <v>7618</v>
      </c>
      <c r="C32" t="s">
        <v>7648</v>
      </c>
      <c r="D32" t="s">
        <v>7657</v>
      </c>
      <c r="E32" t="s">
        <v>7613</v>
      </c>
      <c r="F32">
        <v>97</v>
      </c>
      <c r="G32" t="s">
        <v>7614</v>
      </c>
      <c r="H32" t="s">
        <v>7615</v>
      </c>
      <c r="I32" t="s">
        <v>7663</v>
      </c>
      <c r="J32" t="s">
        <v>4057</v>
      </c>
      <c r="K32" t="s">
        <v>7617</v>
      </c>
    </row>
    <row r="33" spans="1:11">
      <c r="A33" t="s">
        <v>260</v>
      </c>
      <c r="B33" t="s">
        <v>7618</v>
      </c>
      <c r="C33" t="s">
        <v>7648</v>
      </c>
      <c r="D33" t="s">
        <v>7659</v>
      </c>
      <c r="E33" t="s">
        <v>7613</v>
      </c>
      <c r="F33">
        <v>96.1</v>
      </c>
      <c r="G33" t="s">
        <v>7614</v>
      </c>
      <c r="H33" t="s">
        <v>7615</v>
      </c>
      <c r="I33" t="s">
        <v>7664</v>
      </c>
      <c r="J33" t="s">
        <v>4057</v>
      </c>
      <c r="K33" t="s">
        <v>7617</v>
      </c>
    </row>
    <row r="34" spans="1:11">
      <c r="A34" t="s">
        <v>260</v>
      </c>
      <c r="B34" t="s">
        <v>7618</v>
      </c>
      <c r="C34" t="s">
        <v>7648</v>
      </c>
      <c r="D34" t="s">
        <v>7661</v>
      </c>
      <c r="E34" t="s">
        <v>7613</v>
      </c>
      <c r="F34">
        <v>94.9</v>
      </c>
      <c r="G34" t="s">
        <v>7614</v>
      </c>
      <c r="H34" t="s">
        <v>7615</v>
      </c>
      <c r="I34" t="s">
        <v>7665</v>
      </c>
      <c r="J34" t="s">
        <v>4057</v>
      </c>
      <c r="K34" t="s">
        <v>7617</v>
      </c>
    </row>
    <row r="35" spans="1:11">
      <c r="A35" t="s">
        <v>266</v>
      </c>
      <c r="B35" t="s">
        <v>7610</v>
      </c>
      <c r="C35" t="s">
        <v>7611</v>
      </c>
      <c r="D35" t="s">
        <v>7666</v>
      </c>
      <c r="E35" t="s">
        <v>5425</v>
      </c>
      <c r="F35">
        <v>98</v>
      </c>
      <c r="G35" t="s">
        <v>7614</v>
      </c>
      <c r="H35" t="s">
        <v>7615</v>
      </c>
      <c r="I35" t="s">
        <v>7667</v>
      </c>
      <c r="J35" t="s">
        <v>4056</v>
      </c>
      <c r="K35" t="s">
        <v>7617</v>
      </c>
    </row>
    <row r="36" spans="1:11">
      <c r="A36" t="s">
        <v>266</v>
      </c>
      <c r="B36" t="s">
        <v>7610</v>
      </c>
      <c r="C36" t="s">
        <v>7611</v>
      </c>
      <c r="D36" t="s">
        <v>7666</v>
      </c>
      <c r="E36" t="s">
        <v>6943</v>
      </c>
      <c r="F36">
        <v>96.37</v>
      </c>
      <c r="G36" t="s">
        <v>7614</v>
      </c>
      <c r="H36" t="s">
        <v>7615</v>
      </c>
      <c r="I36" t="s">
        <v>7667</v>
      </c>
      <c r="J36" t="s">
        <v>4056</v>
      </c>
      <c r="K36" t="s">
        <v>7617</v>
      </c>
    </row>
    <row r="37" spans="1:11">
      <c r="A37" t="s">
        <v>266</v>
      </c>
      <c r="B37" t="s">
        <v>7618</v>
      </c>
      <c r="C37" t="s">
        <v>7619</v>
      </c>
      <c r="D37" t="s">
        <v>7668</v>
      </c>
      <c r="E37" t="s">
        <v>5425</v>
      </c>
      <c r="F37">
        <v>80.83</v>
      </c>
      <c r="G37" t="s">
        <v>7631</v>
      </c>
      <c r="H37" t="s">
        <v>7615</v>
      </c>
      <c r="I37" t="s">
        <v>7669</v>
      </c>
      <c r="J37" t="s">
        <v>4057</v>
      </c>
      <c r="K37" t="s">
        <v>7617</v>
      </c>
    </row>
    <row r="38" spans="1:11">
      <c r="A38" t="s">
        <v>266</v>
      </c>
      <c r="B38" t="s">
        <v>7618</v>
      </c>
      <c r="C38" t="s">
        <v>7619</v>
      </c>
      <c r="D38" t="s">
        <v>7668</v>
      </c>
      <c r="E38" t="s">
        <v>6943</v>
      </c>
      <c r="F38">
        <v>75.150000000000006</v>
      </c>
      <c r="G38" t="s">
        <v>7631</v>
      </c>
      <c r="H38" t="s">
        <v>7615</v>
      </c>
      <c r="I38" t="s">
        <v>7669</v>
      </c>
      <c r="J38" t="s">
        <v>4057</v>
      </c>
      <c r="K38" t="s">
        <v>7617</v>
      </c>
    </row>
    <row r="39" spans="1:11">
      <c r="A39" t="s">
        <v>274</v>
      </c>
      <c r="B39" t="s">
        <v>7618</v>
      </c>
      <c r="C39" t="s">
        <v>7048</v>
      </c>
      <c r="D39" t="s">
        <v>7670</v>
      </c>
      <c r="E39" t="s">
        <v>5425</v>
      </c>
      <c r="F39">
        <v>90.78</v>
      </c>
      <c r="G39" t="s">
        <v>7631</v>
      </c>
      <c r="H39" t="s">
        <v>7623</v>
      </c>
      <c r="I39" t="s">
        <v>7671</v>
      </c>
      <c r="J39" t="s">
        <v>4057</v>
      </c>
      <c r="K39" t="s">
        <v>7617</v>
      </c>
    </row>
    <row r="40" spans="1:11">
      <c r="A40" t="s">
        <v>282</v>
      </c>
      <c r="B40" t="s">
        <v>7610</v>
      </c>
      <c r="C40" t="s">
        <v>7611</v>
      </c>
      <c r="D40" t="s">
        <v>4411</v>
      </c>
      <c r="E40" t="s">
        <v>7613</v>
      </c>
      <c r="F40">
        <v>100</v>
      </c>
      <c r="G40" t="s">
        <v>7614</v>
      </c>
      <c r="H40" t="s">
        <v>7615</v>
      </c>
      <c r="I40" t="s">
        <v>7672</v>
      </c>
      <c r="J40" t="s">
        <v>4056</v>
      </c>
      <c r="K40" t="s">
        <v>7617</v>
      </c>
    </row>
    <row r="41" spans="1:11">
      <c r="A41" t="s">
        <v>282</v>
      </c>
      <c r="B41" t="s">
        <v>7618</v>
      </c>
      <c r="C41" t="s">
        <v>7619</v>
      </c>
      <c r="D41" t="s">
        <v>4565</v>
      </c>
      <c r="E41" t="s">
        <v>7613</v>
      </c>
      <c r="F41">
        <v>99.7</v>
      </c>
      <c r="G41" t="s">
        <v>7614</v>
      </c>
      <c r="H41" t="s">
        <v>7615</v>
      </c>
      <c r="I41" t="s">
        <v>7673</v>
      </c>
      <c r="J41" t="s">
        <v>4057</v>
      </c>
      <c r="K41" t="s">
        <v>7617</v>
      </c>
    </row>
    <row r="42" spans="1:11">
      <c r="A42" t="s">
        <v>282</v>
      </c>
      <c r="B42" t="s">
        <v>7618</v>
      </c>
      <c r="C42" t="s">
        <v>7619</v>
      </c>
      <c r="D42" t="s">
        <v>5375</v>
      </c>
      <c r="E42" t="s">
        <v>7613</v>
      </c>
      <c r="F42">
        <v>99.6</v>
      </c>
      <c r="G42" t="s">
        <v>7614</v>
      </c>
      <c r="H42" t="s">
        <v>7615</v>
      </c>
      <c r="I42" t="s">
        <v>7674</v>
      </c>
      <c r="J42" t="s">
        <v>4057</v>
      </c>
      <c r="K42" t="s">
        <v>7617</v>
      </c>
    </row>
    <row r="43" spans="1:11">
      <c r="A43" t="s">
        <v>289</v>
      </c>
      <c r="B43" t="s">
        <v>7610</v>
      </c>
      <c r="C43" t="s">
        <v>7611</v>
      </c>
      <c r="D43" t="s">
        <v>7675</v>
      </c>
      <c r="E43" t="s">
        <v>7676</v>
      </c>
      <c r="F43">
        <v>98.96</v>
      </c>
      <c r="G43" t="s">
        <v>7614</v>
      </c>
      <c r="H43" t="s">
        <v>7623</v>
      </c>
      <c r="I43" t="s">
        <v>7677</v>
      </c>
      <c r="J43" t="s">
        <v>4056</v>
      </c>
      <c r="K43" t="s">
        <v>7617</v>
      </c>
    </row>
    <row r="44" spans="1:11">
      <c r="A44" t="s">
        <v>314</v>
      </c>
      <c r="B44" t="s">
        <v>7618</v>
      </c>
      <c r="C44" t="s">
        <v>7648</v>
      </c>
      <c r="D44" t="s">
        <v>7678</v>
      </c>
      <c r="E44" t="s">
        <v>5425</v>
      </c>
      <c r="F44">
        <v>75.91</v>
      </c>
      <c r="G44" t="s">
        <v>7631</v>
      </c>
      <c r="H44" t="s">
        <v>7623</v>
      </c>
      <c r="I44" t="s">
        <v>7679</v>
      </c>
      <c r="J44" t="s">
        <v>4057</v>
      </c>
      <c r="K44" t="s">
        <v>7617</v>
      </c>
    </row>
    <row r="45" spans="1:11">
      <c r="A45" t="s">
        <v>314</v>
      </c>
      <c r="B45" t="s">
        <v>7618</v>
      </c>
      <c r="C45" t="s">
        <v>7648</v>
      </c>
      <c r="D45" t="s">
        <v>7678</v>
      </c>
      <c r="E45" t="s">
        <v>7613</v>
      </c>
      <c r="F45">
        <v>90.85</v>
      </c>
      <c r="G45" t="s">
        <v>7631</v>
      </c>
      <c r="H45" t="s">
        <v>7623</v>
      </c>
      <c r="I45" t="s">
        <v>7679</v>
      </c>
      <c r="J45" t="s">
        <v>4057</v>
      </c>
      <c r="K45" t="s">
        <v>7617</v>
      </c>
    </row>
    <row r="46" spans="1:11">
      <c r="A46" t="s">
        <v>345</v>
      </c>
      <c r="B46" t="s">
        <v>7610</v>
      </c>
      <c r="C46" t="s">
        <v>7611</v>
      </c>
      <c r="D46" t="s">
        <v>7680</v>
      </c>
      <c r="E46" t="s">
        <v>5425</v>
      </c>
      <c r="F46">
        <v>79.2</v>
      </c>
      <c r="G46" t="s">
        <v>7614</v>
      </c>
      <c r="H46" t="s">
        <v>7623</v>
      </c>
      <c r="I46" t="s">
        <v>7681</v>
      </c>
      <c r="J46" t="s">
        <v>4056</v>
      </c>
      <c r="K46" t="s">
        <v>7617</v>
      </c>
    </row>
    <row r="47" spans="1:11">
      <c r="A47" t="s">
        <v>362</v>
      </c>
      <c r="B47" t="s">
        <v>7610</v>
      </c>
      <c r="C47" t="s">
        <v>7611</v>
      </c>
      <c r="D47" t="s">
        <v>4503</v>
      </c>
      <c r="E47" t="s">
        <v>5425</v>
      </c>
      <c r="F47">
        <v>99.8</v>
      </c>
      <c r="G47" t="s">
        <v>7614</v>
      </c>
      <c r="H47" t="s">
        <v>7615</v>
      </c>
      <c r="I47" t="s">
        <v>4513</v>
      </c>
      <c r="J47" t="s">
        <v>4056</v>
      </c>
      <c r="K47" t="s">
        <v>7617</v>
      </c>
    </row>
    <row r="48" spans="1:11">
      <c r="A48" t="s">
        <v>362</v>
      </c>
      <c r="B48" t="s">
        <v>7618</v>
      </c>
      <c r="C48" t="s">
        <v>7619</v>
      </c>
      <c r="D48" t="s">
        <v>7682</v>
      </c>
      <c r="E48" t="s">
        <v>5425</v>
      </c>
      <c r="F48">
        <v>66.02</v>
      </c>
      <c r="G48" t="s">
        <v>7614</v>
      </c>
      <c r="H48" t="s">
        <v>7615</v>
      </c>
      <c r="I48" t="s">
        <v>7683</v>
      </c>
      <c r="J48" t="s">
        <v>4057</v>
      </c>
      <c r="K48" t="s">
        <v>7617</v>
      </c>
    </row>
    <row r="49" spans="1:11">
      <c r="A49" t="s">
        <v>362</v>
      </c>
      <c r="B49" t="s">
        <v>7618</v>
      </c>
      <c r="C49" t="s">
        <v>7619</v>
      </c>
      <c r="D49" t="s">
        <v>7684</v>
      </c>
      <c r="E49" t="s">
        <v>5425</v>
      </c>
      <c r="F49">
        <v>73.61</v>
      </c>
      <c r="G49" t="s">
        <v>7614</v>
      </c>
      <c r="H49" t="s">
        <v>7615</v>
      </c>
      <c r="I49" t="s">
        <v>7685</v>
      </c>
      <c r="J49" t="s">
        <v>4057</v>
      </c>
      <c r="K49" t="s">
        <v>7617</v>
      </c>
    </row>
    <row r="50" spans="1:11">
      <c r="A50" t="s">
        <v>362</v>
      </c>
      <c r="B50" t="s">
        <v>7618</v>
      </c>
      <c r="C50" t="s">
        <v>7619</v>
      </c>
      <c r="D50" t="s">
        <v>7686</v>
      </c>
      <c r="E50" t="s">
        <v>5425</v>
      </c>
      <c r="F50">
        <v>57.17</v>
      </c>
      <c r="G50" t="s">
        <v>7614</v>
      </c>
      <c r="H50" t="s">
        <v>7615</v>
      </c>
      <c r="I50" t="s">
        <v>7687</v>
      </c>
      <c r="J50" t="s">
        <v>4057</v>
      </c>
      <c r="K50" t="s">
        <v>7617</v>
      </c>
    </row>
    <row r="51" spans="1:11">
      <c r="A51" t="s">
        <v>362</v>
      </c>
      <c r="B51" t="s">
        <v>7618</v>
      </c>
      <c r="C51" t="s">
        <v>7619</v>
      </c>
      <c r="D51" t="s">
        <v>7688</v>
      </c>
      <c r="E51" t="s">
        <v>5425</v>
      </c>
      <c r="F51">
        <v>55.97</v>
      </c>
      <c r="G51" t="s">
        <v>7614</v>
      </c>
      <c r="H51" t="s">
        <v>7615</v>
      </c>
      <c r="I51" t="s">
        <v>7689</v>
      </c>
      <c r="J51" t="s">
        <v>4057</v>
      </c>
      <c r="K51" t="s">
        <v>7617</v>
      </c>
    </row>
    <row r="52" spans="1:11">
      <c r="A52" t="s">
        <v>362</v>
      </c>
      <c r="B52" t="s">
        <v>7618</v>
      </c>
      <c r="C52" t="s">
        <v>7619</v>
      </c>
      <c r="D52" t="s">
        <v>5375</v>
      </c>
      <c r="E52" t="s">
        <v>5425</v>
      </c>
      <c r="F52">
        <v>45.34</v>
      </c>
      <c r="G52" t="s">
        <v>7614</v>
      </c>
      <c r="H52" t="s">
        <v>7615</v>
      </c>
      <c r="I52" t="s">
        <v>7690</v>
      </c>
      <c r="J52" t="s">
        <v>4057</v>
      </c>
      <c r="K52" t="s">
        <v>7617</v>
      </c>
    </row>
    <row r="53" spans="1:11">
      <c r="A53" t="s">
        <v>377</v>
      </c>
      <c r="B53" t="s">
        <v>7618</v>
      </c>
      <c r="C53" t="s">
        <v>7048</v>
      </c>
      <c r="D53" t="s">
        <v>7691</v>
      </c>
      <c r="E53" t="s">
        <v>5425</v>
      </c>
      <c r="F53">
        <v>96.5</v>
      </c>
      <c r="G53" t="s">
        <v>7631</v>
      </c>
      <c r="H53" t="s">
        <v>7623</v>
      </c>
      <c r="I53" t="s">
        <v>7692</v>
      </c>
      <c r="J53" t="s">
        <v>4057</v>
      </c>
      <c r="K53" t="s">
        <v>7617</v>
      </c>
    </row>
    <row r="54" spans="1:11">
      <c r="A54" t="s">
        <v>377</v>
      </c>
      <c r="B54" t="s">
        <v>7618</v>
      </c>
      <c r="C54" t="s">
        <v>7048</v>
      </c>
      <c r="D54" t="s">
        <v>7691</v>
      </c>
      <c r="E54" t="s">
        <v>6943</v>
      </c>
      <c r="F54">
        <v>98.8</v>
      </c>
      <c r="G54" t="s">
        <v>7631</v>
      </c>
      <c r="H54" t="s">
        <v>7623</v>
      </c>
      <c r="I54" t="s">
        <v>7692</v>
      </c>
      <c r="J54" t="s">
        <v>4057</v>
      </c>
      <c r="K54" t="s">
        <v>7617</v>
      </c>
    </row>
    <row r="55" spans="1:11">
      <c r="A55" t="s">
        <v>377</v>
      </c>
      <c r="B55" t="s">
        <v>7618</v>
      </c>
      <c r="C55" t="s">
        <v>7648</v>
      </c>
      <c r="D55" t="s">
        <v>7693</v>
      </c>
      <c r="E55" t="s">
        <v>5425</v>
      </c>
      <c r="F55">
        <v>62.1</v>
      </c>
      <c r="G55" t="s">
        <v>7614</v>
      </c>
      <c r="H55" t="s">
        <v>7623</v>
      </c>
      <c r="I55" t="s">
        <v>7694</v>
      </c>
      <c r="J55" t="s">
        <v>4057</v>
      </c>
      <c r="K55" t="s">
        <v>7617</v>
      </c>
    </row>
    <row r="56" spans="1:11">
      <c r="A56" t="s">
        <v>385</v>
      </c>
      <c r="B56" t="s">
        <v>7618</v>
      </c>
      <c r="C56" t="s">
        <v>7048</v>
      </c>
      <c r="D56" t="s">
        <v>7695</v>
      </c>
      <c r="E56" t="s">
        <v>5425</v>
      </c>
      <c r="F56">
        <v>94.3</v>
      </c>
      <c r="G56" t="s">
        <v>7631</v>
      </c>
      <c r="H56" t="s">
        <v>7623</v>
      </c>
      <c r="I56" t="s">
        <v>7696</v>
      </c>
      <c r="J56" t="s">
        <v>4057</v>
      </c>
      <c r="K56" t="s">
        <v>7617</v>
      </c>
    </row>
    <row r="57" spans="1:11">
      <c r="A57" t="s">
        <v>385</v>
      </c>
      <c r="B57" t="s">
        <v>7618</v>
      </c>
      <c r="C57" t="s">
        <v>7048</v>
      </c>
      <c r="D57" t="s">
        <v>7695</v>
      </c>
      <c r="E57" t="s">
        <v>6943</v>
      </c>
      <c r="F57">
        <v>99.2</v>
      </c>
      <c r="G57" t="s">
        <v>7631</v>
      </c>
      <c r="H57" t="s">
        <v>7623</v>
      </c>
      <c r="I57" t="s">
        <v>7696</v>
      </c>
      <c r="J57" t="s">
        <v>4057</v>
      </c>
      <c r="K57" t="s">
        <v>7617</v>
      </c>
    </row>
    <row r="58" spans="1:11">
      <c r="A58" t="s">
        <v>385</v>
      </c>
      <c r="B58" t="s">
        <v>7629</v>
      </c>
      <c r="C58" t="s">
        <v>7639</v>
      </c>
      <c r="D58" t="s">
        <v>7640</v>
      </c>
      <c r="E58" t="s">
        <v>5425</v>
      </c>
      <c r="F58">
        <v>86.9</v>
      </c>
      <c r="G58" t="s">
        <v>7614</v>
      </c>
      <c r="H58" t="s">
        <v>7623</v>
      </c>
      <c r="I58" t="s">
        <v>7697</v>
      </c>
      <c r="J58" t="s">
        <v>4058</v>
      </c>
      <c r="K58" t="s">
        <v>7617</v>
      </c>
    </row>
    <row r="59" spans="1:11">
      <c r="A59" t="s">
        <v>398</v>
      </c>
      <c r="B59" t="s">
        <v>7610</v>
      </c>
      <c r="C59" t="s">
        <v>7611</v>
      </c>
      <c r="D59" t="s">
        <v>7698</v>
      </c>
      <c r="E59" t="s">
        <v>5425</v>
      </c>
      <c r="F59">
        <v>98.8</v>
      </c>
      <c r="G59" t="s">
        <v>7614</v>
      </c>
      <c r="H59" t="s">
        <v>7615</v>
      </c>
      <c r="I59" t="s">
        <v>7699</v>
      </c>
      <c r="J59" t="s">
        <v>4056</v>
      </c>
      <c r="K59" t="s">
        <v>7617</v>
      </c>
    </row>
    <row r="60" spans="1:11">
      <c r="A60" t="s">
        <v>398</v>
      </c>
      <c r="B60" t="s">
        <v>7618</v>
      </c>
      <c r="C60" t="s">
        <v>7648</v>
      </c>
      <c r="D60" t="s">
        <v>7700</v>
      </c>
      <c r="E60" t="s">
        <v>5425</v>
      </c>
      <c r="F60">
        <v>97.3</v>
      </c>
      <c r="G60" t="s">
        <v>7614</v>
      </c>
      <c r="H60" t="s">
        <v>7615</v>
      </c>
      <c r="I60" t="s">
        <v>7701</v>
      </c>
      <c r="J60" t="s">
        <v>4057</v>
      </c>
      <c r="K60" t="s">
        <v>7617</v>
      </c>
    </row>
    <row r="61" spans="1:11">
      <c r="A61" t="s">
        <v>398</v>
      </c>
      <c r="B61" t="s">
        <v>7702</v>
      </c>
      <c r="C61" t="s">
        <v>7702</v>
      </c>
      <c r="D61" t="s">
        <v>7703</v>
      </c>
      <c r="E61" t="s">
        <v>7613</v>
      </c>
      <c r="F61">
        <v>58.3</v>
      </c>
      <c r="G61" t="s">
        <v>7614</v>
      </c>
      <c r="H61" t="s">
        <v>7615</v>
      </c>
      <c r="I61" t="s">
        <v>7704</v>
      </c>
      <c r="J61" t="s">
        <v>4057</v>
      </c>
      <c r="K61" t="s">
        <v>7617</v>
      </c>
    </row>
    <row r="62" spans="1:11">
      <c r="A62" t="s">
        <v>405</v>
      </c>
      <c r="B62" t="s">
        <v>7610</v>
      </c>
      <c r="C62" t="s">
        <v>7611</v>
      </c>
      <c r="D62" t="s">
        <v>7705</v>
      </c>
      <c r="E62" t="s">
        <v>7613</v>
      </c>
      <c r="F62">
        <v>100</v>
      </c>
      <c r="G62" t="s">
        <v>7614</v>
      </c>
      <c r="H62" t="s">
        <v>7623</v>
      </c>
      <c r="I62" t="s">
        <v>4634</v>
      </c>
      <c r="J62" t="s">
        <v>4056</v>
      </c>
      <c r="K62" t="s">
        <v>7617</v>
      </c>
    </row>
    <row r="63" spans="1:11">
      <c r="A63" t="s">
        <v>405</v>
      </c>
      <c r="B63" t="s">
        <v>7702</v>
      </c>
      <c r="C63" t="s">
        <v>7702</v>
      </c>
      <c r="D63" t="s">
        <v>7706</v>
      </c>
      <c r="E63" t="s">
        <v>7613</v>
      </c>
      <c r="F63">
        <v>92</v>
      </c>
      <c r="G63" t="s">
        <v>7614</v>
      </c>
      <c r="H63" t="s">
        <v>7623</v>
      </c>
      <c r="I63" t="s">
        <v>7707</v>
      </c>
      <c r="J63" t="s">
        <v>4057</v>
      </c>
      <c r="K63" t="s">
        <v>7617</v>
      </c>
    </row>
    <row r="64" spans="1:11">
      <c r="A64" t="s">
        <v>405</v>
      </c>
      <c r="B64" t="s">
        <v>7702</v>
      </c>
      <c r="C64" t="s">
        <v>7702</v>
      </c>
      <c r="D64" t="s">
        <v>7708</v>
      </c>
      <c r="E64" t="s">
        <v>7613</v>
      </c>
      <c r="F64">
        <v>81</v>
      </c>
      <c r="G64" t="s">
        <v>7614</v>
      </c>
      <c r="H64" t="s">
        <v>7623</v>
      </c>
      <c r="I64" t="s">
        <v>7707</v>
      </c>
      <c r="J64" t="s">
        <v>4057</v>
      </c>
      <c r="K64" t="s">
        <v>7617</v>
      </c>
    </row>
    <row r="65" spans="1:11">
      <c r="A65" t="s">
        <v>405</v>
      </c>
      <c r="B65" t="s">
        <v>7702</v>
      </c>
      <c r="C65" t="s">
        <v>7702</v>
      </c>
      <c r="D65" t="s">
        <v>7709</v>
      </c>
      <c r="E65" t="s">
        <v>7613</v>
      </c>
      <c r="F65">
        <v>85</v>
      </c>
      <c r="G65" t="s">
        <v>7614</v>
      </c>
      <c r="H65" t="s">
        <v>7623</v>
      </c>
      <c r="I65" t="s">
        <v>7707</v>
      </c>
      <c r="J65" t="s">
        <v>4057</v>
      </c>
      <c r="K65" t="s">
        <v>7617</v>
      </c>
    </row>
    <row r="66" spans="1:11">
      <c r="A66" t="s">
        <v>435</v>
      </c>
      <c r="B66" t="s">
        <v>7610</v>
      </c>
      <c r="C66" t="s">
        <v>7611</v>
      </c>
      <c r="D66" t="s">
        <v>7710</v>
      </c>
      <c r="E66" t="s">
        <v>5425</v>
      </c>
      <c r="F66">
        <v>91.32</v>
      </c>
      <c r="G66" t="s">
        <v>7614</v>
      </c>
      <c r="H66" t="s">
        <v>7623</v>
      </c>
      <c r="I66" t="s">
        <v>7711</v>
      </c>
      <c r="J66" t="s">
        <v>4056</v>
      </c>
      <c r="K66" t="s">
        <v>7617</v>
      </c>
    </row>
    <row r="67" spans="1:11">
      <c r="A67" t="s">
        <v>443</v>
      </c>
      <c r="B67" t="s">
        <v>7610</v>
      </c>
      <c r="C67" t="s">
        <v>7611</v>
      </c>
      <c r="D67" t="s">
        <v>7661</v>
      </c>
      <c r="E67" t="s">
        <v>5425</v>
      </c>
      <c r="F67">
        <v>98.1</v>
      </c>
      <c r="G67" t="s">
        <v>7614</v>
      </c>
      <c r="H67" t="s">
        <v>7623</v>
      </c>
      <c r="I67" t="s">
        <v>6550</v>
      </c>
      <c r="J67" t="s">
        <v>4056</v>
      </c>
      <c r="K67" t="s">
        <v>7617</v>
      </c>
    </row>
    <row r="68" spans="1:11">
      <c r="A68" t="s">
        <v>490</v>
      </c>
      <c r="B68" t="s">
        <v>7618</v>
      </c>
      <c r="C68" t="s">
        <v>7619</v>
      </c>
      <c r="D68" t="s">
        <v>7712</v>
      </c>
      <c r="E68" t="s">
        <v>5425</v>
      </c>
      <c r="F68">
        <v>77.5</v>
      </c>
      <c r="G68" t="s">
        <v>7631</v>
      </c>
      <c r="H68" t="s">
        <v>7623</v>
      </c>
      <c r="I68" t="s">
        <v>7713</v>
      </c>
      <c r="J68" t="s">
        <v>4057</v>
      </c>
      <c r="K68" t="s">
        <v>7617</v>
      </c>
    </row>
    <row r="69" spans="1:11">
      <c r="A69" t="s">
        <v>498</v>
      </c>
      <c r="B69" t="s">
        <v>7618</v>
      </c>
      <c r="C69" t="s">
        <v>7619</v>
      </c>
      <c r="D69" t="s">
        <v>7643</v>
      </c>
      <c r="E69" t="s">
        <v>5425</v>
      </c>
      <c r="F69">
        <v>80.400000000000006</v>
      </c>
      <c r="G69" t="s">
        <v>7631</v>
      </c>
      <c r="H69" t="s">
        <v>7623</v>
      </c>
      <c r="I69" t="s">
        <v>7714</v>
      </c>
      <c r="J69" t="s">
        <v>4057</v>
      </c>
      <c r="K69" t="s">
        <v>7617</v>
      </c>
    </row>
    <row r="70" spans="1:11">
      <c r="A70" t="s">
        <v>498</v>
      </c>
      <c r="B70" t="s">
        <v>7618</v>
      </c>
      <c r="C70" t="s">
        <v>7619</v>
      </c>
      <c r="D70" t="s">
        <v>7715</v>
      </c>
      <c r="E70" t="s">
        <v>5425</v>
      </c>
      <c r="F70">
        <v>98.7</v>
      </c>
      <c r="G70" t="s">
        <v>7631</v>
      </c>
      <c r="H70" t="s">
        <v>7623</v>
      </c>
      <c r="I70" t="s">
        <v>7716</v>
      </c>
      <c r="J70" t="s">
        <v>4057</v>
      </c>
      <c r="K70" t="s">
        <v>7617</v>
      </c>
    </row>
    <row r="71" spans="1:11">
      <c r="A71" t="s">
        <v>531</v>
      </c>
      <c r="B71" t="s">
        <v>7610</v>
      </c>
      <c r="C71" t="s">
        <v>7611</v>
      </c>
      <c r="D71" t="s">
        <v>7717</v>
      </c>
      <c r="E71" t="s">
        <v>5425</v>
      </c>
      <c r="F71">
        <v>100</v>
      </c>
      <c r="G71" t="s">
        <v>7614</v>
      </c>
      <c r="H71" t="s">
        <v>7623</v>
      </c>
      <c r="I71" t="s">
        <v>7718</v>
      </c>
      <c r="J71" t="s">
        <v>4056</v>
      </c>
      <c r="K71" t="s">
        <v>7617</v>
      </c>
    </row>
    <row r="72" spans="1:11">
      <c r="A72" t="s">
        <v>531</v>
      </c>
      <c r="B72" t="s">
        <v>7629</v>
      </c>
      <c r="C72" t="s">
        <v>7719</v>
      </c>
      <c r="D72" t="s">
        <v>7720</v>
      </c>
      <c r="E72" t="s">
        <v>5425</v>
      </c>
      <c r="F72">
        <v>50</v>
      </c>
      <c r="G72" t="s">
        <v>7614</v>
      </c>
      <c r="H72" t="s">
        <v>7623</v>
      </c>
      <c r="I72" t="s">
        <v>7721</v>
      </c>
      <c r="J72" t="s">
        <v>4057</v>
      </c>
      <c r="K72" t="s">
        <v>7617</v>
      </c>
    </row>
    <row r="73" spans="1:11">
      <c r="A73" t="s">
        <v>538</v>
      </c>
      <c r="B73" t="s">
        <v>7702</v>
      </c>
      <c r="C73" t="s">
        <v>7702</v>
      </c>
      <c r="D73" t="s">
        <v>7722</v>
      </c>
      <c r="E73" t="s">
        <v>7613</v>
      </c>
      <c r="F73">
        <v>93.58</v>
      </c>
      <c r="G73" t="s">
        <v>7631</v>
      </c>
      <c r="H73" t="s">
        <v>7623</v>
      </c>
      <c r="I73" t="s">
        <v>7723</v>
      </c>
      <c r="J73" t="s">
        <v>4057</v>
      </c>
      <c r="K73" t="s">
        <v>7617</v>
      </c>
    </row>
    <row r="74" spans="1:11">
      <c r="A74" t="s">
        <v>545</v>
      </c>
      <c r="B74" t="s">
        <v>7610</v>
      </c>
      <c r="C74" t="s">
        <v>7611</v>
      </c>
      <c r="D74" t="s">
        <v>7724</v>
      </c>
      <c r="E74" t="s">
        <v>5425</v>
      </c>
      <c r="F74">
        <v>98.2</v>
      </c>
      <c r="G74" t="s">
        <v>7614</v>
      </c>
      <c r="H74" t="s">
        <v>7623</v>
      </c>
      <c r="I74" t="s">
        <v>7725</v>
      </c>
      <c r="J74" t="s">
        <v>4056</v>
      </c>
      <c r="K74" t="s">
        <v>7617</v>
      </c>
    </row>
    <row r="75" spans="1:11">
      <c r="A75" t="s">
        <v>560</v>
      </c>
      <c r="B75" t="s">
        <v>7610</v>
      </c>
      <c r="C75" t="s">
        <v>7611</v>
      </c>
      <c r="D75" t="s">
        <v>7726</v>
      </c>
      <c r="E75" t="s">
        <v>5425</v>
      </c>
      <c r="F75">
        <v>95.74</v>
      </c>
      <c r="G75" t="s">
        <v>7614</v>
      </c>
      <c r="H75" t="s">
        <v>7615</v>
      </c>
      <c r="I75" t="s">
        <v>7727</v>
      </c>
      <c r="J75" t="s">
        <v>4056</v>
      </c>
      <c r="K75" t="s">
        <v>7617</v>
      </c>
    </row>
    <row r="76" spans="1:11">
      <c r="A76" t="s">
        <v>560</v>
      </c>
      <c r="B76" t="s">
        <v>7618</v>
      </c>
      <c r="C76" t="s">
        <v>7619</v>
      </c>
      <c r="D76" t="s">
        <v>7728</v>
      </c>
      <c r="E76" t="s">
        <v>5425</v>
      </c>
      <c r="F76">
        <v>84.6</v>
      </c>
      <c r="G76" t="s">
        <v>7631</v>
      </c>
      <c r="H76" t="s">
        <v>7615</v>
      </c>
      <c r="I76" t="s">
        <v>7729</v>
      </c>
      <c r="J76" t="s">
        <v>4057</v>
      </c>
      <c r="K76" t="s">
        <v>7617</v>
      </c>
    </row>
    <row r="77" spans="1:11">
      <c r="A77" t="s">
        <v>567</v>
      </c>
      <c r="B77" t="s">
        <v>7610</v>
      </c>
      <c r="C77" t="s">
        <v>7611</v>
      </c>
      <c r="D77" t="s">
        <v>6907</v>
      </c>
      <c r="E77" t="s">
        <v>5425</v>
      </c>
      <c r="F77">
        <v>98</v>
      </c>
      <c r="G77" t="s">
        <v>7614</v>
      </c>
      <c r="H77" t="s">
        <v>7615</v>
      </c>
      <c r="I77" t="s">
        <v>6639</v>
      </c>
      <c r="J77" t="s">
        <v>4056</v>
      </c>
      <c r="K77" t="s">
        <v>7617</v>
      </c>
    </row>
    <row r="78" spans="1:11">
      <c r="A78" t="s">
        <v>567</v>
      </c>
      <c r="B78" t="s">
        <v>7610</v>
      </c>
      <c r="C78" t="s">
        <v>7611</v>
      </c>
      <c r="D78" t="s">
        <v>6907</v>
      </c>
      <c r="E78" t="s">
        <v>6943</v>
      </c>
      <c r="F78">
        <v>99.9</v>
      </c>
      <c r="G78" t="s">
        <v>7614</v>
      </c>
      <c r="H78" t="s">
        <v>7615</v>
      </c>
      <c r="I78" t="s">
        <v>6639</v>
      </c>
      <c r="J78" t="s">
        <v>4056</v>
      </c>
      <c r="K78" t="s">
        <v>7617</v>
      </c>
    </row>
    <row r="79" spans="1:11">
      <c r="A79" t="s">
        <v>567</v>
      </c>
      <c r="B79" t="s">
        <v>7618</v>
      </c>
      <c r="C79" t="s">
        <v>7619</v>
      </c>
      <c r="D79" t="s">
        <v>7730</v>
      </c>
      <c r="E79" t="s">
        <v>5425</v>
      </c>
      <c r="F79">
        <v>89.9</v>
      </c>
      <c r="G79" t="s">
        <v>7631</v>
      </c>
      <c r="H79" t="s">
        <v>7615</v>
      </c>
      <c r="I79" t="s">
        <v>7731</v>
      </c>
      <c r="J79" t="s">
        <v>4057</v>
      </c>
      <c r="K79" t="s">
        <v>7617</v>
      </c>
    </row>
    <row r="80" spans="1:11">
      <c r="A80" t="s">
        <v>567</v>
      </c>
      <c r="B80" t="s">
        <v>7618</v>
      </c>
      <c r="C80" t="s">
        <v>7619</v>
      </c>
      <c r="D80" t="s">
        <v>7730</v>
      </c>
      <c r="E80" t="s">
        <v>6943</v>
      </c>
      <c r="F80">
        <v>97.7</v>
      </c>
      <c r="G80" t="s">
        <v>7631</v>
      </c>
      <c r="H80" t="s">
        <v>7615</v>
      </c>
      <c r="I80" t="s">
        <v>7731</v>
      </c>
      <c r="J80" t="s">
        <v>4057</v>
      </c>
      <c r="K80" t="s">
        <v>7617</v>
      </c>
    </row>
    <row r="81" spans="1:11">
      <c r="A81" t="s">
        <v>567</v>
      </c>
      <c r="B81" t="s">
        <v>7618</v>
      </c>
      <c r="C81" t="s">
        <v>7619</v>
      </c>
      <c r="D81" t="s">
        <v>7732</v>
      </c>
      <c r="E81" t="s">
        <v>5425</v>
      </c>
      <c r="F81">
        <v>93.6</v>
      </c>
      <c r="G81" t="s">
        <v>7631</v>
      </c>
      <c r="H81" t="s">
        <v>7615</v>
      </c>
      <c r="I81" t="s">
        <v>7733</v>
      </c>
      <c r="J81" t="s">
        <v>4057</v>
      </c>
      <c r="K81" t="s">
        <v>7617</v>
      </c>
    </row>
    <row r="82" spans="1:11">
      <c r="A82" t="s">
        <v>567</v>
      </c>
      <c r="B82" t="s">
        <v>7618</v>
      </c>
      <c r="C82" t="s">
        <v>7619</v>
      </c>
      <c r="D82" t="s">
        <v>7732</v>
      </c>
      <c r="E82" t="s">
        <v>6943</v>
      </c>
      <c r="F82">
        <v>99.3</v>
      </c>
      <c r="G82" t="s">
        <v>7631</v>
      </c>
      <c r="H82" t="s">
        <v>7615</v>
      </c>
      <c r="I82" t="s">
        <v>7733</v>
      </c>
      <c r="J82" t="s">
        <v>4057</v>
      </c>
      <c r="K82" t="s">
        <v>7617</v>
      </c>
    </row>
    <row r="83" spans="1:11">
      <c r="A83" t="s">
        <v>583</v>
      </c>
      <c r="B83" t="s">
        <v>7618</v>
      </c>
      <c r="C83" t="s">
        <v>7648</v>
      </c>
      <c r="D83" t="s">
        <v>7734</v>
      </c>
      <c r="E83" t="s">
        <v>5425</v>
      </c>
      <c r="F83">
        <v>85.76</v>
      </c>
      <c r="G83" t="s">
        <v>7614</v>
      </c>
      <c r="H83" t="s">
        <v>7623</v>
      </c>
      <c r="I83" t="s">
        <v>7735</v>
      </c>
      <c r="J83" t="s">
        <v>4057</v>
      </c>
      <c r="K83" t="s">
        <v>7617</v>
      </c>
    </row>
    <row r="84" spans="1:11">
      <c r="A84" t="s">
        <v>583</v>
      </c>
      <c r="B84" t="s">
        <v>7618</v>
      </c>
      <c r="C84" t="s">
        <v>7048</v>
      </c>
      <c r="D84" t="s">
        <v>7736</v>
      </c>
      <c r="E84" t="s">
        <v>5425</v>
      </c>
      <c r="F84">
        <v>75.819999999999993</v>
      </c>
      <c r="G84" t="s">
        <v>7614</v>
      </c>
      <c r="H84" t="s">
        <v>7623</v>
      </c>
      <c r="I84" t="s">
        <v>7737</v>
      </c>
      <c r="J84" t="s">
        <v>4057</v>
      </c>
      <c r="K84" t="s">
        <v>7617</v>
      </c>
    </row>
    <row r="85" spans="1:11">
      <c r="A85" t="s">
        <v>613</v>
      </c>
      <c r="B85" t="s">
        <v>7618</v>
      </c>
      <c r="C85" t="s">
        <v>7648</v>
      </c>
      <c r="D85" t="s">
        <v>7738</v>
      </c>
      <c r="E85" t="s">
        <v>7613</v>
      </c>
      <c r="F85">
        <v>94.25</v>
      </c>
      <c r="G85" t="s">
        <v>7614</v>
      </c>
      <c r="H85" t="s">
        <v>7623</v>
      </c>
      <c r="I85" t="s">
        <v>7739</v>
      </c>
      <c r="J85" t="s">
        <v>4057</v>
      </c>
      <c r="K85" t="s">
        <v>7617</v>
      </c>
    </row>
    <row r="86" spans="1:11">
      <c r="A86" t="s">
        <v>613</v>
      </c>
      <c r="B86" t="s">
        <v>7618</v>
      </c>
      <c r="C86" t="s">
        <v>7648</v>
      </c>
      <c r="D86" t="s">
        <v>7661</v>
      </c>
      <c r="E86" t="s">
        <v>7613</v>
      </c>
      <c r="F86">
        <v>78.36</v>
      </c>
      <c r="G86" t="s">
        <v>7614</v>
      </c>
      <c r="H86" t="s">
        <v>7623</v>
      </c>
      <c r="I86" s="63" t="s">
        <v>7893</v>
      </c>
      <c r="J86" t="s">
        <v>4057</v>
      </c>
      <c r="K86" t="s">
        <v>7617</v>
      </c>
    </row>
    <row r="87" spans="1:11">
      <c r="A87" t="s">
        <v>620</v>
      </c>
      <c r="B87" t="s">
        <v>7610</v>
      </c>
      <c r="C87" t="s">
        <v>7611</v>
      </c>
      <c r="D87" t="s">
        <v>7740</v>
      </c>
      <c r="E87" t="s">
        <v>5425</v>
      </c>
      <c r="F87">
        <v>94.3</v>
      </c>
      <c r="G87" t="s">
        <v>7614</v>
      </c>
      <c r="H87" t="s">
        <v>7623</v>
      </c>
      <c r="I87" t="s">
        <v>7741</v>
      </c>
      <c r="J87" t="s">
        <v>4056</v>
      </c>
      <c r="K87" t="s">
        <v>7617</v>
      </c>
    </row>
    <row r="88" spans="1:11">
      <c r="A88" t="s">
        <v>627</v>
      </c>
      <c r="B88" t="s">
        <v>7610</v>
      </c>
      <c r="C88" t="s">
        <v>7611</v>
      </c>
      <c r="D88" t="s">
        <v>4565</v>
      </c>
      <c r="E88" t="s">
        <v>5425</v>
      </c>
      <c r="F88">
        <v>100</v>
      </c>
      <c r="G88" t="s">
        <v>7614</v>
      </c>
      <c r="H88" t="s">
        <v>7623</v>
      </c>
      <c r="I88" t="s">
        <v>7742</v>
      </c>
      <c r="J88" t="s">
        <v>4056</v>
      </c>
      <c r="K88" t="s">
        <v>7617</v>
      </c>
    </row>
    <row r="89" spans="1:11">
      <c r="A89" t="s">
        <v>627</v>
      </c>
      <c r="B89" t="s">
        <v>7618</v>
      </c>
      <c r="C89" t="s">
        <v>7619</v>
      </c>
      <c r="D89" t="s">
        <v>7688</v>
      </c>
      <c r="E89" t="s">
        <v>5425</v>
      </c>
      <c r="F89">
        <v>95.2</v>
      </c>
      <c r="G89" t="s">
        <v>7614</v>
      </c>
      <c r="H89" t="s">
        <v>7623</v>
      </c>
      <c r="I89" t="s">
        <v>7743</v>
      </c>
      <c r="J89" t="s">
        <v>4057</v>
      </c>
      <c r="K89" t="s">
        <v>7617</v>
      </c>
    </row>
    <row r="90" spans="1:11">
      <c r="A90" t="s">
        <v>627</v>
      </c>
      <c r="B90" t="s">
        <v>7618</v>
      </c>
      <c r="C90" t="s">
        <v>7619</v>
      </c>
      <c r="D90" t="s">
        <v>7744</v>
      </c>
      <c r="E90" t="s">
        <v>5425</v>
      </c>
      <c r="F90">
        <v>98.5</v>
      </c>
      <c r="G90" t="s">
        <v>7614</v>
      </c>
      <c r="H90" t="s">
        <v>7623</v>
      </c>
      <c r="I90" t="s">
        <v>7745</v>
      </c>
      <c r="J90" t="s">
        <v>4057</v>
      </c>
      <c r="K90" t="s">
        <v>7617</v>
      </c>
    </row>
    <row r="91" spans="1:11">
      <c r="A91" t="s">
        <v>627</v>
      </c>
      <c r="B91" t="s">
        <v>7618</v>
      </c>
      <c r="C91" t="s">
        <v>7746</v>
      </c>
      <c r="D91" t="s">
        <v>7633</v>
      </c>
      <c r="E91" t="s">
        <v>5425</v>
      </c>
      <c r="F91">
        <v>88.2</v>
      </c>
      <c r="G91" t="s">
        <v>7614</v>
      </c>
      <c r="H91" t="s">
        <v>7623</v>
      </c>
      <c r="I91" t="s">
        <v>7747</v>
      </c>
      <c r="J91" t="s">
        <v>4057</v>
      </c>
      <c r="K91" t="s">
        <v>7617</v>
      </c>
    </row>
    <row r="92" spans="1:11">
      <c r="A92" t="s">
        <v>627</v>
      </c>
      <c r="B92" t="s">
        <v>7618</v>
      </c>
      <c r="C92" t="s">
        <v>7746</v>
      </c>
      <c r="D92" t="s">
        <v>7627</v>
      </c>
      <c r="E92" t="s">
        <v>5425</v>
      </c>
      <c r="F92">
        <v>86.5</v>
      </c>
      <c r="G92" t="s">
        <v>7614</v>
      </c>
      <c r="H92" t="s">
        <v>7623</v>
      </c>
      <c r="I92" t="s">
        <v>7748</v>
      </c>
      <c r="J92" t="s">
        <v>4057</v>
      </c>
      <c r="K92" t="s">
        <v>7617</v>
      </c>
    </row>
    <row r="93" spans="1:11">
      <c r="A93" t="s">
        <v>627</v>
      </c>
      <c r="B93" t="s">
        <v>7618</v>
      </c>
      <c r="C93" t="s">
        <v>7746</v>
      </c>
      <c r="D93" t="s">
        <v>4503</v>
      </c>
      <c r="E93" t="s">
        <v>5425</v>
      </c>
      <c r="F93">
        <v>92.1</v>
      </c>
      <c r="G93" t="s">
        <v>7614</v>
      </c>
      <c r="H93" t="s">
        <v>7623</v>
      </c>
      <c r="I93" t="s">
        <v>7749</v>
      </c>
      <c r="J93" t="s">
        <v>4057</v>
      </c>
      <c r="K93" t="s">
        <v>7617</v>
      </c>
    </row>
    <row r="94" spans="1:11">
      <c r="A94" t="s">
        <v>627</v>
      </c>
      <c r="B94" t="s">
        <v>7618</v>
      </c>
      <c r="C94" t="s">
        <v>7746</v>
      </c>
      <c r="D94" t="s">
        <v>7750</v>
      </c>
      <c r="E94" t="s">
        <v>5425</v>
      </c>
      <c r="F94">
        <v>86.3</v>
      </c>
      <c r="G94" t="s">
        <v>7614</v>
      </c>
      <c r="H94" t="s">
        <v>7623</v>
      </c>
      <c r="I94" t="s">
        <v>7751</v>
      </c>
      <c r="J94" t="s">
        <v>4057</v>
      </c>
      <c r="K94" t="s">
        <v>7617</v>
      </c>
    </row>
    <row r="95" spans="1:11">
      <c r="A95" t="s">
        <v>627</v>
      </c>
      <c r="B95" t="s">
        <v>7629</v>
      </c>
      <c r="C95" t="s">
        <v>7639</v>
      </c>
      <c r="D95" t="s">
        <v>7752</v>
      </c>
      <c r="E95" t="s">
        <v>5425</v>
      </c>
      <c r="F95">
        <v>89.1</v>
      </c>
      <c r="G95" t="s">
        <v>7614</v>
      </c>
      <c r="H95" t="s">
        <v>7623</v>
      </c>
      <c r="I95" t="s">
        <v>7753</v>
      </c>
      <c r="J95" t="s">
        <v>4058</v>
      </c>
      <c r="K95" t="s">
        <v>7617</v>
      </c>
    </row>
    <row r="96" spans="1:11">
      <c r="A96" t="s">
        <v>627</v>
      </c>
      <c r="B96" t="s">
        <v>7629</v>
      </c>
      <c r="C96" t="s">
        <v>7754</v>
      </c>
      <c r="D96" t="s">
        <v>7755</v>
      </c>
      <c r="E96" t="s">
        <v>5425</v>
      </c>
      <c r="F96">
        <v>83.4</v>
      </c>
      <c r="G96" t="s">
        <v>7614</v>
      </c>
      <c r="H96" t="s">
        <v>7623</v>
      </c>
      <c r="I96" t="s">
        <v>7756</v>
      </c>
      <c r="J96" t="s">
        <v>4058</v>
      </c>
      <c r="K96" t="s">
        <v>7617</v>
      </c>
    </row>
    <row r="97" spans="1:11">
      <c r="A97" t="s">
        <v>641</v>
      </c>
      <c r="B97" t="s">
        <v>7610</v>
      </c>
      <c r="C97" t="s">
        <v>7611</v>
      </c>
      <c r="D97" t="s">
        <v>7724</v>
      </c>
      <c r="E97" t="s">
        <v>5425</v>
      </c>
      <c r="F97">
        <v>96.25</v>
      </c>
      <c r="G97" t="s">
        <v>7614</v>
      </c>
      <c r="H97" t="s">
        <v>7623</v>
      </c>
      <c r="I97" t="s">
        <v>7757</v>
      </c>
      <c r="J97" t="s">
        <v>4056</v>
      </c>
      <c r="K97" t="s">
        <v>7617</v>
      </c>
    </row>
    <row r="98" spans="1:11">
      <c r="A98" t="s">
        <v>649</v>
      </c>
      <c r="B98" t="s">
        <v>7610</v>
      </c>
      <c r="C98" t="s">
        <v>7611</v>
      </c>
      <c r="D98" t="s">
        <v>7758</v>
      </c>
      <c r="E98" t="s">
        <v>5425</v>
      </c>
      <c r="F98">
        <v>97.95</v>
      </c>
      <c r="G98" t="s">
        <v>7614</v>
      </c>
      <c r="H98" t="s">
        <v>7623</v>
      </c>
      <c r="I98" t="s">
        <v>7759</v>
      </c>
      <c r="J98" t="s">
        <v>4056</v>
      </c>
      <c r="K98" t="s">
        <v>7617</v>
      </c>
    </row>
    <row r="99" spans="1:11">
      <c r="A99" t="s">
        <v>678</v>
      </c>
      <c r="B99" t="s">
        <v>7610</v>
      </c>
      <c r="C99" t="s">
        <v>7611</v>
      </c>
      <c r="D99" t="s">
        <v>7760</v>
      </c>
      <c r="E99" t="s">
        <v>5425</v>
      </c>
      <c r="F99">
        <v>99.2</v>
      </c>
      <c r="G99" t="s">
        <v>7614</v>
      </c>
      <c r="H99" t="s">
        <v>7615</v>
      </c>
      <c r="I99" t="s">
        <v>7761</v>
      </c>
      <c r="J99" t="s">
        <v>4056</v>
      </c>
      <c r="K99" t="s">
        <v>7617</v>
      </c>
    </row>
    <row r="100" spans="1:11">
      <c r="A100" t="s">
        <v>678</v>
      </c>
      <c r="B100" t="s">
        <v>7618</v>
      </c>
      <c r="C100" t="s">
        <v>7648</v>
      </c>
      <c r="D100" t="s">
        <v>7762</v>
      </c>
      <c r="E100" t="s">
        <v>5425</v>
      </c>
      <c r="F100">
        <v>99.11</v>
      </c>
      <c r="G100" t="s">
        <v>7631</v>
      </c>
      <c r="H100" t="s">
        <v>7615</v>
      </c>
      <c r="I100" t="s">
        <v>7763</v>
      </c>
      <c r="J100" t="s">
        <v>4057</v>
      </c>
      <c r="K100" t="s">
        <v>7617</v>
      </c>
    </row>
    <row r="101" spans="1:11">
      <c r="A101" t="s">
        <v>684</v>
      </c>
      <c r="B101" t="s">
        <v>7610</v>
      </c>
      <c r="C101" t="s">
        <v>7611</v>
      </c>
      <c r="D101" t="s">
        <v>7764</v>
      </c>
      <c r="E101" t="s">
        <v>5425</v>
      </c>
      <c r="F101">
        <v>99.7</v>
      </c>
      <c r="G101" t="s">
        <v>7631</v>
      </c>
      <c r="H101" t="s">
        <v>7623</v>
      </c>
      <c r="I101" t="s">
        <v>7765</v>
      </c>
      <c r="J101" t="s">
        <v>4056</v>
      </c>
      <c r="K101" t="s">
        <v>7617</v>
      </c>
    </row>
    <row r="102" spans="1:11">
      <c r="A102" t="s">
        <v>684</v>
      </c>
      <c r="B102" t="s">
        <v>7618</v>
      </c>
      <c r="C102" t="s">
        <v>7619</v>
      </c>
      <c r="D102" t="s">
        <v>7712</v>
      </c>
      <c r="E102" t="s">
        <v>5425</v>
      </c>
      <c r="F102">
        <v>96.3</v>
      </c>
      <c r="G102" t="s">
        <v>7631</v>
      </c>
      <c r="H102" t="s">
        <v>7623</v>
      </c>
      <c r="I102" t="s">
        <v>7766</v>
      </c>
      <c r="J102" t="s">
        <v>4057</v>
      </c>
      <c r="K102" t="s">
        <v>7617</v>
      </c>
    </row>
    <row r="103" spans="1:11">
      <c r="A103" t="s">
        <v>690</v>
      </c>
      <c r="B103" t="s">
        <v>7618</v>
      </c>
      <c r="C103" t="s">
        <v>7619</v>
      </c>
      <c r="D103" t="s">
        <v>7767</v>
      </c>
      <c r="E103" t="s">
        <v>5425</v>
      </c>
      <c r="F103">
        <v>95.58</v>
      </c>
      <c r="G103" t="s">
        <v>7631</v>
      </c>
      <c r="H103" t="s">
        <v>7623</v>
      </c>
      <c r="I103" t="s">
        <v>7768</v>
      </c>
      <c r="J103" t="s">
        <v>4057</v>
      </c>
      <c r="K103" t="s">
        <v>7617</v>
      </c>
    </row>
    <row r="104" spans="1:11">
      <c r="A104" t="s">
        <v>719</v>
      </c>
      <c r="B104" t="s">
        <v>7610</v>
      </c>
      <c r="C104" t="s">
        <v>7611</v>
      </c>
      <c r="D104" t="s">
        <v>4565</v>
      </c>
      <c r="E104" t="s">
        <v>6943</v>
      </c>
      <c r="F104">
        <v>100</v>
      </c>
      <c r="G104" t="s">
        <v>7614</v>
      </c>
      <c r="H104" t="s">
        <v>7623</v>
      </c>
      <c r="I104" t="s">
        <v>7769</v>
      </c>
      <c r="J104" t="s">
        <v>4056</v>
      </c>
      <c r="K104" t="s">
        <v>7617</v>
      </c>
    </row>
    <row r="105" spans="1:11">
      <c r="A105" t="s">
        <v>719</v>
      </c>
      <c r="B105" t="s">
        <v>7618</v>
      </c>
      <c r="C105" t="s">
        <v>7048</v>
      </c>
      <c r="D105" t="s">
        <v>7770</v>
      </c>
      <c r="E105" t="s">
        <v>6943</v>
      </c>
      <c r="F105">
        <v>96.13</v>
      </c>
      <c r="G105" t="s">
        <v>7631</v>
      </c>
      <c r="H105" t="s">
        <v>7623</v>
      </c>
      <c r="I105" t="s">
        <v>7771</v>
      </c>
      <c r="J105" t="s">
        <v>4057</v>
      </c>
      <c r="K105" t="s">
        <v>7617</v>
      </c>
    </row>
    <row r="106" spans="1:11">
      <c r="A106" t="s">
        <v>726</v>
      </c>
      <c r="B106" t="s">
        <v>7610</v>
      </c>
      <c r="C106" t="s">
        <v>7611</v>
      </c>
      <c r="D106" t="s">
        <v>7772</v>
      </c>
      <c r="E106" t="s">
        <v>5425</v>
      </c>
      <c r="F106">
        <v>94.8</v>
      </c>
      <c r="G106" t="s">
        <v>7614</v>
      </c>
      <c r="H106" t="s">
        <v>7615</v>
      </c>
      <c r="I106" t="s">
        <v>7773</v>
      </c>
      <c r="J106" t="s">
        <v>4056</v>
      </c>
      <c r="K106" t="s">
        <v>7617</v>
      </c>
    </row>
    <row r="107" spans="1:11">
      <c r="A107" t="s">
        <v>726</v>
      </c>
      <c r="B107" t="s">
        <v>7618</v>
      </c>
      <c r="C107" t="s">
        <v>7619</v>
      </c>
      <c r="D107" t="s">
        <v>7774</v>
      </c>
      <c r="E107" t="s">
        <v>5425</v>
      </c>
      <c r="F107">
        <v>54.75</v>
      </c>
      <c r="G107" t="s">
        <v>7614</v>
      </c>
      <c r="H107" t="s">
        <v>7615</v>
      </c>
      <c r="I107" t="s">
        <v>7775</v>
      </c>
      <c r="J107" t="s">
        <v>4057</v>
      </c>
      <c r="K107" t="s">
        <v>7617</v>
      </c>
    </row>
    <row r="108" spans="1:11">
      <c r="A108" t="s">
        <v>741</v>
      </c>
      <c r="B108" t="s">
        <v>7610</v>
      </c>
      <c r="C108" t="s">
        <v>7611</v>
      </c>
      <c r="D108" t="s">
        <v>7776</v>
      </c>
      <c r="E108" t="s">
        <v>5425</v>
      </c>
      <c r="F108">
        <v>95.04</v>
      </c>
      <c r="G108" t="s">
        <v>7614</v>
      </c>
      <c r="H108" t="s">
        <v>7615</v>
      </c>
      <c r="I108" t="s">
        <v>7777</v>
      </c>
      <c r="J108" t="s">
        <v>4056</v>
      </c>
      <c r="K108" t="s">
        <v>7617</v>
      </c>
    </row>
    <row r="109" spans="1:11">
      <c r="A109" t="s">
        <v>741</v>
      </c>
      <c r="B109" t="s">
        <v>7610</v>
      </c>
      <c r="C109" t="s">
        <v>7611</v>
      </c>
      <c r="D109" t="s">
        <v>7776</v>
      </c>
      <c r="E109" t="s">
        <v>7613</v>
      </c>
      <c r="F109">
        <v>98.99</v>
      </c>
      <c r="G109" t="s">
        <v>7614</v>
      </c>
      <c r="H109" t="s">
        <v>7615</v>
      </c>
      <c r="I109" t="s">
        <v>7777</v>
      </c>
      <c r="J109" t="s">
        <v>4056</v>
      </c>
      <c r="K109" t="s">
        <v>7617</v>
      </c>
    </row>
    <row r="110" spans="1:11">
      <c r="A110" t="s">
        <v>741</v>
      </c>
      <c r="B110" t="s">
        <v>7618</v>
      </c>
      <c r="C110" t="s">
        <v>7648</v>
      </c>
      <c r="D110" t="s">
        <v>7778</v>
      </c>
      <c r="E110" t="s">
        <v>5425</v>
      </c>
      <c r="F110">
        <v>65.900000000000006</v>
      </c>
      <c r="G110" t="s">
        <v>7631</v>
      </c>
      <c r="H110" t="s">
        <v>7615</v>
      </c>
      <c r="I110" t="s">
        <v>7779</v>
      </c>
      <c r="J110" t="s">
        <v>4057</v>
      </c>
      <c r="K110" t="s">
        <v>7617</v>
      </c>
    </row>
    <row r="111" spans="1:11">
      <c r="A111" t="s">
        <v>741</v>
      </c>
      <c r="B111" t="s">
        <v>7618</v>
      </c>
      <c r="C111" t="s">
        <v>7648</v>
      </c>
      <c r="D111" t="s">
        <v>7778</v>
      </c>
      <c r="E111" t="s">
        <v>7613</v>
      </c>
      <c r="F111">
        <v>77.459999999999994</v>
      </c>
      <c r="G111" t="s">
        <v>7631</v>
      </c>
      <c r="H111" t="s">
        <v>7615</v>
      </c>
      <c r="I111" t="s">
        <v>7779</v>
      </c>
      <c r="J111" t="s">
        <v>4057</v>
      </c>
      <c r="K111" t="s">
        <v>7617</v>
      </c>
    </row>
    <row r="112" spans="1:11">
      <c r="A112" t="s">
        <v>741</v>
      </c>
      <c r="B112" t="s">
        <v>7629</v>
      </c>
      <c r="C112" t="s">
        <v>7639</v>
      </c>
      <c r="D112" t="s">
        <v>7652</v>
      </c>
      <c r="E112" t="s">
        <v>5425</v>
      </c>
      <c r="F112">
        <v>93.92</v>
      </c>
      <c r="G112" t="s">
        <v>7614</v>
      </c>
      <c r="H112" t="s">
        <v>7615</v>
      </c>
      <c r="I112" t="s">
        <v>7780</v>
      </c>
      <c r="J112" t="s">
        <v>4058</v>
      </c>
      <c r="K112" t="s">
        <v>7617</v>
      </c>
    </row>
    <row r="113" spans="1:11">
      <c r="A113" t="s">
        <v>764</v>
      </c>
      <c r="B113" t="s">
        <v>7618</v>
      </c>
      <c r="C113" t="s">
        <v>7048</v>
      </c>
      <c r="D113" t="s">
        <v>7781</v>
      </c>
      <c r="E113" t="s">
        <v>5425</v>
      </c>
      <c r="F113">
        <v>96.13</v>
      </c>
      <c r="G113" t="s">
        <v>7631</v>
      </c>
      <c r="H113" t="s">
        <v>7623</v>
      </c>
      <c r="I113" t="s">
        <v>7782</v>
      </c>
      <c r="J113" t="s">
        <v>4057</v>
      </c>
      <c r="K113" t="s">
        <v>7617</v>
      </c>
    </row>
    <row r="114" spans="1:11">
      <c r="A114" t="s">
        <v>764</v>
      </c>
      <c r="B114" t="s">
        <v>7618</v>
      </c>
      <c r="C114" t="s">
        <v>7048</v>
      </c>
      <c r="D114" t="s">
        <v>7781</v>
      </c>
      <c r="E114" t="s">
        <v>6943</v>
      </c>
      <c r="F114">
        <v>99.15</v>
      </c>
      <c r="G114" t="s">
        <v>7631</v>
      </c>
      <c r="H114" t="s">
        <v>7623</v>
      </c>
      <c r="I114" t="s">
        <v>7782</v>
      </c>
      <c r="J114" t="s">
        <v>4057</v>
      </c>
      <c r="K114" t="s">
        <v>7617</v>
      </c>
    </row>
    <row r="115" spans="1:11">
      <c r="A115" t="s">
        <v>785</v>
      </c>
      <c r="B115" t="s">
        <v>7610</v>
      </c>
      <c r="C115" t="s">
        <v>7611</v>
      </c>
      <c r="D115" t="s">
        <v>5343</v>
      </c>
      <c r="E115" t="s">
        <v>5425</v>
      </c>
      <c r="F115">
        <v>92.3</v>
      </c>
      <c r="G115" t="s">
        <v>7614</v>
      </c>
      <c r="H115" t="s">
        <v>7623</v>
      </c>
      <c r="I115" t="s">
        <v>7783</v>
      </c>
      <c r="J115" t="s">
        <v>4056</v>
      </c>
      <c r="K115" t="s">
        <v>7617</v>
      </c>
    </row>
    <row r="116" spans="1:11">
      <c r="A116" t="s">
        <v>785</v>
      </c>
      <c r="B116" t="s">
        <v>7629</v>
      </c>
      <c r="C116" t="s">
        <v>7639</v>
      </c>
      <c r="D116" t="s">
        <v>7652</v>
      </c>
      <c r="E116" t="s">
        <v>5425</v>
      </c>
      <c r="F116">
        <v>89</v>
      </c>
      <c r="G116" t="s">
        <v>7614</v>
      </c>
      <c r="H116" t="s">
        <v>7623</v>
      </c>
      <c r="I116" t="s">
        <v>7784</v>
      </c>
      <c r="J116" t="s">
        <v>4058</v>
      </c>
      <c r="K116" t="s">
        <v>7617</v>
      </c>
    </row>
    <row r="117" spans="1:11">
      <c r="A117" t="s">
        <v>805</v>
      </c>
      <c r="B117" t="s">
        <v>7610</v>
      </c>
      <c r="C117" t="s">
        <v>7611</v>
      </c>
      <c r="D117" t="s">
        <v>7785</v>
      </c>
      <c r="E117" t="s">
        <v>5425</v>
      </c>
      <c r="F117">
        <v>87.32</v>
      </c>
      <c r="G117" t="s">
        <v>7614</v>
      </c>
      <c r="H117" t="s">
        <v>7615</v>
      </c>
      <c r="I117" t="s">
        <v>7786</v>
      </c>
      <c r="J117" t="s">
        <v>4056</v>
      </c>
      <c r="K117" t="s">
        <v>7617</v>
      </c>
    </row>
    <row r="118" spans="1:11">
      <c r="A118" t="s">
        <v>805</v>
      </c>
      <c r="B118" t="s">
        <v>7618</v>
      </c>
      <c r="C118" t="s">
        <v>7619</v>
      </c>
      <c r="D118" t="s">
        <v>5375</v>
      </c>
      <c r="E118" t="s">
        <v>5425</v>
      </c>
      <c r="F118">
        <v>93</v>
      </c>
      <c r="G118" t="s">
        <v>7614</v>
      </c>
      <c r="H118" t="s">
        <v>7615</v>
      </c>
      <c r="I118" t="s">
        <v>7787</v>
      </c>
      <c r="J118" t="s">
        <v>4057</v>
      </c>
      <c r="K118" t="s">
        <v>7617</v>
      </c>
    </row>
    <row r="119" spans="1:11">
      <c r="A119" t="s">
        <v>849</v>
      </c>
      <c r="B119" t="s">
        <v>7610</v>
      </c>
      <c r="C119" t="s">
        <v>7611</v>
      </c>
      <c r="D119" t="s">
        <v>5397</v>
      </c>
      <c r="E119" t="s">
        <v>5425</v>
      </c>
      <c r="F119">
        <v>99.87</v>
      </c>
      <c r="G119" t="s">
        <v>7614</v>
      </c>
      <c r="H119" t="s">
        <v>7623</v>
      </c>
      <c r="I119" t="s">
        <v>7788</v>
      </c>
      <c r="J119" t="s">
        <v>4056</v>
      </c>
      <c r="K119" t="s">
        <v>7617</v>
      </c>
    </row>
    <row r="120" spans="1:11">
      <c r="A120" t="s">
        <v>855</v>
      </c>
      <c r="B120" t="s">
        <v>7610</v>
      </c>
      <c r="C120" t="s">
        <v>7611</v>
      </c>
      <c r="D120" t="s">
        <v>4565</v>
      </c>
      <c r="E120" t="s">
        <v>5425</v>
      </c>
      <c r="F120">
        <v>100</v>
      </c>
      <c r="G120" t="s">
        <v>7614</v>
      </c>
      <c r="H120" t="s">
        <v>7623</v>
      </c>
      <c r="I120" t="s">
        <v>5426</v>
      </c>
      <c r="J120" t="s">
        <v>4056</v>
      </c>
      <c r="K120" t="s">
        <v>7617</v>
      </c>
    </row>
    <row r="121" spans="1:11">
      <c r="A121" t="s">
        <v>855</v>
      </c>
      <c r="B121" t="s">
        <v>7618</v>
      </c>
      <c r="C121" t="s">
        <v>7048</v>
      </c>
      <c r="D121" t="s">
        <v>7781</v>
      </c>
      <c r="E121" t="s">
        <v>5425</v>
      </c>
      <c r="F121">
        <v>94.4</v>
      </c>
      <c r="G121" t="s">
        <v>7631</v>
      </c>
      <c r="H121" t="s">
        <v>7623</v>
      </c>
      <c r="I121" t="s">
        <v>5427</v>
      </c>
      <c r="J121" t="s">
        <v>4057</v>
      </c>
      <c r="K121" t="s">
        <v>7617</v>
      </c>
    </row>
    <row r="122" spans="1:11">
      <c r="A122" t="s">
        <v>855</v>
      </c>
      <c r="B122" t="s">
        <v>7629</v>
      </c>
      <c r="C122" t="s">
        <v>7639</v>
      </c>
      <c r="D122" t="s">
        <v>7434</v>
      </c>
      <c r="E122" t="s">
        <v>5425</v>
      </c>
      <c r="F122">
        <v>83.7</v>
      </c>
      <c r="G122" t="s">
        <v>7614</v>
      </c>
      <c r="H122" t="s">
        <v>7623</v>
      </c>
      <c r="I122" t="s">
        <v>7789</v>
      </c>
      <c r="J122" t="s">
        <v>4058</v>
      </c>
      <c r="K122" t="s">
        <v>7617</v>
      </c>
    </row>
    <row r="123" spans="1:11">
      <c r="A123" t="s">
        <v>862</v>
      </c>
      <c r="B123" t="s">
        <v>7618</v>
      </c>
      <c r="C123" t="s">
        <v>7048</v>
      </c>
      <c r="D123" t="s">
        <v>7790</v>
      </c>
      <c r="E123" t="s">
        <v>5425</v>
      </c>
      <c r="F123">
        <v>80.819999999999993</v>
      </c>
      <c r="G123" t="s">
        <v>7631</v>
      </c>
      <c r="H123" t="s">
        <v>7623</v>
      </c>
      <c r="I123" t="s">
        <v>7791</v>
      </c>
      <c r="J123" t="s">
        <v>4057</v>
      </c>
      <c r="K123" t="s">
        <v>7617</v>
      </c>
    </row>
    <row r="124" spans="1:11">
      <c r="A124" t="s">
        <v>862</v>
      </c>
      <c r="B124" t="s">
        <v>7629</v>
      </c>
      <c r="C124" t="s">
        <v>7639</v>
      </c>
      <c r="D124" t="s">
        <v>7434</v>
      </c>
      <c r="E124" t="s">
        <v>5425</v>
      </c>
      <c r="F124">
        <v>79.55</v>
      </c>
      <c r="G124" t="s">
        <v>7614</v>
      </c>
      <c r="H124" t="s">
        <v>7623</v>
      </c>
      <c r="I124" t="s">
        <v>7792</v>
      </c>
      <c r="J124" t="s">
        <v>4058</v>
      </c>
      <c r="K124" t="s">
        <v>7617</v>
      </c>
    </row>
    <row r="125" spans="1:11">
      <c r="A125" t="s">
        <v>869</v>
      </c>
      <c r="B125" t="s">
        <v>7610</v>
      </c>
      <c r="C125" t="s">
        <v>7611</v>
      </c>
      <c r="D125" t="s">
        <v>7793</v>
      </c>
      <c r="E125" t="s">
        <v>5425</v>
      </c>
      <c r="F125">
        <v>98.5</v>
      </c>
      <c r="G125" t="s">
        <v>7614</v>
      </c>
      <c r="H125" t="s">
        <v>7623</v>
      </c>
      <c r="I125" t="s">
        <v>7794</v>
      </c>
      <c r="J125" t="s">
        <v>4056</v>
      </c>
      <c r="K125" t="s">
        <v>7617</v>
      </c>
    </row>
    <row r="126" spans="1:11">
      <c r="A126" t="s">
        <v>876</v>
      </c>
      <c r="B126" t="s">
        <v>7610</v>
      </c>
      <c r="C126" t="s">
        <v>7611</v>
      </c>
      <c r="D126" t="s">
        <v>7795</v>
      </c>
      <c r="E126" t="s">
        <v>5425</v>
      </c>
      <c r="F126">
        <v>94.8</v>
      </c>
      <c r="G126" t="s">
        <v>7614</v>
      </c>
      <c r="H126" t="s">
        <v>7623</v>
      </c>
      <c r="I126" t="s">
        <v>7796</v>
      </c>
      <c r="J126" t="s">
        <v>4056</v>
      </c>
      <c r="K126" t="s">
        <v>7617</v>
      </c>
    </row>
    <row r="127" spans="1:11">
      <c r="A127" t="s">
        <v>913</v>
      </c>
      <c r="B127" t="s">
        <v>7610</v>
      </c>
      <c r="C127" t="s">
        <v>7611</v>
      </c>
      <c r="D127" t="s">
        <v>7797</v>
      </c>
      <c r="E127" t="s">
        <v>5425</v>
      </c>
      <c r="F127">
        <v>71.8</v>
      </c>
      <c r="G127" t="s">
        <v>7614</v>
      </c>
      <c r="H127" t="s">
        <v>7615</v>
      </c>
      <c r="I127" t="s">
        <v>7798</v>
      </c>
      <c r="J127" t="s">
        <v>4056</v>
      </c>
      <c r="K127" t="s">
        <v>7617</v>
      </c>
    </row>
    <row r="128" spans="1:11">
      <c r="A128" t="s">
        <v>913</v>
      </c>
      <c r="B128" t="s">
        <v>7610</v>
      </c>
      <c r="C128" t="s">
        <v>7611</v>
      </c>
      <c r="D128" t="s">
        <v>7797</v>
      </c>
      <c r="E128" t="s">
        <v>6943</v>
      </c>
      <c r="F128">
        <v>78.5</v>
      </c>
      <c r="G128" t="s">
        <v>7614</v>
      </c>
      <c r="H128" t="s">
        <v>7615</v>
      </c>
      <c r="I128" t="s">
        <v>7798</v>
      </c>
      <c r="J128" t="s">
        <v>4056</v>
      </c>
      <c r="K128" t="s">
        <v>7617</v>
      </c>
    </row>
    <row r="129" spans="1:11">
      <c r="A129" t="s">
        <v>913</v>
      </c>
      <c r="B129" t="s">
        <v>7618</v>
      </c>
      <c r="C129" t="s">
        <v>7619</v>
      </c>
      <c r="D129" t="s">
        <v>7799</v>
      </c>
      <c r="E129" t="s">
        <v>5425</v>
      </c>
      <c r="F129">
        <v>61.2</v>
      </c>
      <c r="G129" t="s">
        <v>7631</v>
      </c>
      <c r="H129" t="s">
        <v>7615</v>
      </c>
      <c r="I129" t="s">
        <v>7800</v>
      </c>
      <c r="J129" t="s">
        <v>4057</v>
      </c>
      <c r="K129" t="s">
        <v>7617</v>
      </c>
    </row>
    <row r="130" spans="1:11">
      <c r="A130" t="s">
        <v>913</v>
      </c>
      <c r="B130" t="s">
        <v>7618</v>
      </c>
      <c r="C130" t="s">
        <v>7619</v>
      </c>
      <c r="D130" t="s">
        <v>7799</v>
      </c>
      <c r="E130" t="s">
        <v>6943</v>
      </c>
      <c r="F130">
        <v>65.099999999999994</v>
      </c>
      <c r="G130" t="s">
        <v>7631</v>
      </c>
      <c r="H130" t="s">
        <v>7615</v>
      </c>
      <c r="I130" t="s">
        <v>7800</v>
      </c>
      <c r="J130" t="s">
        <v>4057</v>
      </c>
      <c r="K130" t="s">
        <v>7617</v>
      </c>
    </row>
    <row r="131" spans="1:11">
      <c r="A131" t="s">
        <v>920</v>
      </c>
      <c r="B131" t="s">
        <v>7610</v>
      </c>
      <c r="C131" t="s">
        <v>7611</v>
      </c>
      <c r="D131" t="s">
        <v>5592</v>
      </c>
      <c r="E131" t="s">
        <v>5425</v>
      </c>
      <c r="F131">
        <v>99.56</v>
      </c>
      <c r="G131" t="s">
        <v>7631</v>
      </c>
      <c r="H131" t="s">
        <v>7615</v>
      </c>
      <c r="I131" t="s">
        <v>7801</v>
      </c>
      <c r="J131" t="s">
        <v>4056</v>
      </c>
      <c r="K131" t="s">
        <v>7617</v>
      </c>
    </row>
    <row r="132" spans="1:11">
      <c r="A132" t="s">
        <v>920</v>
      </c>
      <c r="B132" t="s">
        <v>7618</v>
      </c>
      <c r="C132" t="s">
        <v>7648</v>
      </c>
      <c r="D132" t="s">
        <v>7802</v>
      </c>
      <c r="E132" t="s">
        <v>5425</v>
      </c>
      <c r="F132">
        <v>54.19</v>
      </c>
      <c r="G132" t="s">
        <v>7614</v>
      </c>
      <c r="H132" t="s">
        <v>7615</v>
      </c>
      <c r="I132" t="s">
        <v>7803</v>
      </c>
      <c r="J132" t="s">
        <v>4057</v>
      </c>
      <c r="K132" t="s">
        <v>7617</v>
      </c>
    </row>
    <row r="133" spans="1:11">
      <c r="A133" t="s">
        <v>920</v>
      </c>
      <c r="B133" t="s">
        <v>7618</v>
      </c>
      <c r="C133" t="s">
        <v>7648</v>
      </c>
      <c r="D133" t="s">
        <v>7804</v>
      </c>
      <c r="E133" t="s">
        <v>5425</v>
      </c>
      <c r="F133">
        <v>82.97</v>
      </c>
      <c r="G133" t="s">
        <v>7614</v>
      </c>
      <c r="H133" t="s">
        <v>7615</v>
      </c>
      <c r="I133" t="s">
        <v>7805</v>
      </c>
      <c r="J133" t="s">
        <v>4057</v>
      </c>
      <c r="K133" t="s">
        <v>7617</v>
      </c>
    </row>
    <row r="134" spans="1:11">
      <c r="A134" t="s">
        <v>920</v>
      </c>
      <c r="B134" t="s">
        <v>7618</v>
      </c>
      <c r="C134" t="s">
        <v>7648</v>
      </c>
      <c r="D134" t="s">
        <v>7643</v>
      </c>
      <c r="E134" t="s">
        <v>5425</v>
      </c>
      <c r="F134">
        <v>80.28</v>
      </c>
      <c r="G134" t="s">
        <v>7614</v>
      </c>
      <c r="H134" t="s">
        <v>7615</v>
      </c>
      <c r="I134" t="s">
        <v>7806</v>
      </c>
      <c r="J134" t="s">
        <v>4057</v>
      </c>
      <c r="K134" t="s">
        <v>7617</v>
      </c>
    </row>
    <row r="135" spans="1:11">
      <c r="A135" t="s">
        <v>920</v>
      </c>
      <c r="B135" t="s">
        <v>7618</v>
      </c>
      <c r="C135" t="s">
        <v>7648</v>
      </c>
      <c r="D135" t="s">
        <v>7807</v>
      </c>
      <c r="E135" t="s">
        <v>5425</v>
      </c>
      <c r="F135">
        <v>77.16</v>
      </c>
      <c r="G135" t="s">
        <v>7614</v>
      </c>
      <c r="H135" t="s">
        <v>7615</v>
      </c>
      <c r="I135" t="s">
        <v>7808</v>
      </c>
      <c r="J135" t="s">
        <v>4057</v>
      </c>
      <c r="K135" t="s">
        <v>7617</v>
      </c>
    </row>
    <row r="136" spans="1:11">
      <c r="A136" t="s">
        <v>928</v>
      </c>
      <c r="B136" t="s">
        <v>7610</v>
      </c>
      <c r="C136" t="s">
        <v>7611</v>
      </c>
      <c r="D136" t="s">
        <v>5622</v>
      </c>
      <c r="E136" t="s">
        <v>7613</v>
      </c>
      <c r="F136">
        <v>96.2</v>
      </c>
      <c r="G136" t="s">
        <v>7614</v>
      </c>
      <c r="H136" t="s">
        <v>7623</v>
      </c>
      <c r="I136" t="s">
        <v>7809</v>
      </c>
      <c r="J136" t="s">
        <v>4056</v>
      </c>
      <c r="K136" t="s">
        <v>7617</v>
      </c>
    </row>
    <row r="137" spans="1:11">
      <c r="A137" t="s">
        <v>943</v>
      </c>
      <c r="B137" t="s">
        <v>7610</v>
      </c>
      <c r="C137" t="s">
        <v>7611</v>
      </c>
      <c r="D137" t="s">
        <v>7810</v>
      </c>
      <c r="E137" t="s">
        <v>5425</v>
      </c>
      <c r="F137">
        <v>100</v>
      </c>
      <c r="G137" t="s">
        <v>7614</v>
      </c>
      <c r="H137" t="s">
        <v>7615</v>
      </c>
      <c r="I137" t="s">
        <v>7811</v>
      </c>
      <c r="J137" t="s">
        <v>4056</v>
      </c>
      <c r="K137" t="s">
        <v>7617</v>
      </c>
    </row>
    <row r="138" spans="1:11">
      <c r="A138" t="s">
        <v>943</v>
      </c>
      <c r="B138" t="s">
        <v>7618</v>
      </c>
      <c r="C138" t="s">
        <v>7648</v>
      </c>
      <c r="D138" t="s">
        <v>7812</v>
      </c>
      <c r="E138" t="s">
        <v>5425</v>
      </c>
      <c r="F138">
        <v>88.9</v>
      </c>
      <c r="G138" t="s">
        <v>7614</v>
      </c>
      <c r="H138" t="s">
        <v>7615</v>
      </c>
      <c r="I138" t="s">
        <v>7813</v>
      </c>
      <c r="J138" t="s">
        <v>4057</v>
      </c>
      <c r="K138" t="s">
        <v>7617</v>
      </c>
    </row>
    <row r="139" spans="1:11">
      <c r="A139" t="s">
        <v>943</v>
      </c>
      <c r="B139" t="s">
        <v>7618</v>
      </c>
      <c r="C139" t="s">
        <v>7648</v>
      </c>
      <c r="D139" t="s">
        <v>7814</v>
      </c>
      <c r="E139" t="s">
        <v>5425</v>
      </c>
      <c r="F139">
        <v>94.3</v>
      </c>
      <c r="G139" t="s">
        <v>7614</v>
      </c>
      <c r="H139" t="s">
        <v>7615</v>
      </c>
      <c r="I139" t="s">
        <v>7815</v>
      </c>
      <c r="J139" t="s">
        <v>4057</v>
      </c>
      <c r="K139" t="s">
        <v>7617</v>
      </c>
    </row>
    <row r="140" spans="1:11">
      <c r="A140" t="s">
        <v>943</v>
      </c>
      <c r="B140" t="s">
        <v>7618</v>
      </c>
      <c r="C140" t="s">
        <v>7648</v>
      </c>
      <c r="D140" t="s">
        <v>7816</v>
      </c>
      <c r="E140" t="s">
        <v>5425</v>
      </c>
      <c r="F140">
        <v>97.8</v>
      </c>
      <c r="G140" t="s">
        <v>7614</v>
      </c>
      <c r="H140" t="s">
        <v>7615</v>
      </c>
      <c r="I140" t="s">
        <v>7817</v>
      </c>
      <c r="J140" t="s">
        <v>4057</v>
      </c>
      <c r="K140" t="s">
        <v>7617</v>
      </c>
    </row>
    <row r="141" spans="1:11">
      <c r="A141" t="s">
        <v>950</v>
      </c>
      <c r="B141" t="s">
        <v>7610</v>
      </c>
      <c r="C141" t="s">
        <v>7611</v>
      </c>
      <c r="D141" t="s">
        <v>4565</v>
      </c>
      <c r="E141" t="s">
        <v>5425</v>
      </c>
      <c r="F141">
        <v>99.95</v>
      </c>
      <c r="G141" t="s">
        <v>7614</v>
      </c>
      <c r="H141" t="s">
        <v>7615</v>
      </c>
      <c r="I141" t="s">
        <v>5674</v>
      </c>
      <c r="J141" t="s">
        <v>4056</v>
      </c>
      <c r="K141" t="s">
        <v>7617</v>
      </c>
    </row>
    <row r="142" spans="1:11">
      <c r="A142" t="s">
        <v>950</v>
      </c>
      <c r="B142" t="s">
        <v>7610</v>
      </c>
      <c r="C142" t="s">
        <v>7611</v>
      </c>
      <c r="D142" t="s">
        <v>4565</v>
      </c>
      <c r="E142" t="s">
        <v>6943</v>
      </c>
      <c r="F142">
        <v>100</v>
      </c>
      <c r="G142" t="s">
        <v>7614</v>
      </c>
      <c r="H142" t="s">
        <v>7615</v>
      </c>
      <c r="I142" t="s">
        <v>5674</v>
      </c>
      <c r="J142" t="s">
        <v>4056</v>
      </c>
      <c r="K142" t="s">
        <v>7617</v>
      </c>
    </row>
    <row r="143" spans="1:11">
      <c r="A143" t="s">
        <v>950</v>
      </c>
      <c r="B143" t="s">
        <v>7618</v>
      </c>
      <c r="C143" t="s">
        <v>7048</v>
      </c>
      <c r="D143" t="s">
        <v>7818</v>
      </c>
      <c r="E143" t="s">
        <v>5425</v>
      </c>
      <c r="F143">
        <v>90.97</v>
      </c>
      <c r="G143" t="s">
        <v>7631</v>
      </c>
      <c r="H143" t="s">
        <v>7615</v>
      </c>
      <c r="I143" t="s">
        <v>7819</v>
      </c>
      <c r="J143" t="s">
        <v>4057</v>
      </c>
      <c r="K143" t="s">
        <v>7617</v>
      </c>
    </row>
    <row r="144" spans="1:11">
      <c r="A144" t="s">
        <v>950</v>
      </c>
      <c r="B144" t="s">
        <v>7618</v>
      </c>
      <c r="C144" t="s">
        <v>7048</v>
      </c>
      <c r="D144" t="s">
        <v>7818</v>
      </c>
      <c r="E144" t="s">
        <v>6943</v>
      </c>
      <c r="F144">
        <v>96.62</v>
      </c>
      <c r="G144" t="s">
        <v>7631</v>
      </c>
      <c r="H144" t="s">
        <v>7615</v>
      </c>
      <c r="I144" t="s">
        <v>7819</v>
      </c>
      <c r="J144" t="s">
        <v>4057</v>
      </c>
      <c r="K144" t="s">
        <v>7617</v>
      </c>
    </row>
    <row r="145" spans="1:11">
      <c r="A145" t="s">
        <v>980</v>
      </c>
      <c r="B145" t="s">
        <v>7610</v>
      </c>
      <c r="C145" t="s">
        <v>7611</v>
      </c>
      <c r="D145" t="s">
        <v>7820</v>
      </c>
      <c r="E145" t="s">
        <v>5425</v>
      </c>
      <c r="F145">
        <v>99.5</v>
      </c>
      <c r="G145" t="s">
        <v>7614</v>
      </c>
      <c r="H145" t="s">
        <v>7615</v>
      </c>
      <c r="I145" t="s">
        <v>7821</v>
      </c>
      <c r="J145" t="s">
        <v>4056</v>
      </c>
      <c r="K145" t="s">
        <v>7617</v>
      </c>
    </row>
    <row r="146" spans="1:11">
      <c r="A146" t="s">
        <v>980</v>
      </c>
      <c r="B146" t="s">
        <v>7610</v>
      </c>
      <c r="C146" t="s">
        <v>7611</v>
      </c>
      <c r="D146" t="s">
        <v>7820</v>
      </c>
      <c r="E146" t="s">
        <v>6943</v>
      </c>
      <c r="F146">
        <v>99.9</v>
      </c>
      <c r="G146" t="s">
        <v>7614</v>
      </c>
      <c r="H146" t="s">
        <v>7615</v>
      </c>
      <c r="I146" t="s">
        <v>7821</v>
      </c>
      <c r="J146" t="s">
        <v>4056</v>
      </c>
      <c r="K146" t="s">
        <v>7617</v>
      </c>
    </row>
    <row r="147" spans="1:11">
      <c r="A147" t="s">
        <v>980</v>
      </c>
      <c r="B147" t="s">
        <v>7618</v>
      </c>
      <c r="C147" t="s">
        <v>7619</v>
      </c>
      <c r="D147" t="s">
        <v>7822</v>
      </c>
      <c r="E147" t="s">
        <v>5425</v>
      </c>
      <c r="F147">
        <v>93</v>
      </c>
      <c r="G147" t="s">
        <v>7631</v>
      </c>
      <c r="H147" t="s">
        <v>7615</v>
      </c>
      <c r="I147" t="s">
        <v>7823</v>
      </c>
      <c r="J147" t="s">
        <v>4057</v>
      </c>
      <c r="K147" t="s">
        <v>7617</v>
      </c>
    </row>
    <row r="148" spans="1:11">
      <c r="A148" t="s">
        <v>980</v>
      </c>
      <c r="B148" t="s">
        <v>7618</v>
      </c>
      <c r="C148" t="s">
        <v>7619</v>
      </c>
      <c r="D148" t="s">
        <v>7822</v>
      </c>
      <c r="E148" t="s">
        <v>6943</v>
      </c>
      <c r="F148">
        <v>97.3</v>
      </c>
      <c r="G148" t="s">
        <v>7631</v>
      </c>
      <c r="H148" t="s">
        <v>7615</v>
      </c>
      <c r="I148" t="s">
        <v>7823</v>
      </c>
      <c r="J148" t="s">
        <v>4057</v>
      </c>
      <c r="K148" t="s">
        <v>7617</v>
      </c>
    </row>
    <row r="149" spans="1:11">
      <c r="A149" t="s">
        <v>980</v>
      </c>
      <c r="B149" t="s">
        <v>7618</v>
      </c>
      <c r="C149" t="s">
        <v>7648</v>
      </c>
      <c r="D149" t="s">
        <v>7693</v>
      </c>
      <c r="E149" t="s">
        <v>5425</v>
      </c>
      <c r="F149">
        <v>67.83</v>
      </c>
      <c r="G149" t="s">
        <v>7614</v>
      </c>
      <c r="H149" t="s">
        <v>7615</v>
      </c>
      <c r="I149" t="s">
        <v>7824</v>
      </c>
      <c r="J149" t="s">
        <v>4057</v>
      </c>
      <c r="K149" t="s">
        <v>7617</v>
      </c>
    </row>
    <row r="150" spans="1:11">
      <c r="A150" t="s">
        <v>980</v>
      </c>
      <c r="B150" t="s">
        <v>7618</v>
      </c>
      <c r="C150" t="s">
        <v>7648</v>
      </c>
      <c r="D150" t="s">
        <v>7734</v>
      </c>
      <c r="E150" t="s">
        <v>5425</v>
      </c>
      <c r="F150">
        <v>78.180000000000007</v>
      </c>
      <c r="G150" t="s">
        <v>7631</v>
      </c>
      <c r="H150" t="s">
        <v>7615</v>
      </c>
      <c r="I150" t="s">
        <v>7825</v>
      </c>
      <c r="J150" t="s">
        <v>4057</v>
      </c>
      <c r="K150" t="s">
        <v>7617</v>
      </c>
    </row>
    <row r="151" spans="1:11">
      <c r="A151" t="s">
        <v>980</v>
      </c>
      <c r="B151" t="s">
        <v>7629</v>
      </c>
      <c r="C151" t="s">
        <v>7639</v>
      </c>
      <c r="D151" t="s">
        <v>7826</v>
      </c>
      <c r="E151" t="s">
        <v>5425</v>
      </c>
      <c r="F151">
        <v>82.79</v>
      </c>
      <c r="G151" t="s">
        <v>7614</v>
      </c>
      <c r="H151" t="s">
        <v>7615</v>
      </c>
      <c r="I151" t="s">
        <v>7827</v>
      </c>
      <c r="J151" t="s">
        <v>4058</v>
      </c>
      <c r="K151" t="s">
        <v>7617</v>
      </c>
    </row>
    <row r="152" spans="1:11">
      <c r="A152" t="s">
        <v>988</v>
      </c>
      <c r="B152" t="s">
        <v>7610</v>
      </c>
      <c r="C152" t="s">
        <v>7611</v>
      </c>
      <c r="D152" t="s">
        <v>7828</v>
      </c>
      <c r="E152" t="s">
        <v>7613</v>
      </c>
      <c r="F152">
        <v>99.3</v>
      </c>
      <c r="G152" t="s">
        <v>7614</v>
      </c>
      <c r="H152" t="s">
        <v>7623</v>
      </c>
      <c r="I152" t="s">
        <v>7829</v>
      </c>
      <c r="J152" t="s">
        <v>4056</v>
      </c>
      <c r="K152" t="s">
        <v>7617</v>
      </c>
    </row>
    <row r="153" spans="1:11">
      <c r="A153" t="s">
        <v>988</v>
      </c>
      <c r="B153" t="s">
        <v>7618</v>
      </c>
      <c r="C153" t="s">
        <v>7048</v>
      </c>
      <c r="D153" t="s">
        <v>7830</v>
      </c>
      <c r="E153" t="s">
        <v>5425</v>
      </c>
      <c r="F153">
        <v>70.400000000000006</v>
      </c>
      <c r="G153" t="s">
        <v>7631</v>
      </c>
      <c r="H153" t="s">
        <v>7623</v>
      </c>
      <c r="I153" t="s">
        <v>7831</v>
      </c>
      <c r="J153" t="s">
        <v>4057</v>
      </c>
      <c r="K153" t="s">
        <v>7617</v>
      </c>
    </row>
    <row r="154" spans="1:11">
      <c r="A154" t="s">
        <v>1017</v>
      </c>
      <c r="B154" t="s">
        <v>7618</v>
      </c>
      <c r="C154" t="s">
        <v>7619</v>
      </c>
      <c r="D154" t="s">
        <v>7832</v>
      </c>
      <c r="E154" t="s">
        <v>5425</v>
      </c>
      <c r="F154">
        <v>98.8</v>
      </c>
      <c r="G154" t="s">
        <v>7631</v>
      </c>
      <c r="H154" t="s">
        <v>7623</v>
      </c>
      <c r="I154" t="s">
        <v>7833</v>
      </c>
      <c r="J154" t="s">
        <v>4057</v>
      </c>
      <c r="K154" t="s">
        <v>7617</v>
      </c>
    </row>
    <row r="155" spans="1:11">
      <c r="A155" t="s">
        <v>1017</v>
      </c>
      <c r="B155" t="s">
        <v>7618</v>
      </c>
      <c r="C155" t="s">
        <v>7746</v>
      </c>
      <c r="D155" t="s">
        <v>7834</v>
      </c>
      <c r="E155" t="s">
        <v>5425</v>
      </c>
      <c r="F155">
        <v>96.3</v>
      </c>
      <c r="G155" t="s">
        <v>7631</v>
      </c>
      <c r="H155" t="s">
        <v>7623</v>
      </c>
      <c r="I155" t="s">
        <v>7835</v>
      </c>
      <c r="J155" t="s">
        <v>4057</v>
      </c>
      <c r="K155" t="s">
        <v>7617</v>
      </c>
    </row>
    <row r="156" spans="1:11">
      <c r="A156" t="s">
        <v>1040</v>
      </c>
      <c r="B156" t="s">
        <v>7610</v>
      </c>
      <c r="C156" t="s">
        <v>7611</v>
      </c>
      <c r="D156" t="s">
        <v>7738</v>
      </c>
      <c r="E156" t="s">
        <v>5425</v>
      </c>
      <c r="F156">
        <v>96.3</v>
      </c>
      <c r="G156" t="s">
        <v>7614</v>
      </c>
      <c r="H156" t="s">
        <v>7623</v>
      </c>
      <c r="I156" t="s">
        <v>7836</v>
      </c>
      <c r="J156" t="s">
        <v>4056</v>
      </c>
      <c r="K156" t="s">
        <v>7617</v>
      </c>
    </row>
    <row r="157" spans="1:11">
      <c r="A157" t="s">
        <v>1047</v>
      </c>
      <c r="B157" t="s">
        <v>7610</v>
      </c>
      <c r="C157" t="s">
        <v>7611</v>
      </c>
      <c r="D157" t="s">
        <v>6964</v>
      </c>
      <c r="E157" t="s">
        <v>5425</v>
      </c>
      <c r="F157">
        <v>96.12</v>
      </c>
      <c r="G157" t="s">
        <v>7614</v>
      </c>
      <c r="H157" t="s">
        <v>7623</v>
      </c>
      <c r="I157" t="s">
        <v>7837</v>
      </c>
      <c r="J157" t="s">
        <v>4056</v>
      </c>
      <c r="K157" t="s">
        <v>7617</v>
      </c>
    </row>
    <row r="158" spans="1:11">
      <c r="A158" t="s">
        <v>1076</v>
      </c>
      <c r="B158" t="s">
        <v>7610</v>
      </c>
      <c r="C158" t="s">
        <v>7611</v>
      </c>
      <c r="D158" t="s">
        <v>7838</v>
      </c>
      <c r="E158" t="s">
        <v>7839</v>
      </c>
      <c r="F158">
        <v>87.2</v>
      </c>
      <c r="G158" t="s">
        <v>7614</v>
      </c>
      <c r="H158" t="s">
        <v>7615</v>
      </c>
      <c r="I158" t="s">
        <v>7840</v>
      </c>
      <c r="J158" t="s">
        <v>4056</v>
      </c>
      <c r="K158" t="s">
        <v>7617</v>
      </c>
    </row>
    <row r="159" spans="1:11">
      <c r="A159" t="s">
        <v>1076</v>
      </c>
      <c r="B159" t="s">
        <v>7618</v>
      </c>
      <c r="C159" t="s">
        <v>7619</v>
      </c>
      <c r="D159" t="s">
        <v>7841</v>
      </c>
      <c r="E159" t="s">
        <v>7839</v>
      </c>
      <c r="F159">
        <v>52.7</v>
      </c>
      <c r="G159" t="s">
        <v>7614</v>
      </c>
      <c r="H159" t="s">
        <v>7615</v>
      </c>
      <c r="I159" t="s">
        <v>7842</v>
      </c>
      <c r="J159" t="s">
        <v>4057</v>
      </c>
      <c r="K159" t="s">
        <v>7617</v>
      </c>
    </row>
    <row r="160" spans="1:11">
      <c r="A160" t="s">
        <v>1091</v>
      </c>
      <c r="B160" t="s">
        <v>7610</v>
      </c>
      <c r="C160" t="s">
        <v>7611</v>
      </c>
      <c r="D160" t="s">
        <v>4565</v>
      </c>
      <c r="E160" t="s">
        <v>5425</v>
      </c>
      <c r="F160">
        <v>99.88</v>
      </c>
      <c r="G160" t="s">
        <v>7614</v>
      </c>
      <c r="H160" t="s">
        <v>7615</v>
      </c>
      <c r="I160" t="s">
        <v>5894</v>
      </c>
      <c r="J160" t="s">
        <v>4056</v>
      </c>
      <c r="K160" t="s">
        <v>7617</v>
      </c>
    </row>
    <row r="161" spans="1:11">
      <c r="A161" t="s">
        <v>1091</v>
      </c>
      <c r="B161" t="s">
        <v>7610</v>
      </c>
      <c r="C161" t="s">
        <v>7611</v>
      </c>
      <c r="D161" t="s">
        <v>4565</v>
      </c>
      <c r="E161" t="s">
        <v>6943</v>
      </c>
      <c r="F161">
        <v>100</v>
      </c>
      <c r="G161" t="s">
        <v>7614</v>
      </c>
      <c r="H161" t="s">
        <v>7615</v>
      </c>
      <c r="I161" t="s">
        <v>5894</v>
      </c>
      <c r="J161" t="s">
        <v>4056</v>
      </c>
      <c r="K161" t="s">
        <v>7617</v>
      </c>
    </row>
    <row r="162" spans="1:11">
      <c r="A162" t="s">
        <v>1091</v>
      </c>
      <c r="B162" t="s">
        <v>7618</v>
      </c>
      <c r="C162" t="s">
        <v>7048</v>
      </c>
      <c r="D162" t="s">
        <v>7843</v>
      </c>
      <c r="E162" t="s">
        <v>5425</v>
      </c>
      <c r="F162">
        <v>84.57</v>
      </c>
      <c r="G162" t="s">
        <v>7631</v>
      </c>
      <c r="H162" t="s">
        <v>7615</v>
      </c>
      <c r="I162" t="s">
        <v>7844</v>
      </c>
      <c r="J162" t="s">
        <v>4057</v>
      </c>
      <c r="K162" t="s">
        <v>7617</v>
      </c>
    </row>
    <row r="163" spans="1:11">
      <c r="A163" t="s">
        <v>1091</v>
      </c>
      <c r="B163" t="s">
        <v>7618</v>
      </c>
      <c r="C163" t="s">
        <v>7048</v>
      </c>
      <c r="D163" t="s">
        <v>7843</v>
      </c>
      <c r="E163" t="s">
        <v>6943</v>
      </c>
      <c r="F163">
        <v>92.46</v>
      </c>
      <c r="G163" t="s">
        <v>7631</v>
      </c>
      <c r="H163" t="s">
        <v>7615</v>
      </c>
      <c r="I163" t="s">
        <v>7844</v>
      </c>
      <c r="J163" t="s">
        <v>4057</v>
      </c>
      <c r="K163" t="s">
        <v>7617</v>
      </c>
    </row>
    <row r="164" spans="1:11">
      <c r="A164" t="s">
        <v>1111</v>
      </c>
      <c r="B164" t="s">
        <v>7610</v>
      </c>
      <c r="C164" t="s">
        <v>7611</v>
      </c>
      <c r="D164" t="s">
        <v>7845</v>
      </c>
      <c r="E164" t="s">
        <v>5425</v>
      </c>
      <c r="F164">
        <v>95</v>
      </c>
      <c r="G164" t="s">
        <v>7614</v>
      </c>
      <c r="H164" t="s">
        <v>7623</v>
      </c>
      <c r="I164" t="s">
        <v>7846</v>
      </c>
      <c r="J164" t="s">
        <v>4056</v>
      </c>
      <c r="K164" t="s">
        <v>7617</v>
      </c>
    </row>
    <row r="165" spans="1:11">
      <c r="A165" t="s">
        <v>1126</v>
      </c>
      <c r="B165" t="s">
        <v>7610</v>
      </c>
      <c r="C165" t="s">
        <v>7611</v>
      </c>
      <c r="D165" t="s">
        <v>7847</v>
      </c>
      <c r="E165" t="s">
        <v>5425</v>
      </c>
      <c r="F165">
        <v>99.49</v>
      </c>
      <c r="G165" t="s">
        <v>7614</v>
      </c>
      <c r="H165" t="s">
        <v>7615</v>
      </c>
      <c r="I165" t="s">
        <v>7848</v>
      </c>
      <c r="J165" t="s">
        <v>4056</v>
      </c>
      <c r="K165" t="s">
        <v>7617</v>
      </c>
    </row>
    <row r="166" spans="1:11">
      <c r="A166" t="s">
        <v>1126</v>
      </c>
      <c r="B166" t="s">
        <v>7618</v>
      </c>
      <c r="C166" t="s">
        <v>7648</v>
      </c>
      <c r="D166" t="s">
        <v>7849</v>
      </c>
      <c r="E166" t="s">
        <v>5425</v>
      </c>
      <c r="F166">
        <v>84.88</v>
      </c>
      <c r="G166" t="s">
        <v>7631</v>
      </c>
      <c r="H166" t="s">
        <v>7615</v>
      </c>
      <c r="I166" t="s">
        <v>7850</v>
      </c>
      <c r="J166" t="s">
        <v>4057</v>
      </c>
      <c r="K166" t="s">
        <v>7617</v>
      </c>
    </row>
    <row r="167" spans="1:11">
      <c r="A167" t="s">
        <v>1126</v>
      </c>
      <c r="B167" t="s">
        <v>7629</v>
      </c>
      <c r="C167" t="s">
        <v>7639</v>
      </c>
      <c r="D167" t="s">
        <v>7640</v>
      </c>
      <c r="E167" t="s">
        <v>5425</v>
      </c>
      <c r="F167">
        <v>81.42</v>
      </c>
      <c r="G167" t="s">
        <v>7614</v>
      </c>
      <c r="H167" t="s">
        <v>7615</v>
      </c>
      <c r="I167" t="s">
        <v>7851</v>
      </c>
      <c r="J167" t="s">
        <v>4058</v>
      </c>
      <c r="K167" t="s">
        <v>7617</v>
      </c>
    </row>
    <row r="168" spans="1:11">
      <c r="A168" t="s">
        <v>1140</v>
      </c>
      <c r="B168" t="s">
        <v>7610</v>
      </c>
      <c r="C168" t="s">
        <v>7611</v>
      </c>
      <c r="D168" t="s">
        <v>7852</v>
      </c>
      <c r="E168" t="s">
        <v>5425</v>
      </c>
      <c r="F168">
        <v>82.7</v>
      </c>
      <c r="G168" t="s">
        <v>7614</v>
      </c>
      <c r="H168" t="s">
        <v>7615</v>
      </c>
      <c r="I168" t="s">
        <v>7853</v>
      </c>
      <c r="J168" t="s">
        <v>4056</v>
      </c>
      <c r="K168" t="s">
        <v>7617</v>
      </c>
    </row>
    <row r="169" spans="1:11">
      <c r="A169" t="s">
        <v>1140</v>
      </c>
      <c r="B169" t="s">
        <v>7618</v>
      </c>
      <c r="C169" t="s">
        <v>7619</v>
      </c>
      <c r="D169" t="s">
        <v>7854</v>
      </c>
      <c r="E169" t="s">
        <v>5425</v>
      </c>
      <c r="F169">
        <v>80.400000000000006</v>
      </c>
      <c r="G169" t="s">
        <v>7631</v>
      </c>
      <c r="H169" t="s">
        <v>7615</v>
      </c>
      <c r="I169" t="s">
        <v>7855</v>
      </c>
      <c r="J169" t="s">
        <v>4057</v>
      </c>
      <c r="K169" t="s">
        <v>7617</v>
      </c>
    </row>
    <row r="170" spans="1:11">
      <c r="A170" t="s">
        <v>1140</v>
      </c>
      <c r="B170" t="s">
        <v>7618</v>
      </c>
      <c r="C170" t="s">
        <v>7746</v>
      </c>
      <c r="D170" t="s">
        <v>6746</v>
      </c>
      <c r="E170" t="s">
        <v>5425</v>
      </c>
      <c r="F170">
        <v>66</v>
      </c>
      <c r="G170" t="s">
        <v>7614</v>
      </c>
      <c r="H170" t="s">
        <v>7615</v>
      </c>
      <c r="I170" t="s">
        <v>7856</v>
      </c>
      <c r="J170" t="s">
        <v>4057</v>
      </c>
      <c r="K170" t="s">
        <v>7617</v>
      </c>
    </row>
    <row r="171" spans="1:11">
      <c r="A171" t="s">
        <v>1148</v>
      </c>
      <c r="B171" t="s">
        <v>7610</v>
      </c>
      <c r="C171" t="s">
        <v>7611</v>
      </c>
      <c r="D171" t="s">
        <v>7857</v>
      </c>
      <c r="E171" t="s">
        <v>5425</v>
      </c>
      <c r="F171">
        <v>98.5</v>
      </c>
      <c r="G171" t="s">
        <v>7614</v>
      </c>
      <c r="H171" t="s">
        <v>7623</v>
      </c>
      <c r="I171" t="s">
        <v>7858</v>
      </c>
      <c r="J171" t="s">
        <v>4056</v>
      </c>
      <c r="K171" t="s">
        <v>7617</v>
      </c>
    </row>
    <row r="172" spans="1:11">
      <c r="A172" t="s">
        <v>1207</v>
      </c>
      <c r="B172" t="s">
        <v>7618</v>
      </c>
      <c r="C172" t="s">
        <v>7619</v>
      </c>
      <c r="D172" t="s">
        <v>7859</v>
      </c>
      <c r="E172" t="s">
        <v>6943</v>
      </c>
      <c r="F172">
        <v>97.4</v>
      </c>
      <c r="G172" t="s">
        <v>7631</v>
      </c>
      <c r="H172" t="s">
        <v>7623</v>
      </c>
      <c r="I172" t="s">
        <v>7860</v>
      </c>
      <c r="J172" t="s">
        <v>4057</v>
      </c>
      <c r="K172" t="s">
        <v>7617</v>
      </c>
    </row>
    <row r="173" spans="1:11">
      <c r="A173" t="s">
        <v>1230</v>
      </c>
      <c r="B173" t="s">
        <v>7610</v>
      </c>
      <c r="C173" t="s">
        <v>7611</v>
      </c>
      <c r="D173" t="s">
        <v>4565</v>
      </c>
      <c r="E173" t="s">
        <v>5425</v>
      </c>
      <c r="F173">
        <v>98.7</v>
      </c>
      <c r="G173" t="s">
        <v>7614</v>
      </c>
      <c r="H173" t="s">
        <v>7615</v>
      </c>
      <c r="I173" t="s">
        <v>7861</v>
      </c>
      <c r="J173" t="s">
        <v>4056</v>
      </c>
      <c r="K173" t="s">
        <v>7617</v>
      </c>
    </row>
    <row r="174" spans="1:11">
      <c r="A174" t="s">
        <v>1230</v>
      </c>
      <c r="B174" t="s">
        <v>7610</v>
      </c>
      <c r="C174" t="s">
        <v>7611</v>
      </c>
      <c r="D174" t="s">
        <v>4565</v>
      </c>
      <c r="E174" t="s">
        <v>6943</v>
      </c>
      <c r="F174">
        <v>99.9</v>
      </c>
      <c r="G174" t="s">
        <v>7614</v>
      </c>
      <c r="H174" t="s">
        <v>7615</v>
      </c>
      <c r="I174" t="s">
        <v>7861</v>
      </c>
      <c r="J174" t="s">
        <v>4056</v>
      </c>
      <c r="K174" t="s">
        <v>7617</v>
      </c>
    </row>
    <row r="175" spans="1:11">
      <c r="A175" t="s">
        <v>1230</v>
      </c>
      <c r="B175" t="s">
        <v>7618</v>
      </c>
      <c r="C175" t="s">
        <v>7048</v>
      </c>
      <c r="D175" t="s">
        <v>7862</v>
      </c>
      <c r="E175" t="s">
        <v>5425</v>
      </c>
      <c r="F175">
        <v>87.2</v>
      </c>
      <c r="G175" t="s">
        <v>7631</v>
      </c>
      <c r="H175" t="s">
        <v>7615</v>
      </c>
      <c r="I175" t="s">
        <v>7863</v>
      </c>
      <c r="J175" t="s">
        <v>4057</v>
      </c>
      <c r="K175" t="s">
        <v>7617</v>
      </c>
    </row>
    <row r="176" spans="1:11">
      <c r="A176" t="s">
        <v>1230</v>
      </c>
      <c r="B176" t="s">
        <v>7618</v>
      </c>
      <c r="C176" t="s">
        <v>7048</v>
      </c>
      <c r="D176" t="s">
        <v>7862</v>
      </c>
      <c r="E176" t="s">
        <v>6943</v>
      </c>
      <c r="F176">
        <v>94.6</v>
      </c>
      <c r="G176" t="s">
        <v>7631</v>
      </c>
      <c r="H176" t="s">
        <v>7615</v>
      </c>
      <c r="I176" t="s">
        <v>7864</v>
      </c>
      <c r="J176" t="s">
        <v>4057</v>
      </c>
      <c r="K176" t="s">
        <v>7617</v>
      </c>
    </row>
    <row r="177" spans="1:11">
      <c r="A177" t="s">
        <v>1236</v>
      </c>
      <c r="B177" t="s">
        <v>7610</v>
      </c>
      <c r="C177" t="s">
        <v>7611</v>
      </c>
      <c r="D177" t="s">
        <v>7865</v>
      </c>
      <c r="E177" t="s">
        <v>7613</v>
      </c>
      <c r="F177">
        <v>99.02</v>
      </c>
      <c r="G177" t="s">
        <v>7614</v>
      </c>
      <c r="H177" t="s">
        <v>7615</v>
      </c>
      <c r="I177" t="s">
        <v>7866</v>
      </c>
      <c r="J177" t="s">
        <v>4056</v>
      </c>
      <c r="K177" t="s">
        <v>7617</v>
      </c>
    </row>
    <row r="178" spans="1:11">
      <c r="A178" t="s">
        <v>1236</v>
      </c>
      <c r="B178" t="s">
        <v>7618</v>
      </c>
      <c r="C178" t="s">
        <v>7619</v>
      </c>
      <c r="D178" t="s">
        <v>7867</v>
      </c>
      <c r="E178" t="s">
        <v>7613</v>
      </c>
      <c r="F178">
        <v>90.29</v>
      </c>
      <c r="G178" t="s">
        <v>7631</v>
      </c>
      <c r="H178" t="s">
        <v>7615</v>
      </c>
      <c r="I178" t="s">
        <v>7868</v>
      </c>
      <c r="J178" t="s">
        <v>4057</v>
      </c>
      <c r="K178" t="s">
        <v>7617</v>
      </c>
    </row>
    <row r="179" spans="1:11">
      <c r="A179" t="s">
        <v>1267</v>
      </c>
      <c r="B179" t="s">
        <v>7610</v>
      </c>
      <c r="C179" t="s">
        <v>7611</v>
      </c>
      <c r="D179" t="s">
        <v>6964</v>
      </c>
      <c r="E179" t="s">
        <v>5425</v>
      </c>
      <c r="F179">
        <v>96.6</v>
      </c>
      <c r="G179" t="s">
        <v>7614</v>
      </c>
      <c r="H179" t="s">
        <v>7623</v>
      </c>
      <c r="I179" t="s">
        <v>7869</v>
      </c>
      <c r="J179" t="s">
        <v>4056</v>
      </c>
      <c r="K179" t="s">
        <v>7617</v>
      </c>
    </row>
    <row r="180" spans="1:11">
      <c r="A180" t="s">
        <v>1289</v>
      </c>
      <c r="B180" t="s">
        <v>7610</v>
      </c>
      <c r="C180" t="s">
        <v>7611</v>
      </c>
      <c r="D180" t="s">
        <v>6964</v>
      </c>
      <c r="E180" t="s">
        <v>5425</v>
      </c>
      <c r="F180">
        <v>98.91</v>
      </c>
      <c r="G180" t="s">
        <v>7614</v>
      </c>
      <c r="H180" t="s">
        <v>7623</v>
      </c>
      <c r="I180" t="s">
        <v>7870</v>
      </c>
      <c r="J180" t="s">
        <v>4056</v>
      </c>
      <c r="K180" t="s">
        <v>7617</v>
      </c>
    </row>
    <row r="181" spans="1:11">
      <c r="A181" t="s">
        <v>1819</v>
      </c>
      <c r="B181" t="s">
        <v>7610</v>
      </c>
      <c r="C181" t="s">
        <v>7611</v>
      </c>
      <c r="D181" t="s">
        <v>7871</v>
      </c>
      <c r="E181" t="s">
        <v>7613</v>
      </c>
      <c r="F181">
        <v>98.13</v>
      </c>
      <c r="G181" t="s">
        <v>7614</v>
      </c>
      <c r="H181" t="s">
        <v>7623</v>
      </c>
      <c r="I181" t="s">
        <v>7872</v>
      </c>
      <c r="J181" t="s">
        <v>4056</v>
      </c>
      <c r="K181" t="s">
        <v>7617</v>
      </c>
    </row>
    <row r="182" spans="1:11">
      <c r="A182" t="s">
        <v>1819</v>
      </c>
      <c r="B182" t="s">
        <v>7702</v>
      </c>
      <c r="C182" t="s">
        <v>7702</v>
      </c>
      <c r="D182" t="s">
        <v>7873</v>
      </c>
      <c r="E182" t="s">
        <v>7613</v>
      </c>
      <c r="F182">
        <v>100</v>
      </c>
      <c r="G182" t="s">
        <v>7614</v>
      </c>
      <c r="H182" t="s">
        <v>7623</v>
      </c>
      <c r="I182" t="s">
        <v>7874</v>
      </c>
      <c r="J182" t="s">
        <v>4057</v>
      </c>
      <c r="K182" t="s">
        <v>7617</v>
      </c>
    </row>
    <row r="183" spans="1:11">
      <c r="A183" t="s">
        <v>1923</v>
      </c>
      <c r="B183" t="s">
        <v>7610</v>
      </c>
      <c r="C183" t="s">
        <v>7611</v>
      </c>
      <c r="D183" t="s">
        <v>7875</v>
      </c>
      <c r="E183" t="s">
        <v>5425</v>
      </c>
      <c r="F183">
        <v>96.6</v>
      </c>
      <c r="G183" t="s">
        <v>7631</v>
      </c>
      <c r="H183" t="s">
        <v>7615</v>
      </c>
      <c r="I183" t="s">
        <v>6163</v>
      </c>
      <c r="J183" t="s">
        <v>4056</v>
      </c>
      <c r="K183" t="s">
        <v>7617</v>
      </c>
    </row>
    <row r="184" spans="1:11">
      <c r="A184" t="s">
        <v>1923</v>
      </c>
      <c r="B184" t="s">
        <v>7618</v>
      </c>
      <c r="C184" t="s">
        <v>7648</v>
      </c>
      <c r="D184" t="s">
        <v>7643</v>
      </c>
      <c r="E184" t="s">
        <v>5425</v>
      </c>
      <c r="F184">
        <v>90.3</v>
      </c>
      <c r="G184" t="s">
        <v>7631</v>
      </c>
      <c r="H184" t="s">
        <v>7615</v>
      </c>
      <c r="I184" t="s">
        <v>7876</v>
      </c>
      <c r="J184" t="s">
        <v>4057</v>
      </c>
      <c r="K184" t="s">
        <v>7617</v>
      </c>
    </row>
    <row r="185" spans="1:11">
      <c r="A185" t="s">
        <v>1923</v>
      </c>
      <c r="B185" t="s">
        <v>7618</v>
      </c>
      <c r="C185" t="s">
        <v>7648</v>
      </c>
      <c r="D185" t="s">
        <v>7877</v>
      </c>
      <c r="E185" t="s">
        <v>5425</v>
      </c>
      <c r="F185">
        <v>97.4</v>
      </c>
      <c r="G185" t="s">
        <v>7631</v>
      </c>
      <c r="H185" t="s">
        <v>7615</v>
      </c>
      <c r="I185" t="s">
        <v>7878</v>
      </c>
      <c r="J185" t="s">
        <v>4057</v>
      </c>
      <c r="K185" t="s">
        <v>7617</v>
      </c>
    </row>
    <row r="186" spans="1:11">
      <c r="A186" t="s">
        <v>2162</v>
      </c>
      <c r="B186" t="s">
        <v>7618</v>
      </c>
      <c r="C186" t="s">
        <v>7648</v>
      </c>
      <c r="D186" t="s">
        <v>7738</v>
      </c>
      <c r="E186" t="s">
        <v>7613</v>
      </c>
      <c r="F186">
        <v>79.2</v>
      </c>
      <c r="G186" t="s">
        <v>7614</v>
      </c>
      <c r="H186" t="s">
        <v>7623</v>
      </c>
      <c r="I186" t="s">
        <v>7879</v>
      </c>
      <c r="J186" t="s">
        <v>4057</v>
      </c>
      <c r="K186" t="s">
        <v>7617</v>
      </c>
    </row>
    <row r="187" spans="1:11">
      <c r="A187" t="s">
        <v>2162</v>
      </c>
      <c r="B187" t="s">
        <v>7618</v>
      </c>
      <c r="C187" t="s">
        <v>7648</v>
      </c>
      <c r="D187" t="s">
        <v>7661</v>
      </c>
      <c r="E187" t="s">
        <v>7613</v>
      </c>
      <c r="F187">
        <v>73.599999999999994</v>
      </c>
      <c r="G187" t="s">
        <v>7614</v>
      </c>
      <c r="H187" t="s">
        <v>7623</v>
      </c>
      <c r="I187" t="s">
        <v>7880</v>
      </c>
      <c r="J187" t="s">
        <v>4057</v>
      </c>
      <c r="K187" t="s">
        <v>7617</v>
      </c>
    </row>
    <row r="188" spans="1:11">
      <c r="A188" t="s">
        <v>2353</v>
      </c>
      <c r="B188" t="s">
        <v>7618</v>
      </c>
      <c r="C188" t="s">
        <v>7619</v>
      </c>
      <c r="D188" t="s">
        <v>7881</v>
      </c>
      <c r="E188" t="s">
        <v>5425</v>
      </c>
      <c r="F188">
        <v>94.06</v>
      </c>
      <c r="G188" t="s">
        <v>7631</v>
      </c>
      <c r="H188" t="s">
        <v>7623</v>
      </c>
      <c r="I188" t="s">
        <v>7882</v>
      </c>
      <c r="J188" t="s">
        <v>4057</v>
      </c>
      <c r="K188" t="s">
        <v>7617</v>
      </c>
    </row>
    <row r="189" spans="1:11">
      <c r="A189" t="s">
        <v>2353</v>
      </c>
      <c r="B189" t="s">
        <v>7618</v>
      </c>
      <c r="C189" t="s">
        <v>7648</v>
      </c>
      <c r="D189" t="s">
        <v>7883</v>
      </c>
      <c r="E189" t="s">
        <v>5425</v>
      </c>
      <c r="F189">
        <v>86.73</v>
      </c>
      <c r="G189" t="s">
        <v>7614</v>
      </c>
      <c r="H189" t="s">
        <v>7623</v>
      </c>
      <c r="I189" t="s">
        <v>7884</v>
      </c>
      <c r="J189" t="s">
        <v>4057</v>
      </c>
      <c r="K189" t="s">
        <v>7617</v>
      </c>
    </row>
    <row r="190" spans="1:11">
      <c r="A190" t="s">
        <v>2491</v>
      </c>
      <c r="B190" t="s">
        <v>7610</v>
      </c>
      <c r="C190" t="s">
        <v>7611</v>
      </c>
      <c r="D190" t="s">
        <v>7885</v>
      </c>
      <c r="E190" t="s">
        <v>5425</v>
      </c>
      <c r="F190">
        <v>97.7</v>
      </c>
      <c r="G190" t="s">
        <v>7614</v>
      </c>
      <c r="H190" t="s">
        <v>7615</v>
      </c>
      <c r="I190" t="s">
        <v>7886</v>
      </c>
      <c r="J190" t="s">
        <v>4056</v>
      </c>
      <c r="K190" t="s">
        <v>7617</v>
      </c>
    </row>
    <row r="191" spans="1:11">
      <c r="A191" t="s">
        <v>2491</v>
      </c>
      <c r="B191" t="s">
        <v>7618</v>
      </c>
      <c r="C191" t="s">
        <v>7048</v>
      </c>
      <c r="D191" t="s">
        <v>7887</v>
      </c>
      <c r="E191" t="s">
        <v>5425</v>
      </c>
      <c r="F191">
        <v>67.400000000000006</v>
      </c>
      <c r="G191" t="s">
        <v>7631</v>
      </c>
      <c r="H191" t="s">
        <v>7615</v>
      </c>
      <c r="I191" t="s">
        <v>7888</v>
      </c>
      <c r="J191" t="s">
        <v>4057</v>
      </c>
      <c r="K191" t="s">
        <v>7617</v>
      </c>
    </row>
    <row r="192" spans="1:11">
      <c r="A192" t="s">
        <v>2491</v>
      </c>
      <c r="B192" t="s">
        <v>7629</v>
      </c>
      <c r="C192" t="s">
        <v>7639</v>
      </c>
      <c r="D192" t="s">
        <v>7826</v>
      </c>
      <c r="E192" t="s">
        <v>5425</v>
      </c>
      <c r="F192">
        <v>69.849999999999994</v>
      </c>
      <c r="G192" t="s">
        <v>7614</v>
      </c>
      <c r="H192" t="s">
        <v>7615</v>
      </c>
      <c r="I192" t="s">
        <v>7889</v>
      </c>
      <c r="J192" t="s">
        <v>4058</v>
      </c>
      <c r="K192" t="s">
        <v>7617</v>
      </c>
    </row>
    <row r="193" spans="1:11">
      <c r="A193" t="s">
        <v>2520</v>
      </c>
      <c r="B193" t="s">
        <v>7610</v>
      </c>
      <c r="C193" t="s">
        <v>7611</v>
      </c>
      <c r="D193" t="s">
        <v>4565</v>
      </c>
      <c r="E193" t="s">
        <v>5425</v>
      </c>
      <c r="F193">
        <v>99.5</v>
      </c>
      <c r="G193" t="s">
        <v>7614</v>
      </c>
      <c r="H193" t="s">
        <v>7615</v>
      </c>
      <c r="I193" t="s">
        <v>6283</v>
      </c>
      <c r="J193" t="s">
        <v>4056</v>
      </c>
      <c r="K193" t="s">
        <v>7617</v>
      </c>
    </row>
    <row r="194" spans="1:11">
      <c r="A194" t="s">
        <v>2520</v>
      </c>
      <c r="B194" t="s">
        <v>7610</v>
      </c>
      <c r="C194" t="s">
        <v>7611</v>
      </c>
      <c r="D194" t="s">
        <v>4565</v>
      </c>
      <c r="E194" t="s">
        <v>6943</v>
      </c>
      <c r="F194">
        <v>100</v>
      </c>
      <c r="G194" t="s">
        <v>7614</v>
      </c>
      <c r="H194" t="s">
        <v>7615</v>
      </c>
      <c r="I194" t="s">
        <v>6283</v>
      </c>
      <c r="J194" t="s">
        <v>4056</v>
      </c>
      <c r="K194" t="s">
        <v>7617</v>
      </c>
    </row>
    <row r="195" spans="1:11">
      <c r="A195" t="s">
        <v>2520</v>
      </c>
      <c r="B195" t="s">
        <v>7618</v>
      </c>
      <c r="C195" t="s">
        <v>7619</v>
      </c>
      <c r="D195" t="s">
        <v>7668</v>
      </c>
      <c r="E195" t="s">
        <v>5425</v>
      </c>
      <c r="F195">
        <v>92.9</v>
      </c>
      <c r="G195" t="s">
        <v>7631</v>
      </c>
      <c r="H195" t="s">
        <v>7615</v>
      </c>
      <c r="I195" t="s">
        <v>7890</v>
      </c>
      <c r="J195" t="s">
        <v>4057</v>
      </c>
      <c r="K195" t="s">
        <v>7617</v>
      </c>
    </row>
    <row r="196" spans="1:11">
      <c r="A196" t="s">
        <v>2520</v>
      </c>
      <c r="B196" t="s">
        <v>7618</v>
      </c>
      <c r="C196" t="s">
        <v>7619</v>
      </c>
      <c r="D196" t="s">
        <v>7668</v>
      </c>
      <c r="E196" t="s">
        <v>6943</v>
      </c>
      <c r="F196">
        <v>98.5</v>
      </c>
      <c r="G196" t="s">
        <v>7631</v>
      </c>
      <c r="H196" t="s">
        <v>7615</v>
      </c>
      <c r="I196" t="s">
        <v>7890</v>
      </c>
      <c r="J196" t="s">
        <v>4057</v>
      </c>
      <c r="K196" t="s">
        <v>7617</v>
      </c>
    </row>
    <row r="197" spans="1:11">
      <c r="A197" t="s">
        <v>2520</v>
      </c>
      <c r="B197" t="s">
        <v>7618</v>
      </c>
      <c r="C197" t="s">
        <v>7746</v>
      </c>
      <c r="D197" t="s">
        <v>7891</v>
      </c>
      <c r="E197" t="s">
        <v>5425</v>
      </c>
      <c r="F197">
        <v>89.5</v>
      </c>
      <c r="G197" t="s">
        <v>7631</v>
      </c>
      <c r="H197" t="s">
        <v>7615</v>
      </c>
      <c r="I197" t="s">
        <v>7892</v>
      </c>
      <c r="J197" t="s">
        <v>4057</v>
      </c>
      <c r="K197" t="s">
        <v>7617</v>
      </c>
    </row>
    <row r="198" spans="1:11">
      <c r="A198" t="s">
        <v>2520</v>
      </c>
      <c r="B198" t="s">
        <v>7618</v>
      </c>
      <c r="C198" t="s">
        <v>7746</v>
      </c>
      <c r="D198" t="s">
        <v>7891</v>
      </c>
      <c r="E198" t="s">
        <v>6943</v>
      </c>
      <c r="F198">
        <v>97.7</v>
      </c>
      <c r="G198" t="s">
        <v>7631</v>
      </c>
      <c r="H198" t="s">
        <v>7615</v>
      </c>
      <c r="I198" t="s">
        <v>7892</v>
      </c>
      <c r="J198" t="s">
        <v>4057</v>
      </c>
      <c r="K198" t="s">
        <v>7617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00_Protocol_Changes</vt:lpstr>
      <vt:lpstr>01_Search_Log</vt:lpstr>
      <vt:lpstr>02_Search Development</vt:lpstr>
      <vt:lpstr>03_Protocol</vt:lpstr>
      <vt:lpstr>04_Master_Records</vt:lpstr>
      <vt:lpstr>05_Title_Abstract_Screening</vt:lpstr>
      <vt:lpstr>06_Full_Text_Screening</vt:lpstr>
      <vt:lpstr>10_Analysis_Ready</vt:lpstr>
      <vt:lpstr>14_Generalization_Map</vt:lpstr>
      <vt:lpstr>27_Final_Taxonomy_Framework</vt:lpstr>
      <vt:lpstr>28_Taxonomy_Coding</vt:lpstr>
      <vt:lpstr>30_Integrity_Checks</vt:lpstr>
      <vt:lpstr>31_Quality_Appraisal</vt:lpstr>
      <vt:lpstr>32_Reported_Results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Prasoon Kumar Kashyap and Aryan Jha</dc:creator>
  <cp:lastModifiedBy>Prasoon Kumar Kashyap</cp:lastModifiedBy>
  <dcterms:created xsi:type="dcterms:W3CDTF">2026-10-21T07:57:04Z</dcterms:created>
  <dcterms:modified xsi:type="dcterms:W3CDTF">2026-10-21T15:07:11Z</dcterms:modified>
</cp:coreProperties>
</file>